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705" yWindow="-15" windowWidth="9525" windowHeight="11760" tabRatio="833" firstSheet="2" activeTab="2"/>
  </bookViews>
  <sheets>
    <sheet name="Cover Page" sheetId="55" state="hidden" r:id="rId1"/>
    <sheet name="Contents" sheetId="56" state="hidden" r:id="rId2"/>
    <sheet name="Table IA" sheetId="1" r:id="rId3"/>
    <sheet name="Table IB" sheetId="2" r:id="rId4"/>
    <sheet name="TableIIA" sheetId="3" r:id="rId5"/>
    <sheet name="TableIIB" sheetId="35" r:id="rId6"/>
    <sheet name="TableIIC " sheetId="4" r:id="rId7"/>
    <sheet name="Table IID" sheetId="51" r:id="rId8"/>
    <sheet name="Table IIE" sheetId="5" r:id="rId9"/>
    <sheet name="Table IIF" sheetId="36" r:id="rId10"/>
    <sheet name="Table IIG" sheetId="59" r:id="rId11"/>
    <sheet name="Table III A" sheetId="6" r:id="rId12"/>
    <sheet name="Table IIIB" sheetId="50" r:id="rId13"/>
    <sheet name="Table IV" sheetId="7" r:id="rId14"/>
    <sheet name="Table V" sheetId="8" r:id="rId15"/>
    <sheet name="Table VI" sheetId="10" r:id="rId16"/>
    <sheet name="Table VII" sheetId="11" r:id="rId17"/>
    <sheet name="Table VIII" sheetId="13" r:id="rId18"/>
    <sheet name="TableIXA" sheetId="37" r:id="rId19"/>
    <sheet name="TableIXB" sheetId="38" r:id="rId20"/>
    <sheet name="TableIXC" sheetId="39" r:id="rId21"/>
    <sheet name="TableX" sheetId="40" r:id="rId22"/>
    <sheet name="TableXI" sheetId="41" r:id="rId23"/>
    <sheet name="Table XIIA" sheetId="57" r:id="rId24"/>
    <sheet name="Table XIIB" sheetId="21" r:id="rId25"/>
    <sheet name="TableXIII" sheetId="42" r:id="rId26"/>
    <sheet name="Table XIV" sheetId="53" r:id="rId27"/>
    <sheet name="TableXV" sheetId="43" r:id="rId28"/>
    <sheet name="TableXVI" sheetId="44" r:id="rId29"/>
    <sheet name="Table XVII" sheetId="27" r:id="rId30"/>
    <sheet name="Table XVIII" sheetId="28" r:id="rId31"/>
    <sheet name="TableXIX" sheetId="45" r:id="rId32"/>
    <sheet name="TableXX" sheetId="58" r:id="rId33"/>
    <sheet name="TableXXI" sheetId="47" r:id="rId34"/>
    <sheet name="Table XXII" sheetId="32" r:id="rId35"/>
    <sheet name="Table XXIII" sheetId="33" r:id="rId36"/>
    <sheet name="Table XXIV" sheetId="61" r:id="rId37"/>
    <sheet name="Table XXV" sheetId="60" r:id="rId38"/>
    <sheet name="Table XXVI" sheetId="63" r:id="rId39"/>
    <sheet name="Table XXVII" sheetId="62" r:id="rId40"/>
    <sheet name="Appendix- Weights &amp; Measures" sheetId="52" state="hidden" r:id="rId41"/>
  </sheets>
  <definedNames>
    <definedName name="_xlnm._FilterDatabase" localSheetId="2" hidden="1">'Table IA'!#REF!</definedName>
    <definedName name="_xlnm._FilterDatabase" localSheetId="3" hidden="1">'Table IB'!$C$1:$C$70</definedName>
    <definedName name="ReportLinkMenu" localSheetId="27">TableXV!#REF!</definedName>
    <definedName name="SectionElements" localSheetId="27">TableXV!#REF!</definedName>
  </definedNames>
  <calcPr calcId="124519"/>
  <fileRecoveryPr autoRecover="0"/>
</workbook>
</file>

<file path=xl/calcChain.xml><?xml version="1.0" encoding="utf-8"?>
<calcChain xmlns="http://schemas.openxmlformats.org/spreadsheetml/2006/main">
  <c r="B11" i="11"/>
  <c r="C11"/>
  <c r="D11"/>
  <c r="E11"/>
  <c r="F11"/>
  <c r="G11"/>
  <c r="H11"/>
  <c r="I11"/>
  <c r="J11"/>
  <c r="K11"/>
  <c r="L11"/>
  <c r="M11"/>
  <c r="N11"/>
  <c r="O11"/>
  <c r="P11"/>
  <c r="Q11"/>
  <c r="K45" i="33"/>
  <c r="J45"/>
  <c r="J43" i="10" l="1"/>
  <c r="Q46" i="41"/>
  <c r="P46"/>
  <c r="D45" i="40"/>
  <c r="E45"/>
  <c r="V39" i="6"/>
  <c r="U39"/>
  <c r="T39"/>
  <c r="S39"/>
  <c r="R39"/>
  <c r="Q39"/>
  <c r="P39"/>
  <c r="N39"/>
  <c r="M39"/>
  <c r="L39"/>
  <c r="K39"/>
  <c r="J39"/>
  <c r="I39"/>
  <c r="H39"/>
  <c r="G39"/>
  <c r="C39"/>
  <c r="B39"/>
  <c r="F39"/>
  <c r="E39"/>
  <c r="D39"/>
  <c r="U47"/>
  <c r="M47"/>
  <c r="N47"/>
  <c r="V47" s="1"/>
  <c r="J47"/>
  <c r="G47"/>
  <c r="D47"/>
  <c r="L24" i="61"/>
  <c r="F24"/>
  <c r="K46" i="36" l="1"/>
  <c r="S48" i="5"/>
  <c r="R48"/>
  <c r="M48"/>
  <c r="J48"/>
  <c r="L48" s="1"/>
  <c r="O48"/>
  <c r="I48"/>
  <c r="F48"/>
  <c r="E48"/>
  <c r="B48"/>
  <c r="P48" l="1"/>
  <c r="L45" i="7"/>
  <c r="L40" l="1"/>
  <c r="L37"/>
  <c r="L35"/>
  <c r="L33"/>
  <c r="L32"/>
  <c r="L31"/>
  <c r="L29"/>
  <c r="F29"/>
  <c r="F30"/>
  <c r="F33"/>
  <c r="F35"/>
  <c r="F45"/>
  <c r="K45" s="1"/>
  <c r="AL45"/>
  <c r="AM45" s="1"/>
  <c r="AN45" s="1"/>
  <c r="AO45" s="1"/>
  <c r="O45"/>
  <c r="CD47" i="1"/>
  <c r="CA47"/>
  <c r="BT47"/>
  <c r="BU47"/>
  <c r="BV47"/>
  <c r="U45" i="45"/>
  <c r="G48" i="51" l="1"/>
  <c r="I48"/>
  <c r="J48" s="1"/>
  <c r="K46" i="35"/>
  <c r="K49" i="3"/>
  <c r="J49"/>
  <c r="L49" s="1"/>
  <c r="N49" s="1"/>
  <c r="O49" s="1"/>
  <c r="G49"/>
  <c r="D49"/>
  <c r="J23" i="60" l="1"/>
  <c r="E23"/>
  <c r="G48" i="4"/>
  <c r="BU46" i="1"/>
  <c r="BT46"/>
  <c r="BC47"/>
  <c r="AZ47"/>
  <c r="BW47"/>
  <c r="AY47"/>
  <c r="AY46"/>
  <c r="AY36"/>
  <c r="AX47"/>
  <c r="AV47"/>
  <c r="I46" i="36"/>
  <c r="F46"/>
  <c r="I46" i="35"/>
  <c r="F46"/>
  <c r="BH47" i="1"/>
  <c r="AP47"/>
  <c r="AO47"/>
  <c r="AN47"/>
  <c r="AM47"/>
  <c r="AL47"/>
  <c r="AH47"/>
  <c r="AD47"/>
  <c r="W47"/>
  <c r="V47"/>
  <c r="T47"/>
  <c r="S47"/>
  <c r="N47"/>
  <c r="L47"/>
  <c r="V56" i="39" l="1"/>
  <c r="Q45" i="41"/>
  <c r="P45"/>
  <c r="E44" i="40"/>
  <c r="D44"/>
  <c r="K44" i="33" l="1"/>
  <c r="F44" i="7" l="1"/>
  <c r="J47" i="5"/>
  <c r="O47"/>
  <c r="M47"/>
  <c r="L47"/>
  <c r="I47"/>
  <c r="F47"/>
  <c r="E47"/>
  <c r="B47"/>
  <c r="K43" i="33"/>
  <c r="K42"/>
  <c r="P47" i="5" l="1"/>
  <c r="R47" s="1"/>
  <c r="S47" s="1"/>
  <c r="L23" i="61" l="1"/>
  <c r="F23"/>
  <c r="K44" i="7" l="1"/>
  <c r="L44"/>
  <c r="AL44"/>
  <c r="AM44" s="1"/>
  <c r="O44"/>
  <c r="AN44" l="1"/>
  <c r="AO44" s="1"/>
  <c r="V57" i="39"/>
  <c r="B57" l="1"/>
  <c r="C57"/>
  <c r="D57"/>
  <c r="E57"/>
  <c r="F57"/>
  <c r="H57"/>
  <c r="I57"/>
  <c r="K57"/>
  <c r="S57"/>
  <c r="U44" i="45"/>
  <c r="U43"/>
  <c r="J22" i="60" l="1"/>
  <c r="E22"/>
  <c r="U46" i="6" l="1"/>
  <c r="M46"/>
  <c r="J46"/>
  <c r="G46"/>
  <c r="D46"/>
  <c r="BW46" i="1"/>
  <c r="BV46"/>
  <c r="CA46"/>
  <c r="CD46"/>
  <c r="J47" i="51"/>
  <c r="I47"/>
  <c r="G47"/>
  <c r="N48" i="3"/>
  <c r="O48" s="1"/>
  <c r="L48"/>
  <c r="K48"/>
  <c r="J48"/>
  <c r="G48"/>
  <c r="D48"/>
  <c r="I45" i="36"/>
  <c r="F45"/>
  <c r="I45" i="35"/>
  <c r="F45"/>
  <c r="K45" s="1"/>
  <c r="AY45" i="1"/>
  <c r="N46" i="6" l="1"/>
  <c r="V46" s="1"/>
  <c r="K45" i="36"/>
  <c r="G47" i="4"/>
  <c r="AX46" i="1"/>
  <c r="AV46"/>
  <c r="AZ46"/>
  <c r="AY38"/>
  <c r="AY42"/>
  <c r="BC46"/>
  <c r="BH46"/>
  <c r="AP46"/>
  <c r="AO46"/>
  <c r="AN46"/>
  <c r="AM46"/>
  <c r="AL46"/>
  <c r="AH46"/>
  <c r="AD46"/>
  <c r="W46"/>
  <c r="V46"/>
  <c r="S46"/>
  <c r="T46" s="1"/>
  <c r="N46"/>
  <c r="L46"/>
  <c r="P44" i="41"/>
  <c r="Q44" s="1"/>
  <c r="E43" i="40"/>
  <c r="D43"/>
  <c r="E6" i="50"/>
  <c r="I6"/>
  <c r="J42" i="10"/>
  <c r="H54" i="50"/>
  <c r="G54"/>
  <c r="F54"/>
  <c r="D58"/>
  <c r="C58"/>
  <c r="B58"/>
  <c r="L42" i="7"/>
  <c r="AL42"/>
  <c r="AL40"/>
  <c r="AL39"/>
  <c r="AL38"/>
  <c r="AL37"/>
  <c r="AL36"/>
  <c r="AL35"/>
  <c r="AL34"/>
  <c r="AL33"/>
  <c r="AL32"/>
  <c r="AL31"/>
  <c r="AL30"/>
  <c r="AL29"/>
  <c r="L43"/>
  <c r="E58" i="50" l="1"/>
  <c r="I54"/>
  <c r="O46" i="5"/>
  <c r="M46"/>
  <c r="L46"/>
  <c r="J46"/>
  <c r="I46"/>
  <c r="F46"/>
  <c r="E46"/>
  <c r="B46"/>
  <c r="P46" l="1"/>
  <c r="R46" s="1"/>
  <c r="S46" s="1"/>
  <c r="J20" i="60"/>
  <c r="E20"/>
  <c r="I60" i="50" l="1"/>
  <c r="E60"/>
  <c r="J21" i="60"/>
  <c r="E21"/>
  <c r="L22" i="61"/>
  <c r="F22"/>
  <c r="AM43" i="7"/>
  <c r="AL43"/>
  <c r="O43"/>
  <c r="U45" i="6"/>
  <c r="M45"/>
  <c r="J45"/>
  <c r="G45"/>
  <c r="D45"/>
  <c r="N45" l="1"/>
  <c r="V45" s="1"/>
  <c r="AN43" i="7"/>
  <c r="AO43" s="1"/>
  <c r="G46" i="51"/>
  <c r="I46" s="1"/>
  <c r="J46" s="1"/>
  <c r="N47" i="3"/>
  <c r="O47" s="1"/>
  <c r="L47"/>
  <c r="K47"/>
  <c r="J47"/>
  <c r="G47"/>
  <c r="D47"/>
  <c r="K43" i="7"/>
  <c r="F43"/>
  <c r="G46" i="4" l="1"/>
  <c r="AX45" i="1"/>
  <c r="AV45"/>
  <c r="BH45"/>
  <c r="AO45"/>
  <c r="AN45"/>
  <c r="AM45"/>
  <c r="AL45"/>
  <c r="AH45"/>
  <c r="AD45"/>
  <c r="V45"/>
  <c r="W45" s="1"/>
  <c r="S45"/>
  <c r="T45" s="1"/>
  <c r="N45"/>
  <c r="L45"/>
  <c r="BC45" s="1"/>
  <c r="I44" i="36"/>
  <c r="F44"/>
  <c r="I44" i="35"/>
  <c r="F44"/>
  <c r="CA45" i="1"/>
  <c r="CD45"/>
  <c r="Q43" i="41"/>
  <c r="P43"/>
  <c r="E42" i="40"/>
  <c r="D42"/>
  <c r="K44" i="36" l="1"/>
  <c r="K44" i="35"/>
  <c r="AP45" i="1"/>
  <c r="BT45" s="1"/>
  <c r="BW45"/>
  <c r="BU45"/>
  <c r="W56" i="39"/>
  <c r="W54"/>
  <c r="V54"/>
  <c r="U56"/>
  <c r="U54"/>
  <c r="B28" i="10"/>
  <c r="N28"/>
  <c r="L28"/>
  <c r="J28"/>
  <c r="I28"/>
  <c r="H28"/>
  <c r="G28"/>
  <c r="F28"/>
  <c r="D28"/>
  <c r="C28"/>
  <c r="H4" i="63"/>
  <c r="I4"/>
  <c r="G4"/>
  <c r="F4"/>
  <c r="E4"/>
  <c r="D4"/>
  <c r="C4"/>
  <c r="BV45" i="1" l="1"/>
  <c r="J40" i="33"/>
  <c r="J38"/>
  <c r="W34" i="27"/>
  <c r="L21" i="61"/>
  <c r="F21"/>
  <c r="J40" i="10"/>
  <c r="R31" i="27"/>
  <c r="Q31"/>
  <c r="P31"/>
  <c r="O31"/>
  <c r="U42" i="45"/>
  <c r="I43" i="36" l="1"/>
  <c r="F43"/>
  <c r="I41"/>
  <c r="F41"/>
  <c r="M45" i="5"/>
  <c r="O45" s="1"/>
  <c r="J45"/>
  <c r="L45" s="1"/>
  <c r="F45"/>
  <c r="I45" s="1"/>
  <c r="B45"/>
  <c r="E45" s="1"/>
  <c r="M43"/>
  <c r="O43" s="1"/>
  <c r="J43"/>
  <c r="L43" s="1"/>
  <c r="I43"/>
  <c r="F43"/>
  <c r="B43"/>
  <c r="E43" s="1"/>
  <c r="K43" i="36" l="1"/>
  <c r="K41"/>
  <c r="P43" i="5"/>
  <c r="R43" s="1"/>
  <c r="S43" s="1"/>
  <c r="P45"/>
  <c r="R45" s="1"/>
  <c r="S45" s="1"/>
  <c r="AM42" i="7" l="1"/>
  <c r="O42"/>
  <c r="F42"/>
  <c r="K42" s="1"/>
  <c r="AN42" l="1"/>
  <c r="AO42" s="1"/>
  <c r="I43" i="35" l="1"/>
  <c r="F43"/>
  <c r="G45" i="51"/>
  <c r="I45" s="1"/>
  <c r="J45" s="1"/>
  <c r="K43" i="35" l="1"/>
  <c r="G45" i="4"/>
  <c r="K46" i="3"/>
  <c r="K44"/>
  <c r="J46"/>
  <c r="G46"/>
  <c r="L46" s="1"/>
  <c r="N46" s="1"/>
  <c r="O46" s="1"/>
  <c r="D46"/>
  <c r="CA44" i="1"/>
  <c r="CD44"/>
  <c r="BH44"/>
  <c r="AV44"/>
  <c r="BU44" s="1"/>
  <c r="AO44"/>
  <c r="AN44"/>
  <c r="AM44"/>
  <c r="AL44"/>
  <c r="AH44"/>
  <c r="AD44"/>
  <c r="S44"/>
  <c r="T44" s="1"/>
  <c r="L44"/>
  <c r="BC44" s="1"/>
  <c r="P42" i="41"/>
  <c r="Q42" s="1"/>
  <c r="E41" i="40"/>
  <c r="D41"/>
  <c r="BW44" i="1" l="1"/>
  <c r="N44"/>
  <c r="V44" s="1"/>
  <c r="W44" s="1"/>
  <c r="AP44"/>
  <c r="AX44"/>
  <c r="J44" i="3"/>
  <c r="G44"/>
  <c r="D44"/>
  <c r="CD42" i="1"/>
  <c r="CA42"/>
  <c r="BH42"/>
  <c r="AV42"/>
  <c r="BU42" s="1"/>
  <c r="AO42"/>
  <c r="AN42"/>
  <c r="AM42"/>
  <c r="AL42"/>
  <c r="AH42"/>
  <c r="AD42"/>
  <c r="S42"/>
  <c r="T42" s="1"/>
  <c r="L42"/>
  <c r="BC42" s="1"/>
  <c r="BV44" l="1"/>
  <c r="BT44"/>
  <c r="AP42"/>
  <c r="BT42" s="1"/>
  <c r="AX42"/>
  <c r="AZ45" s="1"/>
  <c r="L44" i="3"/>
  <c r="N44" s="1"/>
  <c r="O44" s="1"/>
  <c r="N42" i="1"/>
  <c r="V42" s="1"/>
  <c r="W42" s="1"/>
  <c r="BW42"/>
  <c r="BV42" l="1"/>
  <c r="J18" i="60"/>
  <c r="E18"/>
  <c r="C6"/>
  <c r="D6"/>
  <c r="F6"/>
  <c r="G6"/>
  <c r="H6"/>
  <c r="I6"/>
  <c r="K6"/>
  <c r="L6"/>
  <c r="M6"/>
  <c r="N6"/>
  <c r="O6"/>
  <c r="P6"/>
  <c r="Q6"/>
  <c r="B6"/>
  <c r="C6" i="61"/>
  <c r="D6"/>
  <c r="E6"/>
  <c r="G6"/>
  <c r="H6"/>
  <c r="I6"/>
  <c r="J6"/>
  <c r="K6"/>
  <c r="M6"/>
  <c r="N6"/>
  <c r="O6"/>
  <c r="P6"/>
  <c r="Q6"/>
  <c r="R6"/>
  <c r="S6"/>
  <c r="B6"/>
  <c r="L20"/>
  <c r="F20"/>
  <c r="J6" i="60" l="1"/>
  <c r="E6"/>
  <c r="U41" i="45"/>
  <c r="AK28" i="7" l="1"/>
  <c r="AJ28"/>
  <c r="AI28"/>
  <c r="AH28"/>
  <c r="AG28"/>
  <c r="AF28"/>
  <c r="AE28"/>
  <c r="AD28"/>
  <c r="AC28"/>
  <c r="AB28"/>
  <c r="AA28"/>
  <c r="Z28"/>
  <c r="Y28"/>
  <c r="X28"/>
  <c r="W28"/>
  <c r="T28"/>
  <c r="S28"/>
  <c r="R28"/>
  <c r="Q28"/>
  <c r="P28"/>
  <c r="N28"/>
  <c r="M28"/>
  <c r="J28"/>
  <c r="I28"/>
  <c r="H28"/>
  <c r="G28"/>
  <c r="E28"/>
  <c r="D28"/>
  <c r="C28"/>
  <c r="B28"/>
  <c r="AM40"/>
  <c r="O40"/>
  <c r="F40"/>
  <c r="K40" s="1"/>
  <c r="I59" i="50"/>
  <c r="E59"/>
  <c r="H31" i="51"/>
  <c r="F31"/>
  <c r="E31"/>
  <c r="D31"/>
  <c r="C31"/>
  <c r="B31"/>
  <c r="Q31" i="5"/>
  <c r="N31"/>
  <c r="L31"/>
  <c r="K31"/>
  <c r="J31"/>
  <c r="H31"/>
  <c r="G31"/>
  <c r="D31"/>
  <c r="C31"/>
  <c r="O31"/>
  <c r="M31"/>
  <c r="M42"/>
  <c r="J42"/>
  <c r="F31"/>
  <c r="F42"/>
  <c r="E31"/>
  <c r="B42"/>
  <c r="G43" i="51"/>
  <c r="G31" s="1"/>
  <c r="G43" i="4"/>
  <c r="I41" i="35"/>
  <c r="K41" s="1"/>
  <c r="AN40" i="7" l="1"/>
  <c r="AO40" s="1"/>
  <c r="B31" i="5"/>
  <c r="I31"/>
  <c r="I43" i="51"/>
  <c r="J43" s="1"/>
  <c r="J31" s="1"/>
  <c r="I31" l="1"/>
  <c r="K40" i="33"/>
  <c r="J39"/>
  <c r="K39" s="1"/>
  <c r="K38"/>
  <c r="J37"/>
  <c r="K37" s="1"/>
  <c r="J36"/>
  <c r="K36" s="1"/>
  <c r="J35"/>
  <c r="K35" s="1"/>
  <c r="J34"/>
  <c r="K34" s="1"/>
  <c r="J33"/>
  <c r="K33" s="1"/>
  <c r="J32"/>
  <c r="K32" s="1"/>
  <c r="J31"/>
  <c r="K31" s="1"/>
  <c r="J30"/>
  <c r="K30" s="1"/>
  <c r="J29"/>
  <c r="K29" s="1"/>
  <c r="I28"/>
  <c r="H28"/>
  <c r="G28"/>
  <c r="F28"/>
  <c r="E28"/>
  <c r="D28"/>
  <c r="C28"/>
  <c r="B28"/>
  <c r="P31" i="5" l="1"/>
  <c r="J28" i="33"/>
  <c r="K28"/>
  <c r="S31" i="5" l="1"/>
  <c r="R31"/>
  <c r="K29" i="36"/>
  <c r="J29"/>
  <c r="I29"/>
  <c r="H29"/>
  <c r="G29"/>
  <c r="F29"/>
  <c r="E29"/>
  <c r="D29"/>
  <c r="C29"/>
  <c r="B29"/>
  <c r="J38" i="10"/>
  <c r="G31" i="4"/>
  <c r="F31"/>
  <c r="E31"/>
  <c r="D31"/>
  <c r="C31"/>
  <c r="B31"/>
  <c r="K29" i="35"/>
  <c r="J29"/>
  <c r="I29"/>
  <c r="H29"/>
  <c r="G29"/>
  <c r="F29"/>
  <c r="E29"/>
  <c r="D29"/>
  <c r="C29"/>
  <c r="B29"/>
  <c r="L29" i="2"/>
  <c r="O32" i="3"/>
  <c r="N32"/>
  <c r="M32"/>
  <c r="L32"/>
  <c r="K32"/>
  <c r="J32"/>
  <c r="I32"/>
  <c r="H32"/>
  <c r="G32"/>
  <c r="F32"/>
  <c r="E32"/>
  <c r="D32"/>
  <c r="C32"/>
  <c r="B32"/>
  <c r="CD30" i="1"/>
  <c r="CC30"/>
  <c r="CB30"/>
  <c r="CA30"/>
  <c r="BZ30"/>
  <c r="BY30"/>
  <c r="BX30"/>
  <c r="BW30"/>
  <c r="BV30"/>
  <c r="BU30"/>
  <c r="BT30"/>
  <c r="BS30"/>
  <c r="BR30"/>
  <c r="BN30"/>
  <c r="BM30"/>
  <c r="BL30"/>
  <c r="BK30"/>
  <c r="BJ30"/>
  <c r="BH30"/>
  <c r="BG30"/>
  <c r="BF30"/>
  <c r="BE30"/>
  <c r="BD30"/>
  <c r="BC30"/>
  <c r="BB30"/>
  <c r="BA30"/>
  <c r="AX30"/>
  <c r="AW30"/>
  <c r="AV30"/>
  <c r="AU30"/>
  <c r="AT30"/>
  <c r="AS30"/>
  <c r="AR30"/>
  <c r="AP30"/>
  <c r="AO30"/>
  <c r="AN30"/>
  <c r="AM30"/>
  <c r="AL30"/>
  <c r="AK30"/>
  <c r="AJ30"/>
  <c r="AI30"/>
  <c r="AH30"/>
  <c r="AG30"/>
  <c r="AF30"/>
  <c r="AE30"/>
  <c r="AD30"/>
  <c r="AC30"/>
  <c r="AB30"/>
  <c r="AA30"/>
  <c r="W30"/>
  <c r="V30"/>
  <c r="U30"/>
  <c r="T30"/>
  <c r="S30"/>
  <c r="R30"/>
  <c r="Q30"/>
  <c r="P30"/>
  <c r="O30"/>
  <c r="N30"/>
  <c r="M30"/>
  <c r="L30"/>
  <c r="K30"/>
  <c r="J30"/>
  <c r="Q24" i="11" l="1"/>
  <c r="P24"/>
  <c r="O24"/>
  <c r="N24"/>
  <c r="M24"/>
  <c r="L24"/>
  <c r="K24"/>
  <c r="J24"/>
  <c r="I24"/>
  <c r="H24"/>
  <c r="G24"/>
  <c r="F24"/>
  <c r="E24"/>
  <c r="D24"/>
  <c r="C24"/>
  <c r="B24"/>
  <c r="D29" i="2"/>
  <c r="B29"/>
  <c r="Q40" i="41"/>
  <c r="P40"/>
  <c r="E39" i="40"/>
  <c r="D39"/>
  <c r="E27" l="1"/>
  <c r="D27"/>
  <c r="C27"/>
  <c r="B27"/>
  <c r="Q28" i="41"/>
  <c r="P28"/>
  <c r="O28"/>
  <c r="N28"/>
  <c r="M28"/>
  <c r="L28"/>
  <c r="K28"/>
  <c r="J28"/>
  <c r="I28"/>
  <c r="H28"/>
  <c r="G28"/>
  <c r="F28"/>
  <c r="E28"/>
  <c r="D28"/>
  <c r="C28"/>
  <c r="B28"/>
  <c r="T27" i="45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D27" i="28"/>
  <c r="C27"/>
  <c r="B27"/>
  <c r="AM29" i="43"/>
  <c r="AL29"/>
  <c r="AK29"/>
  <c r="AJ29"/>
  <c r="AI29"/>
  <c r="AH29"/>
  <c r="AG29"/>
  <c r="AF29"/>
  <c r="AE29"/>
  <c r="AD29"/>
  <c r="AC29"/>
  <c r="AB29"/>
  <c r="Z29"/>
  <c r="Y29"/>
  <c r="X29"/>
  <c r="W29"/>
  <c r="V29"/>
  <c r="U29"/>
  <c r="T29"/>
  <c r="S29"/>
  <c r="R29"/>
  <c r="Q29"/>
  <c r="P29"/>
  <c r="O29"/>
  <c r="M29"/>
  <c r="L29"/>
  <c r="K29"/>
  <c r="J29"/>
  <c r="I29"/>
  <c r="H29"/>
  <c r="G29"/>
  <c r="F29"/>
  <c r="E29"/>
  <c r="D29"/>
  <c r="C29"/>
  <c r="B29"/>
  <c r="L18" i="61"/>
  <c r="F18"/>
  <c r="J17" i="60"/>
  <c r="E17"/>
  <c r="L6" i="61" l="1"/>
  <c r="F6"/>
  <c r="U27" i="45"/>
  <c r="U39"/>
  <c r="BW30" i="58" l="1"/>
  <c r="BU30"/>
  <c r="BS30"/>
  <c r="BQ30"/>
  <c r="BO30"/>
  <c r="BM30"/>
  <c r="BK30"/>
  <c r="BH30"/>
  <c r="BF30"/>
  <c r="BD30"/>
  <c r="BB30"/>
  <c r="AZ30"/>
  <c r="AX30"/>
  <c r="AV30"/>
  <c r="AS30"/>
  <c r="AQ30"/>
  <c r="AO30"/>
  <c r="AM30"/>
  <c r="AK30"/>
  <c r="AI30"/>
  <c r="AG30"/>
  <c r="AD30"/>
  <c r="AB30"/>
  <c r="Z30"/>
  <c r="X30"/>
  <c r="V30"/>
  <c r="T30"/>
  <c r="R30"/>
  <c r="O30"/>
  <c r="M30"/>
  <c r="K30"/>
  <c r="I30"/>
  <c r="G30"/>
  <c r="E30"/>
  <c r="C30"/>
  <c r="L39" i="7"/>
  <c r="J37" i="10"/>
  <c r="AM39" i="7"/>
  <c r="O39"/>
  <c r="F39"/>
  <c r="AN39" l="1"/>
  <c r="AO39" s="1"/>
  <c r="K39"/>
  <c r="O29" i="2"/>
  <c r="M29"/>
  <c r="K29"/>
  <c r="I40" i="36"/>
  <c r="F40"/>
  <c r="I40" i="35"/>
  <c r="F40"/>
  <c r="O42" i="5"/>
  <c r="L42"/>
  <c r="I42"/>
  <c r="E42"/>
  <c r="K40" i="36" l="1"/>
  <c r="K40" i="35"/>
  <c r="P42" i="5"/>
  <c r="R42" s="1"/>
  <c r="S42" s="1"/>
  <c r="BH41" i="1"/>
  <c r="CD41"/>
  <c r="CA41"/>
  <c r="AV41"/>
  <c r="AX41" s="1"/>
  <c r="AY44" s="1"/>
  <c r="AZ44" s="1"/>
  <c r="AV39"/>
  <c r="AL41"/>
  <c r="AN41"/>
  <c r="AO41"/>
  <c r="AM41"/>
  <c r="AH41"/>
  <c r="AD41"/>
  <c r="S41"/>
  <c r="T41" s="1"/>
  <c r="L41"/>
  <c r="N41" s="1"/>
  <c r="V41" s="1"/>
  <c r="W41" s="1"/>
  <c r="G42" i="51"/>
  <c r="I42" s="1"/>
  <c r="J42" s="1"/>
  <c r="G42" i="4"/>
  <c r="K43" i="3"/>
  <c r="J43"/>
  <c r="G43"/>
  <c r="D43"/>
  <c r="J27" i="33"/>
  <c r="J26"/>
  <c r="J25"/>
  <c r="J24"/>
  <c r="J23"/>
  <c r="J22"/>
  <c r="J21"/>
  <c r="J20"/>
  <c r="J19"/>
  <c r="J18"/>
  <c r="J17"/>
  <c r="J16"/>
  <c r="L43" i="3" l="1"/>
  <c r="N43" s="1"/>
  <c r="O43" s="1"/>
  <c r="BU41" i="1"/>
  <c r="BW41"/>
  <c r="BC41"/>
  <c r="AP41"/>
  <c r="Q39" i="41"/>
  <c r="P39"/>
  <c r="E38" i="40"/>
  <c r="D38"/>
  <c r="L17" i="61"/>
  <c r="F17"/>
  <c r="J16" i="60"/>
  <c r="E16"/>
  <c r="BV41" i="1" l="1"/>
  <c r="BT41"/>
  <c r="U38" i="45"/>
  <c r="J36" i="10" l="1"/>
  <c r="L38" i="7"/>
  <c r="F38" l="1"/>
  <c r="K38" s="1"/>
  <c r="AM38"/>
  <c r="O38"/>
  <c r="I39" i="36"/>
  <c r="F39"/>
  <c r="M41" i="5"/>
  <c r="O41" s="1"/>
  <c r="J41"/>
  <c r="L41" s="1"/>
  <c r="F41"/>
  <c r="I41" s="1"/>
  <c r="B41"/>
  <c r="E41" s="1"/>
  <c r="G41" i="51"/>
  <c r="I41" s="1"/>
  <c r="J41" s="1"/>
  <c r="G41" i="4"/>
  <c r="I39" i="35"/>
  <c r="F39"/>
  <c r="K42" i="3"/>
  <c r="J42"/>
  <c r="G42"/>
  <c r="D42"/>
  <c r="K39" i="35" l="1"/>
  <c r="L42" i="3"/>
  <c r="N42" s="1"/>
  <c r="O42" s="1"/>
  <c r="P41" i="5"/>
  <c r="R41" s="1"/>
  <c r="S41" s="1"/>
  <c r="K39" i="36"/>
  <c r="AN38" i="7"/>
  <c r="AO38" s="1"/>
  <c r="CD40" i="1"/>
  <c r="CA40"/>
  <c r="BH40"/>
  <c r="AV40"/>
  <c r="BU40" s="1"/>
  <c r="AL40"/>
  <c r="AO40"/>
  <c r="AN40"/>
  <c r="AM40"/>
  <c r="AH40"/>
  <c r="AD40"/>
  <c r="S40"/>
  <c r="T40" s="1"/>
  <c r="L40"/>
  <c r="BC40" s="1"/>
  <c r="D37" i="40"/>
  <c r="E37"/>
  <c r="P38" i="41"/>
  <c r="Q38" s="1"/>
  <c r="L16" i="61"/>
  <c r="F16"/>
  <c r="J15" i="60"/>
  <c r="E15"/>
  <c r="Q55" i="37"/>
  <c r="AM37" i="7"/>
  <c r="O37"/>
  <c r="F37"/>
  <c r="AN37" l="1"/>
  <c r="AO37" s="1"/>
  <c r="K37"/>
  <c r="AX40" i="1"/>
  <c r="BW40"/>
  <c r="N40"/>
  <c r="V40" s="1"/>
  <c r="W40" s="1"/>
  <c r="AP40"/>
  <c r="U37" i="45"/>
  <c r="AZ42" i="1" l="1"/>
  <c r="AZ30" s="1"/>
  <c r="AY30"/>
  <c r="BT40"/>
  <c r="BV40"/>
  <c r="BU39"/>
  <c r="CD39"/>
  <c r="I38" i="36"/>
  <c r="F38"/>
  <c r="M40" i="5"/>
  <c r="O40" s="1"/>
  <c r="J40"/>
  <c r="L40" s="1"/>
  <c r="F40"/>
  <c r="I40" s="1"/>
  <c r="B40"/>
  <c r="E40" s="1"/>
  <c r="G40" i="51"/>
  <c r="I40" s="1"/>
  <c r="J40" s="1"/>
  <c r="G40" i="4"/>
  <c r="I38" i="35"/>
  <c r="F38"/>
  <c r="K41" i="3"/>
  <c r="J41"/>
  <c r="G41"/>
  <c r="D41"/>
  <c r="CA39" i="1"/>
  <c r="BH39"/>
  <c r="BW39"/>
  <c r="AX39"/>
  <c r="AY41" s="1"/>
  <c r="AZ41" s="1"/>
  <c r="AL39"/>
  <c r="AO39"/>
  <c r="AN39"/>
  <c r="AM39"/>
  <c r="AH39"/>
  <c r="AD39"/>
  <c r="S39"/>
  <c r="T39" s="1"/>
  <c r="L39"/>
  <c r="BC39" s="1"/>
  <c r="J14" i="60"/>
  <c r="E14"/>
  <c r="L15" i="61"/>
  <c r="F15"/>
  <c r="J35" i="10"/>
  <c r="D55" i="50"/>
  <c r="D54" s="1"/>
  <c r="C55"/>
  <c r="C54" s="1"/>
  <c r="B55"/>
  <c r="B54" s="1"/>
  <c r="K38" i="35" l="1"/>
  <c r="E54" i="50"/>
  <c r="E55"/>
  <c r="K38" i="36"/>
  <c r="L41" i="3"/>
  <c r="N41" s="1"/>
  <c r="O41" s="1"/>
  <c r="P40" i="5"/>
  <c r="R40" s="1"/>
  <c r="S40" s="1"/>
  <c r="N39" i="1"/>
  <c r="V39" s="1"/>
  <c r="W39" s="1"/>
  <c r="AP39"/>
  <c r="I57" i="50"/>
  <c r="E57"/>
  <c r="P37" i="41"/>
  <c r="Q37" s="1"/>
  <c r="E36" i="40"/>
  <c r="D36"/>
  <c r="BV39" i="1" l="1"/>
  <c r="BT39"/>
  <c r="Q56" i="39"/>
  <c r="L56"/>
  <c r="J56"/>
  <c r="G56"/>
  <c r="Q55" i="38"/>
  <c r="S55" i="37"/>
  <c r="U36" i="45"/>
  <c r="S56" i="37" l="1"/>
  <c r="K56"/>
  <c r="C56"/>
  <c r="E56"/>
  <c r="N56"/>
  <c r="G56"/>
  <c r="P56"/>
  <c r="H56"/>
  <c r="I56"/>
  <c r="U55"/>
  <c r="R56"/>
  <c r="J56"/>
  <c r="B56"/>
  <c r="L56"/>
  <c r="D56"/>
  <c r="M56"/>
  <c r="F56"/>
  <c r="O56"/>
  <c r="Q56"/>
  <c r="S55" i="38"/>
  <c r="Q56" s="1"/>
  <c r="AM36" i="7"/>
  <c r="O36"/>
  <c r="L36"/>
  <c r="F36"/>
  <c r="I37" i="36"/>
  <c r="F37"/>
  <c r="M39" i="5"/>
  <c r="O39" s="1"/>
  <c r="J39"/>
  <c r="L39" s="1"/>
  <c r="F39"/>
  <c r="I39" s="1"/>
  <c r="B39"/>
  <c r="E39" s="1"/>
  <c r="I37" i="35"/>
  <c r="F37"/>
  <c r="G39" i="51"/>
  <c r="I39" s="1"/>
  <c r="J39" s="1"/>
  <c r="G39" i="4"/>
  <c r="K40" i="3"/>
  <c r="J40"/>
  <c r="G40"/>
  <c r="D40"/>
  <c r="CA38" i="1"/>
  <c r="CD38"/>
  <c r="BH38"/>
  <c r="AV38"/>
  <c r="AX38" s="1"/>
  <c r="AY40" s="1"/>
  <c r="AZ40" s="1"/>
  <c r="AL38"/>
  <c r="AO38"/>
  <c r="AN38"/>
  <c r="AM38"/>
  <c r="AH38"/>
  <c r="AD38"/>
  <c r="S38"/>
  <c r="T38" s="1"/>
  <c r="L38"/>
  <c r="BC38" s="1"/>
  <c r="J34" i="10"/>
  <c r="P36" i="41"/>
  <c r="Q36" s="1"/>
  <c r="E35" i="40"/>
  <c r="D35"/>
  <c r="L14" i="61"/>
  <c r="F14"/>
  <c r="J13" i="60"/>
  <c r="E13"/>
  <c r="AM35" i="7"/>
  <c r="AN35" s="1"/>
  <c r="AO35" s="1"/>
  <c r="O35"/>
  <c r="U35" i="45"/>
  <c r="K35" i="7" l="1"/>
  <c r="K37" i="35"/>
  <c r="AN36" i="7"/>
  <c r="AO36" s="1"/>
  <c r="L40" i="3"/>
  <c r="N40" s="1"/>
  <c r="O40" s="1"/>
  <c r="K37" i="36"/>
  <c r="P39" i="5"/>
  <c r="R39" s="1"/>
  <c r="S39" s="1"/>
  <c r="BW38" i="1"/>
  <c r="N38"/>
  <c r="V38" s="1"/>
  <c r="W38" s="1"/>
  <c r="BU38"/>
  <c r="AP38"/>
  <c r="K36" i="7"/>
  <c r="L56" i="38"/>
  <c r="D56"/>
  <c r="K56"/>
  <c r="M56"/>
  <c r="E56"/>
  <c r="G56"/>
  <c r="H56"/>
  <c r="I56"/>
  <c r="R56"/>
  <c r="B56"/>
  <c r="C56"/>
  <c r="N56"/>
  <c r="F56"/>
  <c r="O56"/>
  <c r="P56"/>
  <c r="U55"/>
  <c r="J56"/>
  <c r="S56"/>
  <c r="I36" i="36"/>
  <c r="F36"/>
  <c r="I36" i="35"/>
  <c r="F36"/>
  <c r="M38" i="5"/>
  <c r="O38" s="1"/>
  <c r="J38"/>
  <c r="L38" s="1"/>
  <c r="I38"/>
  <c r="F38"/>
  <c r="B38"/>
  <c r="E38" s="1"/>
  <c r="G38" i="51"/>
  <c r="I38" s="1"/>
  <c r="J38" s="1"/>
  <c r="G38" i="4"/>
  <c r="AV37" i="1"/>
  <c r="K39" i="3"/>
  <c r="J39"/>
  <c r="G39"/>
  <c r="D39"/>
  <c r="CD37" i="1"/>
  <c r="CA37"/>
  <c r="BH37"/>
  <c r="AL37"/>
  <c r="AO37"/>
  <c r="AN37"/>
  <c r="AM37"/>
  <c r="AH37"/>
  <c r="AD37"/>
  <c r="S37"/>
  <c r="T37" s="1"/>
  <c r="L37"/>
  <c r="BC37" s="1"/>
  <c r="F16" i="13"/>
  <c r="E16"/>
  <c r="Q35" i="41"/>
  <c r="P35"/>
  <c r="E34" i="40"/>
  <c r="D34"/>
  <c r="L13" i="61"/>
  <c r="F13"/>
  <c r="L39" i="3" l="1"/>
  <c r="N39" s="1"/>
  <c r="O39" s="1"/>
  <c r="K36" i="36"/>
  <c r="N37" i="1"/>
  <c r="V37" s="1"/>
  <c r="W37" s="1"/>
  <c r="BT38"/>
  <c r="BV38"/>
  <c r="K36" i="35"/>
  <c r="P38" i="5"/>
  <c r="R38" s="1"/>
  <c r="S38" s="1"/>
  <c r="AP37" i="1"/>
  <c r="BV37" s="1"/>
  <c r="BU37"/>
  <c r="AX37"/>
  <c r="AY39" s="1"/>
  <c r="AZ39" s="1"/>
  <c r="BW37"/>
  <c r="J33" i="10"/>
  <c r="J12" i="60"/>
  <c r="E12"/>
  <c r="AM34" i="7"/>
  <c r="O34"/>
  <c r="AN34" l="1"/>
  <c r="BT37" i="1"/>
  <c r="W33" i="27"/>
  <c r="U34" i="45"/>
  <c r="K38" i="3" l="1"/>
  <c r="AV36" i="1"/>
  <c r="L34" i="7"/>
  <c r="F34"/>
  <c r="I35" i="36"/>
  <c r="F35"/>
  <c r="K35" l="1"/>
  <c r="K34" i="7"/>
  <c r="AO34"/>
  <c r="CD36" i="1"/>
  <c r="O37" i="5"/>
  <c r="M37"/>
  <c r="J37"/>
  <c r="L37" s="1"/>
  <c r="F37"/>
  <c r="I37" s="1"/>
  <c r="B37"/>
  <c r="E37" s="1"/>
  <c r="BU36" i="1"/>
  <c r="P34" i="41"/>
  <c r="Q34" s="1"/>
  <c r="E33" i="40"/>
  <c r="D33"/>
  <c r="J32" i="10"/>
  <c r="I35" i="35"/>
  <c r="F35"/>
  <c r="G37" i="51"/>
  <c r="I37" s="1"/>
  <c r="J37" s="1"/>
  <c r="G37" i="4"/>
  <c r="J38" i="3"/>
  <c r="G38"/>
  <c r="D38"/>
  <c r="AX36" i="1"/>
  <c r="AZ38" s="1"/>
  <c r="BH36"/>
  <c r="AL36"/>
  <c r="AO36"/>
  <c r="AN36"/>
  <c r="AM36"/>
  <c r="AH36"/>
  <c r="AD36"/>
  <c r="S36"/>
  <c r="T36" s="1"/>
  <c r="L36"/>
  <c r="BC36" s="1"/>
  <c r="CA36"/>
  <c r="L12" i="61"/>
  <c r="F12"/>
  <c r="I56" i="50"/>
  <c r="E56"/>
  <c r="AM33" i="7"/>
  <c r="AN33" s="1"/>
  <c r="O33"/>
  <c r="N36" i="1" l="1"/>
  <c r="V36" s="1"/>
  <c r="W36" s="1"/>
  <c r="K35" i="35"/>
  <c r="L38" i="3"/>
  <c r="N38" s="1"/>
  <c r="O38" s="1"/>
  <c r="AP36" i="1"/>
  <c r="P37" i="5"/>
  <c r="R37" s="1"/>
  <c r="S37" s="1"/>
  <c r="BW36" i="1"/>
  <c r="J11" i="60"/>
  <c r="E11"/>
  <c r="U33" i="45"/>
  <c r="U43" i="6"/>
  <c r="M43"/>
  <c r="J43"/>
  <c r="G43"/>
  <c r="D43"/>
  <c r="AO33" i="7"/>
  <c r="I34" i="36"/>
  <c r="F34"/>
  <c r="O36" i="5"/>
  <c r="M36"/>
  <c r="J36"/>
  <c r="L36" s="1"/>
  <c r="F36"/>
  <c r="I36" s="1"/>
  <c r="B36"/>
  <c r="E36" s="1"/>
  <c r="G36" i="51"/>
  <c r="I36" s="1"/>
  <c r="J36" s="1"/>
  <c r="G36" i="4"/>
  <c r="I34" i="35"/>
  <c r="F34"/>
  <c r="K37" i="3"/>
  <c r="J37"/>
  <c r="G37"/>
  <c r="L37" s="1"/>
  <c r="N37" s="1"/>
  <c r="O37" s="1"/>
  <c r="CD35" i="1"/>
  <c r="CD34"/>
  <c r="D37" i="3"/>
  <c r="CA35" i="1"/>
  <c r="CA34"/>
  <c r="BH35"/>
  <c r="AV35"/>
  <c r="AX35" s="1"/>
  <c r="AY37" s="1"/>
  <c r="AZ37" s="1"/>
  <c r="AL35"/>
  <c r="AO35"/>
  <c r="AN35"/>
  <c r="AM35"/>
  <c r="AH35"/>
  <c r="AD35"/>
  <c r="N43" i="6" l="1"/>
  <c r="V43" s="1"/>
  <c r="K34" i="36"/>
  <c r="P36" i="5"/>
  <c r="R36" s="1"/>
  <c r="S36" s="1"/>
  <c r="K33" i="7"/>
  <c r="BW35" i="1"/>
  <c r="BU35"/>
  <c r="AP35"/>
  <c r="BT36"/>
  <c r="BV36"/>
  <c r="K34" i="35"/>
  <c r="S35" i="1"/>
  <c r="T35" s="1"/>
  <c r="L35"/>
  <c r="BC35" s="1"/>
  <c r="G15" i="44"/>
  <c r="F15"/>
  <c r="E15"/>
  <c r="D15"/>
  <c r="C15"/>
  <c r="B15"/>
  <c r="H16" i="13"/>
  <c r="G16"/>
  <c r="D16"/>
  <c r="C16"/>
  <c r="B16"/>
  <c r="J31" i="10"/>
  <c r="N35" i="1" l="1"/>
  <c r="V35" s="1"/>
  <c r="W35" s="1"/>
  <c r="BT35"/>
  <c r="BV35"/>
  <c r="J8" i="60"/>
  <c r="J9"/>
  <c r="J10"/>
  <c r="J7"/>
  <c r="E8"/>
  <c r="E9"/>
  <c r="E10"/>
  <c r="E7"/>
  <c r="L8" i="61"/>
  <c r="L9"/>
  <c r="L10"/>
  <c r="L11"/>
  <c r="L7"/>
  <c r="F8"/>
  <c r="F9"/>
  <c r="F10"/>
  <c r="F11"/>
  <c r="F7"/>
  <c r="Q33" i="41" l="1"/>
  <c r="P33"/>
  <c r="E32" i="40" l="1"/>
  <c r="D32"/>
  <c r="N15" i="10"/>
  <c r="L15"/>
  <c r="I15"/>
  <c r="H15"/>
  <c r="G15"/>
  <c r="F15"/>
  <c r="D15"/>
  <c r="C15"/>
  <c r="B15"/>
  <c r="AM32" i="7"/>
  <c r="O32"/>
  <c r="AN32" l="1"/>
  <c r="AO32" s="1"/>
  <c r="U32" i="45"/>
  <c r="F27" i="7"/>
  <c r="F26"/>
  <c r="F25"/>
  <c r="F24"/>
  <c r="L23"/>
  <c r="F23"/>
  <c r="L22"/>
  <c r="F22"/>
  <c r="L21"/>
  <c r="F21"/>
  <c r="F20"/>
  <c r="L19"/>
  <c r="F19"/>
  <c r="F18"/>
  <c r="F17"/>
  <c r="F16"/>
  <c r="U38" i="6"/>
  <c r="M38"/>
  <c r="J38"/>
  <c r="G38"/>
  <c r="D38"/>
  <c r="U37"/>
  <c r="M37"/>
  <c r="J37"/>
  <c r="G37"/>
  <c r="D37"/>
  <c r="U36"/>
  <c r="M36"/>
  <c r="J36"/>
  <c r="G36"/>
  <c r="D36"/>
  <c r="U35"/>
  <c r="M35"/>
  <c r="J35"/>
  <c r="G35"/>
  <c r="D35"/>
  <c r="U42"/>
  <c r="M42"/>
  <c r="J42"/>
  <c r="G42"/>
  <c r="D42"/>
  <c r="F32" i="7"/>
  <c r="K32" s="1"/>
  <c r="I33" i="36"/>
  <c r="F33"/>
  <c r="M35" i="5"/>
  <c r="O35" s="1"/>
  <c r="J35"/>
  <c r="L35" s="1"/>
  <c r="F35"/>
  <c r="I35" s="1"/>
  <c r="B35"/>
  <c r="E35" s="1"/>
  <c r="G35" i="51"/>
  <c r="I35" s="1"/>
  <c r="J35" s="1"/>
  <c r="G35" i="4"/>
  <c r="I33" i="35"/>
  <c r="K33" s="1"/>
  <c r="F33"/>
  <c r="K36" i="3"/>
  <c r="J36"/>
  <c r="G36"/>
  <c r="D36"/>
  <c r="BH34" i="1"/>
  <c r="AV34"/>
  <c r="AX34" s="1"/>
  <c r="AZ36" s="1"/>
  <c r="AL34"/>
  <c r="AO34"/>
  <c r="AN34"/>
  <c r="AM34"/>
  <c r="AH34"/>
  <c r="AD34"/>
  <c r="S34"/>
  <c r="T34" s="1"/>
  <c r="L34"/>
  <c r="BC34" s="1"/>
  <c r="J30" i="10"/>
  <c r="J29"/>
  <c r="P32" i="41"/>
  <c r="Q32" s="1"/>
  <c r="E31" i="40"/>
  <c r="D31"/>
  <c r="U31" i="45"/>
  <c r="I32" i="36"/>
  <c r="F32"/>
  <c r="M34" i="5"/>
  <c r="O34" s="1"/>
  <c r="J34"/>
  <c r="L34" s="1"/>
  <c r="F34"/>
  <c r="I34" s="1"/>
  <c r="B34"/>
  <c r="E34" s="1"/>
  <c r="G34" i="51"/>
  <c r="I34" s="1"/>
  <c r="J34" s="1"/>
  <c r="G34" i="4"/>
  <c r="I32" i="35"/>
  <c r="F32"/>
  <c r="K35" i="3"/>
  <c r="J35"/>
  <c r="G35"/>
  <c r="AV33" i="1"/>
  <c r="BU33" s="1"/>
  <c r="D35" i="3"/>
  <c r="L36" l="1"/>
  <c r="N36" s="1"/>
  <c r="O36" s="1"/>
  <c r="N37" i="6"/>
  <c r="V37" s="1"/>
  <c r="N34" i="1"/>
  <c r="V34" s="1"/>
  <c r="W34" s="1"/>
  <c r="BW34"/>
  <c r="AP34"/>
  <c r="BT34" s="1"/>
  <c r="K32" i="36"/>
  <c r="K33"/>
  <c r="P34" i="5"/>
  <c r="R34" s="1"/>
  <c r="S34" s="1"/>
  <c r="P35"/>
  <c r="R35" s="1"/>
  <c r="S35" s="1"/>
  <c r="BU34" i="1"/>
  <c r="N35" i="6"/>
  <c r="V35" s="1"/>
  <c r="K32" i="35"/>
  <c r="N36" i="6"/>
  <c r="V36" s="1"/>
  <c r="N38"/>
  <c r="V38" s="1"/>
  <c r="N42"/>
  <c r="V42" s="1"/>
  <c r="L35" i="3"/>
  <c r="N35" s="1"/>
  <c r="O35" s="1"/>
  <c r="BH33" i="1"/>
  <c r="BW33"/>
  <c r="AX33"/>
  <c r="AV32"/>
  <c r="BW32" s="1"/>
  <c r="AV31"/>
  <c r="AL33"/>
  <c r="AO33"/>
  <c r="AN33"/>
  <c r="AM33"/>
  <c r="AH33"/>
  <c r="AD33"/>
  <c r="S33"/>
  <c r="T33" s="1"/>
  <c r="L33"/>
  <c r="BC33" s="1"/>
  <c r="AM31" i="7"/>
  <c r="O31"/>
  <c r="F31"/>
  <c r="U41" i="6"/>
  <c r="M41"/>
  <c r="J41"/>
  <c r="G41"/>
  <c r="D41"/>
  <c r="CA33" i="1"/>
  <c r="CD33"/>
  <c r="M15" i="7"/>
  <c r="P31" i="41"/>
  <c r="Q31" s="1"/>
  <c r="E30" i="40"/>
  <c r="D30"/>
  <c r="I31" i="36"/>
  <c r="F31"/>
  <c r="H47" i="50"/>
  <c r="G47"/>
  <c r="F47"/>
  <c r="H51"/>
  <c r="G51"/>
  <c r="F51"/>
  <c r="D51"/>
  <c r="C51"/>
  <c r="B51"/>
  <c r="I53"/>
  <c r="E53"/>
  <c r="AM30" i="7"/>
  <c r="O30"/>
  <c r="L30"/>
  <c r="U30" i="45"/>
  <c r="F32" i="5"/>
  <c r="I32" s="1"/>
  <c r="F30"/>
  <c r="M33"/>
  <c r="O33" s="1"/>
  <c r="M32"/>
  <c r="O32" s="1"/>
  <c r="J33"/>
  <c r="L33" s="1"/>
  <c r="J32"/>
  <c r="L32" s="1"/>
  <c r="F33"/>
  <c r="I33" s="1"/>
  <c r="B33"/>
  <c r="E33" s="1"/>
  <c r="I31" i="35"/>
  <c r="F31"/>
  <c r="G33" i="51"/>
  <c r="I33" s="1"/>
  <c r="J33" s="1"/>
  <c r="G33" i="4"/>
  <c r="K34" i="3"/>
  <c r="J34"/>
  <c r="G34"/>
  <c r="D34"/>
  <c r="BH32" i="1"/>
  <c r="AL32"/>
  <c r="AO32"/>
  <c r="AN32"/>
  <c r="AM32"/>
  <c r="AH32"/>
  <c r="AD32"/>
  <c r="S32"/>
  <c r="T32" s="1"/>
  <c r="L32"/>
  <c r="BC32" s="1"/>
  <c r="CA32"/>
  <c r="O15" i="33"/>
  <c r="N15"/>
  <c r="M15"/>
  <c r="L15"/>
  <c r="I15"/>
  <c r="H15"/>
  <c r="G15"/>
  <c r="F15"/>
  <c r="E15"/>
  <c r="D15"/>
  <c r="C15"/>
  <c r="B15"/>
  <c r="K27"/>
  <c r="K26"/>
  <c r="CD32" i="1"/>
  <c r="U40" i="6"/>
  <c r="M40"/>
  <c r="J40"/>
  <c r="G40"/>
  <c r="D40"/>
  <c r="P30" i="41"/>
  <c r="Q30" s="1"/>
  <c r="E29" i="40"/>
  <c r="D29"/>
  <c r="J27" i="10"/>
  <c r="I30" i="36"/>
  <c r="F30"/>
  <c r="U29" i="45"/>
  <c r="O29" i="7"/>
  <c r="B32" i="5"/>
  <c r="E32" s="1"/>
  <c r="B30"/>
  <c r="AM29" i="7" l="1"/>
  <c r="AM28" s="1"/>
  <c r="AL28"/>
  <c r="L28"/>
  <c r="O28"/>
  <c r="F28"/>
  <c r="K31" i="36"/>
  <c r="BV34" i="1"/>
  <c r="AP33"/>
  <c r="BV33" s="1"/>
  <c r="AN31" i="7"/>
  <c r="AO31" s="1"/>
  <c r="N33" i="1"/>
  <c r="V33" s="1"/>
  <c r="W33" s="1"/>
  <c r="AY35"/>
  <c r="AZ35" s="1"/>
  <c r="K31" i="35"/>
  <c r="K31" i="7"/>
  <c r="N40" i="6"/>
  <c r="V40" s="1"/>
  <c r="N41"/>
  <c r="V41" s="1"/>
  <c r="E51" i="50"/>
  <c r="L34" i="3"/>
  <c r="N34" s="1"/>
  <c r="O34" s="1"/>
  <c r="K30" i="7"/>
  <c r="AN30"/>
  <c r="AO30" s="1"/>
  <c r="P33" i="5"/>
  <c r="R33" s="1"/>
  <c r="S33" s="1"/>
  <c r="N32" i="1"/>
  <c r="V32" s="1"/>
  <c r="W32" s="1"/>
  <c r="AP32"/>
  <c r="BT32" s="1"/>
  <c r="AX32"/>
  <c r="BU32"/>
  <c r="K30" i="36"/>
  <c r="I51" i="50"/>
  <c r="I47"/>
  <c r="P32" i="5"/>
  <c r="R32" s="1"/>
  <c r="S32" s="1"/>
  <c r="K29" i="7"/>
  <c r="I30" i="35"/>
  <c r="F30"/>
  <c r="G32" i="51"/>
  <c r="I32" s="1"/>
  <c r="J32" s="1"/>
  <c r="G32" i="4"/>
  <c r="K33" i="3"/>
  <c r="K31"/>
  <c r="J33"/>
  <c r="G33"/>
  <c r="D33"/>
  <c r="BH31" i="1"/>
  <c r="BU31"/>
  <c r="AO31"/>
  <c r="AN31"/>
  <c r="AM31"/>
  <c r="AL31"/>
  <c r="AH31"/>
  <c r="AD31"/>
  <c r="S31"/>
  <c r="T31" s="1"/>
  <c r="L31"/>
  <c r="BC31" s="1"/>
  <c r="CA31"/>
  <c r="CD31"/>
  <c r="R30" i="27"/>
  <c r="Q30"/>
  <c r="P30"/>
  <c r="O30"/>
  <c r="AN29" i="7" l="1"/>
  <c r="K28"/>
  <c r="BT33" i="1"/>
  <c r="AY32"/>
  <c r="AZ32" s="1"/>
  <c r="AY34"/>
  <c r="AZ34" s="1"/>
  <c r="BV32"/>
  <c r="L33" i="3"/>
  <c r="N33" s="1"/>
  <c r="O33" s="1"/>
  <c r="K30" i="35"/>
  <c r="AP31" i="1"/>
  <c r="BV31" s="1"/>
  <c r="N31"/>
  <c r="V31" s="1"/>
  <c r="W31" s="1"/>
  <c r="AX31"/>
  <c r="BW31"/>
  <c r="T34" i="6"/>
  <c r="S34"/>
  <c r="R34"/>
  <c r="Q34"/>
  <c r="P34"/>
  <c r="L34"/>
  <c r="K34"/>
  <c r="I34"/>
  <c r="H34"/>
  <c r="F34"/>
  <c r="E34"/>
  <c r="C34"/>
  <c r="B34"/>
  <c r="P29" i="41"/>
  <c r="Q29" s="1"/>
  <c r="E28" i="40"/>
  <c r="D28"/>
  <c r="AO29" i="7" l="1"/>
  <c r="AO28" s="1"/>
  <c r="AN28"/>
  <c r="AY31" i="1"/>
  <c r="AZ31" s="1"/>
  <c r="AY33"/>
  <c r="AZ33" s="1"/>
  <c r="BT31"/>
  <c r="I10" i="35" l="1"/>
  <c r="F10"/>
  <c r="I9"/>
  <c r="F9"/>
  <c r="I8"/>
  <c r="F8"/>
  <c r="I7"/>
  <c r="F7"/>
  <c r="I6"/>
  <c r="F6"/>
  <c r="K10" l="1"/>
  <c r="K8"/>
  <c r="K9"/>
  <c r="K7"/>
  <c r="K6"/>
  <c r="U28" i="45"/>
  <c r="L16" i="2"/>
  <c r="AM27" i="7"/>
  <c r="O27"/>
  <c r="I28" i="36"/>
  <c r="I16" s="1"/>
  <c r="F28"/>
  <c r="L27" i="7"/>
  <c r="K27" s="1"/>
  <c r="I28" i="35"/>
  <c r="I16" s="1"/>
  <c r="F28"/>
  <c r="F16" s="1"/>
  <c r="M30" i="5"/>
  <c r="M18" s="1"/>
  <c r="J30"/>
  <c r="J18" s="1"/>
  <c r="F18"/>
  <c r="E30"/>
  <c r="E18" s="1"/>
  <c r="CD29" i="1"/>
  <c r="G30" i="51"/>
  <c r="G18" s="1"/>
  <c r="G30" i="4"/>
  <c r="G18" s="1"/>
  <c r="K19" i="3"/>
  <c r="J31"/>
  <c r="J19" s="1"/>
  <c r="G31"/>
  <c r="G19" s="1"/>
  <c r="D31"/>
  <c r="D19" s="1"/>
  <c r="CA29" i="1"/>
  <c r="BH29"/>
  <c r="AV29"/>
  <c r="AX29" s="1"/>
  <c r="AY29" s="1"/>
  <c r="AZ29" s="1"/>
  <c r="AL29"/>
  <c r="AO29"/>
  <c r="AN29"/>
  <c r="AM29"/>
  <c r="AH29"/>
  <c r="AD29"/>
  <c r="S29"/>
  <c r="T29" s="1"/>
  <c r="L29"/>
  <c r="N29" s="1"/>
  <c r="V29" s="1"/>
  <c r="W29" s="1"/>
  <c r="AK15" i="7"/>
  <c r="AJ15"/>
  <c r="AI15"/>
  <c r="AH15"/>
  <c r="AG15"/>
  <c r="AF15"/>
  <c r="AE15"/>
  <c r="AD15"/>
  <c r="AC15"/>
  <c r="AB15"/>
  <c r="AA15"/>
  <c r="Z15"/>
  <c r="Y15"/>
  <c r="X15"/>
  <c r="W15"/>
  <c r="T15"/>
  <c r="S15"/>
  <c r="R15"/>
  <c r="Q15"/>
  <c r="P15"/>
  <c r="N15"/>
  <c r="J15"/>
  <c r="I15"/>
  <c r="H15"/>
  <c r="G15"/>
  <c r="F15"/>
  <c r="E15"/>
  <c r="D15"/>
  <c r="C15"/>
  <c r="B15"/>
  <c r="J16" i="36"/>
  <c r="H16"/>
  <c r="G16"/>
  <c r="E16"/>
  <c r="D16"/>
  <c r="C16"/>
  <c r="B16"/>
  <c r="Q18" i="5"/>
  <c r="N18"/>
  <c r="K18"/>
  <c r="H18"/>
  <c r="G18"/>
  <c r="D18"/>
  <c r="C18"/>
  <c r="H18" i="51"/>
  <c r="F18"/>
  <c r="E18"/>
  <c r="D18"/>
  <c r="C18"/>
  <c r="B18"/>
  <c r="F18" i="4"/>
  <c r="E18"/>
  <c r="D18"/>
  <c r="C18"/>
  <c r="B18"/>
  <c r="J16" i="35"/>
  <c r="H16"/>
  <c r="G16"/>
  <c r="E16"/>
  <c r="D16"/>
  <c r="C16"/>
  <c r="B16"/>
  <c r="M19" i="3"/>
  <c r="I19"/>
  <c r="H19"/>
  <c r="F19"/>
  <c r="E19"/>
  <c r="C19"/>
  <c r="B19"/>
  <c r="J26" i="10"/>
  <c r="U31" i="32"/>
  <c r="T31"/>
  <c r="S31"/>
  <c r="R31"/>
  <c r="Q31"/>
  <c r="P31"/>
  <c r="O31"/>
  <c r="M31"/>
  <c r="K31"/>
  <c r="I31"/>
  <c r="H31"/>
  <c r="G31"/>
  <c r="F31"/>
  <c r="E31"/>
  <c r="D31"/>
  <c r="C31"/>
  <c r="B31"/>
  <c r="P18"/>
  <c r="L30" i="5" l="1"/>
  <c r="L18" s="1"/>
  <c r="K28" i="36"/>
  <c r="K16" s="1"/>
  <c r="B18" i="5"/>
  <c r="BC29" i="1"/>
  <c r="BC17" s="1"/>
  <c r="AN27" i="7"/>
  <c r="AO27" s="1"/>
  <c r="F16" i="36"/>
  <c r="I30" i="5"/>
  <c r="I18" s="1"/>
  <c r="O30"/>
  <c r="O18" s="1"/>
  <c r="I30" i="51"/>
  <c r="J30" s="1"/>
  <c r="J18" s="1"/>
  <c r="K28" i="35"/>
  <c r="K16" s="1"/>
  <c r="L31" i="3"/>
  <c r="BW29" i="1"/>
  <c r="BW17" s="1"/>
  <c r="BU29"/>
  <c r="BU17" s="1"/>
  <c r="AP29"/>
  <c r="BV29" s="1"/>
  <c r="BV17" s="1"/>
  <c r="U18" i="32"/>
  <c r="T18"/>
  <c r="S18"/>
  <c r="R18"/>
  <c r="Q18"/>
  <c r="O18"/>
  <c r="N18"/>
  <c r="M18"/>
  <c r="K18"/>
  <c r="I18"/>
  <c r="H18"/>
  <c r="G18"/>
  <c r="F18"/>
  <c r="E18"/>
  <c r="D18"/>
  <c r="C18"/>
  <c r="B18"/>
  <c r="CD17" i="1"/>
  <c r="CC17"/>
  <c r="CB17"/>
  <c r="CA17"/>
  <c r="BZ17"/>
  <c r="BY17"/>
  <c r="BX17"/>
  <c r="BS17"/>
  <c r="BR17"/>
  <c r="BN17"/>
  <c r="BM17"/>
  <c r="BL17"/>
  <c r="BK17"/>
  <c r="BJ17"/>
  <c r="BH17"/>
  <c r="BG17"/>
  <c r="BF17"/>
  <c r="BE17"/>
  <c r="BD17"/>
  <c r="BB17"/>
  <c r="BA17"/>
  <c r="AZ17"/>
  <c r="AY17"/>
  <c r="AX17"/>
  <c r="AW17"/>
  <c r="AV17"/>
  <c r="AU17"/>
  <c r="AT17"/>
  <c r="AS17"/>
  <c r="AR17"/>
  <c r="AO17"/>
  <c r="AN17"/>
  <c r="AM17"/>
  <c r="AL17"/>
  <c r="AK17"/>
  <c r="AJ17"/>
  <c r="AI17"/>
  <c r="AH17"/>
  <c r="AG17"/>
  <c r="AF17"/>
  <c r="AE17"/>
  <c r="AD17"/>
  <c r="AC17"/>
  <c r="AB17"/>
  <c r="AA17"/>
  <c r="W17"/>
  <c r="V17"/>
  <c r="U17"/>
  <c r="T17"/>
  <c r="S17"/>
  <c r="R17"/>
  <c r="Q17"/>
  <c r="P17"/>
  <c r="O17"/>
  <c r="N17"/>
  <c r="M17"/>
  <c r="L17"/>
  <c r="K17"/>
  <c r="J17"/>
  <c r="P27" i="41"/>
  <c r="Q27" s="1"/>
  <c r="E26" i="40"/>
  <c r="D26"/>
  <c r="D16" i="2"/>
  <c r="B16"/>
  <c r="AM16" i="43"/>
  <c r="AL16"/>
  <c r="AK16"/>
  <c r="AJ16"/>
  <c r="AI16"/>
  <c r="AH16"/>
  <c r="AG16"/>
  <c r="AF16"/>
  <c r="AE16"/>
  <c r="AD16"/>
  <c r="AC16"/>
  <c r="AB16"/>
  <c r="Z16"/>
  <c r="Y16"/>
  <c r="X16"/>
  <c r="W16"/>
  <c r="V16"/>
  <c r="U16"/>
  <c r="T16"/>
  <c r="S16"/>
  <c r="R16"/>
  <c r="Q16"/>
  <c r="P16"/>
  <c r="O16"/>
  <c r="M16"/>
  <c r="L16"/>
  <c r="K16"/>
  <c r="J16"/>
  <c r="I16"/>
  <c r="H16"/>
  <c r="G16"/>
  <c r="F16"/>
  <c r="E16"/>
  <c r="D16"/>
  <c r="C16"/>
  <c r="B16"/>
  <c r="AP17" i="1" l="1"/>
  <c r="P30" i="5"/>
  <c r="I18" i="51"/>
  <c r="L19" i="3"/>
  <c r="N31"/>
  <c r="BT29" i="1"/>
  <c r="BT17" s="1"/>
  <c r="C14" i="40"/>
  <c r="I50" i="50"/>
  <c r="I48"/>
  <c r="I46"/>
  <c r="I42"/>
  <c r="I38"/>
  <c r="I36"/>
  <c r="I34"/>
  <c r="I32"/>
  <c r="I30"/>
  <c r="I26"/>
  <c r="I24"/>
  <c r="I20"/>
  <c r="I18"/>
  <c r="I14"/>
  <c r="I12"/>
  <c r="I52"/>
  <c r="I49"/>
  <c r="I45"/>
  <c r="I43"/>
  <c r="I41"/>
  <c r="I39"/>
  <c r="I37"/>
  <c r="I35"/>
  <c r="I31"/>
  <c r="I29"/>
  <c r="I27"/>
  <c r="I23"/>
  <c r="I21"/>
  <c r="I17"/>
  <c r="I15"/>
  <c r="I11"/>
  <c r="I13"/>
  <c r="E32"/>
  <c r="E46"/>
  <c r="E42"/>
  <c r="E38"/>
  <c r="E36"/>
  <c r="E26"/>
  <c r="E24"/>
  <c r="I10"/>
  <c r="E20"/>
  <c r="E18"/>
  <c r="E14"/>
  <c r="E12"/>
  <c r="E13"/>
  <c r="E10"/>
  <c r="E52"/>
  <c r="E49"/>
  <c r="E45"/>
  <c r="E43"/>
  <c r="E39"/>
  <c r="E35"/>
  <c r="E31"/>
  <c r="E29"/>
  <c r="E27"/>
  <c r="E23"/>
  <c r="E21"/>
  <c r="E17"/>
  <c r="E15"/>
  <c r="E11"/>
  <c r="E50"/>
  <c r="CA28" i="1"/>
  <c r="BW17" i="58"/>
  <c r="BU17"/>
  <c r="BS17"/>
  <c r="BQ17"/>
  <c r="BO17"/>
  <c r="BM17"/>
  <c r="BK17"/>
  <c r="BH17"/>
  <c r="BF17"/>
  <c r="BD17"/>
  <c r="BB17"/>
  <c r="AZ17"/>
  <c r="AX17"/>
  <c r="AV17"/>
  <c r="AS17"/>
  <c r="AQ17"/>
  <c r="AO17"/>
  <c r="AM17"/>
  <c r="AK17"/>
  <c r="AI17"/>
  <c r="AG17"/>
  <c r="AD17"/>
  <c r="AB17"/>
  <c r="Z17"/>
  <c r="X17"/>
  <c r="V17"/>
  <c r="T17"/>
  <c r="R17"/>
  <c r="O17"/>
  <c r="M17"/>
  <c r="K17"/>
  <c r="I17"/>
  <c r="G17"/>
  <c r="E17"/>
  <c r="C17"/>
  <c r="AM26" i="7"/>
  <c r="O26"/>
  <c r="U26" i="45"/>
  <c r="C55" i="39"/>
  <c r="B55"/>
  <c r="D55"/>
  <c r="V55"/>
  <c r="S55"/>
  <c r="K55"/>
  <c r="I55"/>
  <c r="H55"/>
  <c r="F55"/>
  <c r="E55"/>
  <c r="Q54"/>
  <c r="L54"/>
  <c r="J54"/>
  <c r="G54"/>
  <c r="Q53" i="38"/>
  <c r="Q53" i="37"/>
  <c r="S53" s="1"/>
  <c r="AN26" i="7" l="1"/>
  <c r="P18" i="5"/>
  <c r="R30"/>
  <c r="N19" i="3"/>
  <c r="O31"/>
  <c r="O19" s="1"/>
  <c r="R54" i="37"/>
  <c r="F54"/>
  <c r="S54"/>
  <c r="C54"/>
  <c r="P54"/>
  <c r="L54"/>
  <c r="H54"/>
  <c r="D54"/>
  <c r="J54"/>
  <c r="B54"/>
  <c r="K54"/>
  <c r="M54"/>
  <c r="I54"/>
  <c r="E54"/>
  <c r="U53"/>
  <c r="N54"/>
  <c r="O54"/>
  <c r="G54"/>
  <c r="Q54"/>
  <c r="S53" i="38"/>
  <c r="U53" s="1"/>
  <c r="CD28" i="1"/>
  <c r="L26" i="7"/>
  <c r="K26" s="1"/>
  <c r="I27" i="35"/>
  <c r="F27"/>
  <c r="I27" i="36"/>
  <c r="F27"/>
  <c r="M29" i="5"/>
  <c r="O29" s="1"/>
  <c r="J29"/>
  <c r="L29" s="1"/>
  <c r="F29"/>
  <c r="I29" s="1"/>
  <c r="B29"/>
  <c r="E29" s="1"/>
  <c r="G29" i="51"/>
  <c r="I29" s="1"/>
  <c r="J29" s="1"/>
  <c r="AV28" i="1"/>
  <c r="AX28" s="1"/>
  <c r="AY28" s="1"/>
  <c r="AZ28" s="1"/>
  <c r="G29" i="4"/>
  <c r="K30" i="3"/>
  <c r="J30"/>
  <c r="G30"/>
  <c r="D30"/>
  <c r="BH28" i="1"/>
  <c r="AL28"/>
  <c r="AO28"/>
  <c r="AN28"/>
  <c r="AM28"/>
  <c r="AH28"/>
  <c r="AD28"/>
  <c r="S28"/>
  <c r="T28" s="1"/>
  <c r="L28"/>
  <c r="N28" s="1"/>
  <c r="V28" s="1"/>
  <c r="W28" s="1"/>
  <c r="O16" i="2"/>
  <c r="M16"/>
  <c r="K16"/>
  <c r="E14" i="40"/>
  <c r="D14"/>
  <c r="B14"/>
  <c r="Q15" i="41"/>
  <c r="P15"/>
  <c r="O15"/>
  <c r="N15"/>
  <c r="M15"/>
  <c r="L15"/>
  <c r="K15"/>
  <c r="J15"/>
  <c r="I15"/>
  <c r="H15"/>
  <c r="G15"/>
  <c r="F15"/>
  <c r="E15"/>
  <c r="D15"/>
  <c r="C15"/>
  <c r="B15"/>
  <c r="D14" i="28"/>
  <c r="C14"/>
  <c r="B14"/>
  <c r="T14" i="45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J25" i="10"/>
  <c r="K25" i="33"/>
  <c r="K24"/>
  <c r="P26" i="41"/>
  <c r="Q26" s="1"/>
  <c r="E25" i="40"/>
  <c r="D25"/>
  <c r="U25" i="45"/>
  <c r="AM25" i="7"/>
  <c r="O25"/>
  <c r="J24" i="10"/>
  <c r="L25" i="7"/>
  <c r="K25" s="1"/>
  <c r="CD27" i="1"/>
  <c r="I26" i="36"/>
  <c r="F26"/>
  <c r="M28" i="5"/>
  <c r="O28" s="1"/>
  <c r="J28"/>
  <c r="L28" s="1"/>
  <c r="F28"/>
  <c r="I28" s="1"/>
  <c r="B28"/>
  <c r="E28" s="1"/>
  <c r="G28" i="51"/>
  <c r="I28" s="1"/>
  <c r="J28" s="1"/>
  <c r="G28" i="4"/>
  <c r="I26" i="35"/>
  <c r="F26"/>
  <c r="K29" i="3"/>
  <c r="J29"/>
  <c r="G29"/>
  <c r="D29"/>
  <c r="CA27" i="1"/>
  <c r="AV27"/>
  <c r="BW27" s="1"/>
  <c r="BH27"/>
  <c r="AL27"/>
  <c r="AO27"/>
  <c r="AN27"/>
  <c r="AM27"/>
  <c r="AH27"/>
  <c r="AD27"/>
  <c r="S27"/>
  <c r="T27" s="1"/>
  <c r="L27"/>
  <c r="BC27" s="1"/>
  <c r="P25" i="41"/>
  <c r="Q25" s="1"/>
  <c r="E24" i="40"/>
  <c r="D24"/>
  <c r="U24" i="45"/>
  <c r="AM24" i="7"/>
  <c r="O24"/>
  <c r="L24"/>
  <c r="K24" s="1"/>
  <c r="I25" i="36"/>
  <c r="F25"/>
  <c r="M27" i="5"/>
  <c r="O27" s="1"/>
  <c r="J27"/>
  <c r="L27" s="1"/>
  <c r="F27"/>
  <c r="I27" s="1"/>
  <c r="B27"/>
  <c r="E27" s="1"/>
  <c r="I25" i="35"/>
  <c r="F25"/>
  <c r="G27" i="51"/>
  <c r="I27" s="1"/>
  <c r="J27" s="1"/>
  <c r="G27" i="4"/>
  <c r="K28" i="3"/>
  <c r="K27"/>
  <c r="J28"/>
  <c r="G28"/>
  <c r="D28"/>
  <c r="CA26" i="1"/>
  <c r="CD26"/>
  <c r="BH26"/>
  <c r="AV26"/>
  <c r="BU26" s="1"/>
  <c r="AL26"/>
  <c r="AO26"/>
  <c r="AN26"/>
  <c r="AM26"/>
  <c r="AH26"/>
  <c r="AD26"/>
  <c r="S26"/>
  <c r="T26" s="1"/>
  <c r="L26"/>
  <c r="BC26" s="1"/>
  <c r="K25" i="36" l="1"/>
  <c r="K27"/>
  <c r="BU28" i="1"/>
  <c r="K27" i="35"/>
  <c r="L30" i="3"/>
  <c r="N30" s="1"/>
  <c r="O30" s="1"/>
  <c r="Q54" i="38"/>
  <c r="AN24" i="7"/>
  <c r="AO24" s="1"/>
  <c r="AN25"/>
  <c r="AO25" s="1"/>
  <c r="AO26"/>
  <c r="K26" i="36"/>
  <c r="S30" i="5"/>
  <c r="S18" s="1"/>
  <c r="R18"/>
  <c r="P29"/>
  <c r="R29" s="1"/>
  <c r="P28"/>
  <c r="R28" s="1"/>
  <c r="S28" s="1"/>
  <c r="K26" i="35"/>
  <c r="L29" i="3"/>
  <c r="N29" s="1"/>
  <c r="O29" s="1"/>
  <c r="S29" i="5"/>
  <c r="BC28" i="1"/>
  <c r="AX26"/>
  <c r="AY26" s="1"/>
  <c r="AZ26" s="1"/>
  <c r="AP28"/>
  <c r="BV28" s="1"/>
  <c r="U14" i="45"/>
  <c r="R54" i="38"/>
  <c r="N54"/>
  <c r="F54"/>
  <c r="O54"/>
  <c r="S54"/>
  <c r="P54"/>
  <c r="L54"/>
  <c r="H54"/>
  <c r="D54"/>
  <c r="B54"/>
  <c r="G54"/>
  <c r="C54"/>
  <c r="M54"/>
  <c r="I54"/>
  <c r="E54"/>
  <c r="J54"/>
  <c r="K54"/>
  <c r="BW28" i="1"/>
  <c r="P27" i="5"/>
  <c r="R27" s="1"/>
  <c r="S27" s="1"/>
  <c r="L28" i="3"/>
  <c r="N28" s="1"/>
  <c r="O28" s="1"/>
  <c r="AP27" i="1"/>
  <c r="N27"/>
  <c r="V27" s="1"/>
  <c r="W27" s="1"/>
  <c r="BU27"/>
  <c r="AX27"/>
  <c r="AY27" s="1"/>
  <c r="AZ27" s="1"/>
  <c r="K25" i="35"/>
  <c r="N26" i="1"/>
  <c r="V26" s="1"/>
  <c r="W26" s="1"/>
  <c r="AP26"/>
  <c r="BW26"/>
  <c r="J23" i="10"/>
  <c r="K23" i="33"/>
  <c r="K22"/>
  <c r="P24" i="41"/>
  <c r="Q24" s="1"/>
  <c r="E23" i="40"/>
  <c r="D23"/>
  <c r="U23" i="45"/>
  <c r="BT28" i="1" l="1"/>
  <c r="BT27"/>
  <c r="BV27"/>
  <c r="BV26"/>
  <c r="BT26"/>
  <c r="D48" i="50"/>
  <c r="D47" s="1"/>
  <c r="C48"/>
  <c r="C47" s="1"/>
  <c r="B48"/>
  <c r="B47" s="1"/>
  <c r="B41"/>
  <c r="J22" i="10"/>
  <c r="B34" i="50"/>
  <c r="AM23" i="7"/>
  <c r="O23"/>
  <c r="I24" i="36"/>
  <c r="F24"/>
  <c r="M26" i="5"/>
  <c r="O26" s="1"/>
  <c r="J26"/>
  <c r="L26" s="1"/>
  <c r="F26"/>
  <c r="I26" s="1"/>
  <c r="B26"/>
  <c r="E26" s="1"/>
  <c r="G26" i="51"/>
  <c r="I26" s="1"/>
  <c r="J26" s="1"/>
  <c r="G26" i="4"/>
  <c r="I21" i="35"/>
  <c r="F21"/>
  <c r="I24"/>
  <c r="F24"/>
  <c r="J27" i="3"/>
  <c r="G27"/>
  <c r="D27"/>
  <c r="CD25" i="1"/>
  <c r="CA25"/>
  <c r="BH25"/>
  <c r="AV25"/>
  <c r="BW25" s="1"/>
  <c r="AL25"/>
  <c r="AO25"/>
  <c r="AN25"/>
  <c r="AM25"/>
  <c r="AH25"/>
  <c r="AD25"/>
  <c r="S25"/>
  <c r="T25" s="1"/>
  <c r="L25"/>
  <c r="N25" s="1"/>
  <c r="V25" s="1"/>
  <c r="W25" s="1"/>
  <c r="E47" i="50" l="1"/>
  <c r="L27" i="3"/>
  <c r="N27" s="1"/>
  <c r="O27" s="1"/>
  <c r="E48" i="50"/>
  <c r="AN23" i="7"/>
  <c r="AO23" s="1"/>
  <c r="K24" i="36"/>
  <c r="K24" i="35"/>
  <c r="AP25" i="1"/>
  <c r="BV25" s="1"/>
  <c r="AX25"/>
  <c r="AY25" s="1"/>
  <c r="AZ25" s="1"/>
  <c r="P26" i="5"/>
  <c r="R26" s="1"/>
  <c r="S26" s="1"/>
  <c r="BC25" i="1"/>
  <c r="BU25"/>
  <c r="K23" i="7"/>
  <c r="I6" i="36"/>
  <c r="F6"/>
  <c r="BT25" i="1" l="1"/>
  <c r="K6" i="36"/>
  <c r="P23" i="41"/>
  <c r="Q23" s="1"/>
  <c r="E22" i="40"/>
  <c r="D22"/>
  <c r="K21" i="33"/>
  <c r="K20"/>
  <c r="K19"/>
  <c r="K18"/>
  <c r="K17"/>
  <c r="J21" i="10"/>
  <c r="U33" i="6"/>
  <c r="M33"/>
  <c r="J33"/>
  <c r="G33"/>
  <c r="D33"/>
  <c r="U32"/>
  <c r="M32"/>
  <c r="J32"/>
  <c r="G32"/>
  <c r="D32"/>
  <c r="U31"/>
  <c r="M31"/>
  <c r="J31"/>
  <c r="G31"/>
  <c r="D31"/>
  <c r="U30"/>
  <c r="M30"/>
  <c r="J30"/>
  <c r="G30"/>
  <c r="D30"/>
  <c r="T29"/>
  <c r="S29"/>
  <c r="R29"/>
  <c r="Q29"/>
  <c r="P29"/>
  <c r="L29"/>
  <c r="K29"/>
  <c r="I29"/>
  <c r="H29"/>
  <c r="F29"/>
  <c r="E29"/>
  <c r="C29"/>
  <c r="B29"/>
  <c r="U28"/>
  <c r="M28"/>
  <c r="J28"/>
  <c r="G28"/>
  <c r="D28"/>
  <c r="U27"/>
  <c r="M27"/>
  <c r="J27"/>
  <c r="G27"/>
  <c r="D27"/>
  <c r="U26"/>
  <c r="M26"/>
  <c r="J26"/>
  <c r="G26"/>
  <c r="D26"/>
  <c r="U25"/>
  <c r="M25"/>
  <c r="J25"/>
  <c r="G25"/>
  <c r="D25"/>
  <c r="T24"/>
  <c r="S24"/>
  <c r="R24"/>
  <c r="Q24"/>
  <c r="P24"/>
  <c r="L24"/>
  <c r="K24"/>
  <c r="I24"/>
  <c r="H24"/>
  <c r="F24"/>
  <c r="E24"/>
  <c r="C24"/>
  <c r="B24"/>
  <c r="N31" l="1"/>
  <c r="V31" s="1"/>
  <c r="M24"/>
  <c r="U24"/>
  <c r="M29"/>
  <c r="G24"/>
  <c r="N28"/>
  <c r="V28" s="1"/>
  <c r="J29"/>
  <c r="N26"/>
  <c r="V26" s="1"/>
  <c r="J24"/>
  <c r="G29"/>
  <c r="N33"/>
  <c r="V33" s="1"/>
  <c r="N25"/>
  <c r="V25" s="1"/>
  <c r="N32"/>
  <c r="V32" s="1"/>
  <c r="U29"/>
  <c r="N27"/>
  <c r="V27" s="1"/>
  <c r="N30"/>
  <c r="D24"/>
  <c r="D29"/>
  <c r="N29" l="1"/>
  <c r="V24"/>
  <c r="N24"/>
  <c r="V30"/>
  <c r="V29" s="1"/>
  <c r="U22" i="45" l="1"/>
  <c r="AM22" i="7"/>
  <c r="O22"/>
  <c r="K22"/>
  <c r="L20"/>
  <c r="I23" i="36"/>
  <c r="F23"/>
  <c r="M25" i="5"/>
  <c r="O25" s="1"/>
  <c r="J25"/>
  <c r="L25" s="1"/>
  <c r="F25"/>
  <c r="I25" s="1"/>
  <c r="B25"/>
  <c r="E25" s="1"/>
  <c r="K23" i="36" l="1"/>
  <c r="AN22" i="7"/>
  <c r="AO22" s="1"/>
  <c r="P25" i="5"/>
  <c r="R25" s="1"/>
  <c r="S25" s="1"/>
  <c r="G25" i="51"/>
  <c r="I25" s="1"/>
  <c r="J25" s="1"/>
  <c r="G25" i="4"/>
  <c r="I23" i="35"/>
  <c r="F23"/>
  <c r="K26" i="3"/>
  <c r="J26"/>
  <c r="G26"/>
  <c r="D26"/>
  <c r="S24" i="1"/>
  <c r="T24" s="1"/>
  <c r="BH24"/>
  <c r="AV24"/>
  <c r="BW24" s="1"/>
  <c r="AL24"/>
  <c r="AO24"/>
  <c r="AN24"/>
  <c r="AM24"/>
  <c r="AH24"/>
  <c r="AD24"/>
  <c r="L24"/>
  <c r="BC24" s="1"/>
  <c r="CD19"/>
  <c r="CD20"/>
  <c r="CD21"/>
  <c r="CD22"/>
  <c r="CD23"/>
  <c r="CD24"/>
  <c r="CD18"/>
  <c r="CD13"/>
  <c r="CA19"/>
  <c r="CA20"/>
  <c r="CA21"/>
  <c r="CA22"/>
  <c r="CA23"/>
  <c r="CA24"/>
  <c r="CA18"/>
  <c r="CA13"/>
  <c r="CA12"/>
  <c r="CA11"/>
  <c r="CA10"/>
  <c r="CA9"/>
  <c r="AX24" l="1"/>
  <c r="AY24" s="1"/>
  <c r="AZ24" s="1"/>
  <c r="AP24"/>
  <c r="BT24" s="1"/>
  <c r="BU24"/>
  <c r="N24"/>
  <c r="V24" s="1"/>
  <c r="W24" s="1"/>
  <c r="L26" i="3"/>
  <c r="N26" s="1"/>
  <c r="O26" s="1"/>
  <c r="K23" i="35"/>
  <c r="J20" i="10"/>
  <c r="P22" i="41"/>
  <c r="Q22" s="1"/>
  <c r="E21" i="40"/>
  <c r="D21"/>
  <c r="U4" i="45"/>
  <c r="U5"/>
  <c r="U6"/>
  <c r="U7"/>
  <c r="U8"/>
  <c r="U9"/>
  <c r="U10"/>
  <c r="U17"/>
  <c r="U21"/>
  <c r="F22" i="36"/>
  <c r="K25" i="3"/>
  <c r="K24"/>
  <c r="I22" i="36"/>
  <c r="O24" i="5"/>
  <c r="L24"/>
  <c r="I24"/>
  <c r="E24"/>
  <c r="AV23" i="1"/>
  <c r="G24" i="51"/>
  <c r="I24" s="1"/>
  <c r="J24" s="1"/>
  <c r="G24" i="4"/>
  <c r="I22" i="35"/>
  <c r="F22"/>
  <c r="J25" i="3"/>
  <c r="G25"/>
  <c r="D25"/>
  <c r="BV24" i="1" l="1"/>
  <c r="P24" i="5"/>
  <c r="R24" s="1"/>
  <c r="S24" s="1"/>
  <c r="K22" i="36"/>
  <c r="K22" i="35"/>
  <c r="L25" i="3"/>
  <c r="N25" s="1"/>
  <c r="O25" s="1"/>
  <c r="BU23" i="1"/>
  <c r="BH23"/>
  <c r="BW23"/>
  <c r="AX23"/>
  <c r="AY23" s="1"/>
  <c r="AZ23" s="1"/>
  <c r="AL23"/>
  <c r="AO23"/>
  <c r="AN23"/>
  <c r="AM23"/>
  <c r="AH23"/>
  <c r="AD23"/>
  <c r="AP23" l="1"/>
  <c r="BT23" s="1"/>
  <c r="S23"/>
  <c r="T23" s="1"/>
  <c r="L23"/>
  <c r="BC23" s="1"/>
  <c r="AM21" i="7"/>
  <c r="O21"/>
  <c r="K21"/>
  <c r="P21" i="41"/>
  <c r="Q21" s="1"/>
  <c r="E20" i="40"/>
  <c r="D20"/>
  <c r="J19" i="10"/>
  <c r="AM20" i="7"/>
  <c r="O20"/>
  <c r="Y35" i="8"/>
  <c r="Y34"/>
  <c r="L52" i="39"/>
  <c r="J52"/>
  <c r="G52"/>
  <c r="U20" i="45"/>
  <c r="J18" i="10"/>
  <c r="G23" i="51"/>
  <c r="I23" s="1"/>
  <c r="J23" s="1"/>
  <c r="G23" i="4"/>
  <c r="K21" i="35"/>
  <c r="J24" i="3"/>
  <c r="G24"/>
  <c r="D24"/>
  <c r="AV22" i="1"/>
  <c r="BW22" s="1"/>
  <c r="BH22"/>
  <c r="AO22"/>
  <c r="AL22"/>
  <c r="AN22"/>
  <c r="AM22"/>
  <c r="AH22"/>
  <c r="AD22"/>
  <c r="S22"/>
  <c r="T22" s="1"/>
  <c r="L22"/>
  <c r="BC22" s="1"/>
  <c r="I21" i="36"/>
  <c r="F21"/>
  <c r="O23" i="5"/>
  <c r="L23"/>
  <c r="I23"/>
  <c r="E23"/>
  <c r="P20" i="41"/>
  <c r="Q20" s="1"/>
  <c r="E19" i="40"/>
  <c r="D19"/>
  <c r="J17" i="10"/>
  <c r="U19" i="45"/>
  <c r="AM19" i="7"/>
  <c r="O19"/>
  <c r="K19"/>
  <c r="I20" i="36"/>
  <c r="F20"/>
  <c r="O22" i="5"/>
  <c r="L22"/>
  <c r="I22"/>
  <c r="E22"/>
  <c r="G22" i="51"/>
  <c r="I22" s="1"/>
  <c r="J22" s="1"/>
  <c r="G22" i="4"/>
  <c r="I20" i="35"/>
  <c r="F20"/>
  <c r="K23" i="3"/>
  <c r="J23"/>
  <c r="G23"/>
  <c r="D23"/>
  <c r="L18" i="7"/>
  <c r="K18" s="1"/>
  <c r="BH21" i="1"/>
  <c r="AV21"/>
  <c r="BW21" s="1"/>
  <c r="AO21"/>
  <c r="AN21"/>
  <c r="AM21"/>
  <c r="AL21"/>
  <c r="AH21"/>
  <c r="AD21"/>
  <c r="S21"/>
  <c r="T21" s="1"/>
  <c r="L21"/>
  <c r="N21" s="1"/>
  <c r="V21" s="1"/>
  <c r="W21" s="1"/>
  <c r="P19" i="41"/>
  <c r="Q19" s="1"/>
  <c r="E18" i="40"/>
  <c r="D18"/>
  <c r="D17"/>
  <c r="AM18" i="7"/>
  <c r="O18"/>
  <c r="AV20" i="1"/>
  <c r="BW20" s="1"/>
  <c r="U18" i="45"/>
  <c r="H40" i="50"/>
  <c r="G40"/>
  <c r="F40"/>
  <c r="H44"/>
  <c r="G44"/>
  <c r="F44"/>
  <c r="D44"/>
  <c r="C44"/>
  <c r="B44"/>
  <c r="G21" i="51"/>
  <c r="I21" s="1"/>
  <c r="J21" s="1"/>
  <c r="G21" i="4"/>
  <c r="I19" i="35"/>
  <c r="F19"/>
  <c r="K22" i="3"/>
  <c r="J22"/>
  <c r="G22"/>
  <c r="D22"/>
  <c r="BH20" i="1"/>
  <c r="AO20"/>
  <c r="AN20"/>
  <c r="AM20"/>
  <c r="AL20"/>
  <c r="AH20"/>
  <c r="AD20"/>
  <c r="S20"/>
  <c r="T20" s="1"/>
  <c r="L20"/>
  <c r="N20" s="1"/>
  <c r="V20" s="1"/>
  <c r="W20" s="1"/>
  <c r="I19" i="36"/>
  <c r="F19"/>
  <c r="O21" i="5"/>
  <c r="L21"/>
  <c r="I21"/>
  <c r="E21"/>
  <c r="B53" i="39"/>
  <c r="C53"/>
  <c r="D53"/>
  <c r="E53"/>
  <c r="F53"/>
  <c r="H53"/>
  <c r="I53"/>
  <c r="K53"/>
  <c r="S53"/>
  <c r="V53"/>
  <c r="J16" i="10"/>
  <c r="P18" i="41"/>
  <c r="Q18" s="1"/>
  <c r="E17" i="40"/>
  <c r="L17" i="7"/>
  <c r="K17" s="1"/>
  <c r="O17"/>
  <c r="I18" i="36"/>
  <c r="F18"/>
  <c r="O20" i="5"/>
  <c r="L20"/>
  <c r="I20"/>
  <c r="E20"/>
  <c r="G20" i="51"/>
  <c r="I20" s="1"/>
  <c r="J20" s="1"/>
  <c r="G20" i="4"/>
  <c r="I18" i="35"/>
  <c r="F18"/>
  <c r="K21" i="3"/>
  <c r="J21"/>
  <c r="G21"/>
  <c r="D21"/>
  <c r="BH19" i="1"/>
  <c r="AV19"/>
  <c r="BU19" s="1"/>
  <c r="AO19"/>
  <c r="AN19"/>
  <c r="AM19"/>
  <c r="AL19"/>
  <c r="AH19"/>
  <c r="AD19"/>
  <c r="S19"/>
  <c r="T19" s="1"/>
  <c r="L19"/>
  <c r="N19" s="1"/>
  <c r="V19" s="1"/>
  <c r="W19" s="1"/>
  <c r="R29" i="27"/>
  <c r="Q29"/>
  <c r="P29"/>
  <c r="O29"/>
  <c r="P17" i="41"/>
  <c r="Q17" s="1"/>
  <c r="E16" i="40"/>
  <c r="D16"/>
  <c r="U16" i="45"/>
  <c r="AM16" i="7"/>
  <c r="O16"/>
  <c r="L16"/>
  <c r="K16" s="1"/>
  <c r="I17" i="36"/>
  <c r="F17"/>
  <c r="O19" i="5"/>
  <c r="L19"/>
  <c r="I19"/>
  <c r="E19"/>
  <c r="G19" i="51"/>
  <c r="I19" s="1"/>
  <c r="J19" s="1"/>
  <c r="G19" i="4"/>
  <c r="I17" i="35"/>
  <c r="F17"/>
  <c r="K20" i="3"/>
  <c r="J20"/>
  <c r="G20"/>
  <c r="D20"/>
  <c r="BH18" i="1"/>
  <c r="AV18"/>
  <c r="BU18" s="1"/>
  <c r="AO18"/>
  <c r="AN18"/>
  <c r="AM18"/>
  <c r="AL18"/>
  <c r="AH18"/>
  <c r="AD18"/>
  <c r="S18"/>
  <c r="T18" s="1"/>
  <c r="L18"/>
  <c r="BC18" s="1"/>
  <c r="P16" i="41"/>
  <c r="Q16" s="1"/>
  <c r="E15" i="40"/>
  <c r="D15"/>
  <c r="U15" i="45"/>
  <c r="N15" i="3"/>
  <c r="O15" s="1"/>
  <c r="Q52" i="39"/>
  <c r="Q51" i="38"/>
  <c r="S51" s="1"/>
  <c r="L52" s="1"/>
  <c r="Q51" i="37"/>
  <c r="S51" s="1"/>
  <c r="D41" i="50"/>
  <c r="C41"/>
  <c r="V51" i="39"/>
  <c r="S51"/>
  <c r="K51"/>
  <c r="I51"/>
  <c r="H51"/>
  <c r="F51"/>
  <c r="E51"/>
  <c r="D51"/>
  <c r="C51"/>
  <c r="B51"/>
  <c r="K7" i="33"/>
  <c r="W19" i="27"/>
  <c r="X21"/>
  <c r="O23"/>
  <c r="P23"/>
  <c r="Q23"/>
  <c r="R23"/>
  <c r="X23"/>
  <c r="O24"/>
  <c r="P24"/>
  <c r="Q24"/>
  <c r="R24"/>
  <c r="X24"/>
  <c r="O25"/>
  <c r="P25"/>
  <c r="Q25"/>
  <c r="R25"/>
  <c r="O26"/>
  <c r="P26"/>
  <c r="Q26"/>
  <c r="R26"/>
  <c r="Y26"/>
  <c r="Z26"/>
  <c r="AA26"/>
  <c r="AB26"/>
  <c r="O27"/>
  <c r="P27"/>
  <c r="Q27"/>
  <c r="R27"/>
  <c r="O28"/>
  <c r="P28"/>
  <c r="Q28"/>
  <c r="R28"/>
  <c r="Q5" i="41"/>
  <c r="Q6"/>
  <c r="B25" i="39"/>
  <c r="C25"/>
  <c r="D25"/>
  <c r="E25"/>
  <c r="F25"/>
  <c r="H25"/>
  <c r="I25"/>
  <c r="K25"/>
  <c r="S25"/>
  <c r="V25"/>
  <c r="G26"/>
  <c r="J26"/>
  <c r="L26"/>
  <c r="B27"/>
  <c r="C27"/>
  <c r="D27"/>
  <c r="E27"/>
  <c r="F27"/>
  <c r="H27"/>
  <c r="I27"/>
  <c r="K27"/>
  <c r="S27"/>
  <c r="V27"/>
  <c r="G28"/>
  <c r="J28"/>
  <c r="L28"/>
  <c r="B29"/>
  <c r="C29"/>
  <c r="D29"/>
  <c r="E29"/>
  <c r="F29"/>
  <c r="H29"/>
  <c r="I29"/>
  <c r="K29"/>
  <c r="S29"/>
  <c r="V29"/>
  <c r="G30"/>
  <c r="J30"/>
  <c r="L30"/>
  <c r="B31"/>
  <c r="C31"/>
  <c r="D31"/>
  <c r="E31"/>
  <c r="F31"/>
  <c r="H31"/>
  <c r="I31"/>
  <c r="K31"/>
  <c r="S31"/>
  <c r="V31"/>
  <c r="G32"/>
  <c r="J32"/>
  <c r="L32"/>
  <c r="B33"/>
  <c r="C33"/>
  <c r="D33"/>
  <c r="E33"/>
  <c r="F33"/>
  <c r="H33"/>
  <c r="I33"/>
  <c r="K33"/>
  <c r="S33"/>
  <c r="V33"/>
  <c r="G34"/>
  <c r="J34"/>
  <c r="L34"/>
  <c r="B35"/>
  <c r="C35"/>
  <c r="D35"/>
  <c r="E35"/>
  <c r="F35"/>
  <c r="H35"/>
  <c r="I35"/>
  <c r="K35"/>
  <c r="S35"/>
  <c r="V35"/>
  <c r="G36"/>
  <c r="J36"/>
  <c r="L36"/>
  <c r="B37"/>
  <c r="C37"/>
  <c r="D37"/>
  <c r="E37"/>
  <c r="F37"/>
  <c r="H37"/>
  <c r="I37"/>
  <c r="K37"/>
  <c r="S37"/>
  <c r="V37"/>
  <c r="G38"/>
  <c r="J38"/>
  <c r="L38"/>
  <c r="B39"/>
  <c r="C39"/>
  <c r="D39"/>
  <c r="E39"/>
  <c r="F39"/>
  <c r="H39"/>
  <c r="I39"/>
  <c r="K39"/>
  <c r="S39"/>
  <c r="V39"/>
  <c r="G40"/>
  <c r="J40"/>
  <c r="L40"/>
  <c r="B41"/>
  <c r="C41"/>
  <c r="D41"/>
  <c r="E41"/>
  <c r="F41"/>
  <c r="H41"/>
  <c r="I41"/>
  <c r="K41"/>
  <c r="S41"/>
  <c r="V41"/>
  <c r="G42"/>
  <c r="J42"/>
  <c r="L42"/>
  <c r="Q42"/>
  <c r="B43"/>
  <c r="C43"/>
  <c r="D43"/>
  <c r="E43"/>
  <c r="F43"/>
  <c r="H43"/>
  <c r="I43"/>
  <c r="K43"/>
  <c r="S43"/>
  <c r="V43"/>
  <c r="G44"/>
  <c r="J44"/>
  <c r="L44"/>
  <c r="Q44"/>
  <c r="B45"/>
  <c r="C45"/>
  <c r="D45"/>
  <c r="E45"/>
  <c r="F45"/>
  <c r="H45"/>
  <c r="I45"/>
  <c r="K45"/>
  <c r="S45"/>
  <c r="V45"/>
  <c r="G46"/>
  <c r="J46"/>
  <c r="L46"/>
  <c r="Q46"/>
  <c r="B47"/>
  <c r="C47"/>
  <c r="D47"/>
  <c r="E47"/>
  <c r="F47"/>
  <c r="H47"/>
  <c r="I47"/>
  <c r="K47"/>
  <c r="S47"/>
  <c r="V47"/>
  <c r="G48"/>
  <c r="J48"/>
  <c r="L48"/>
  <c r="Q48"/>
  <c r="B49"/>
  <c r="C49"/>
  <c r="D49"/>
  <c r="E49"/>
  <c r="F49"/>
  <c r="H49"/>
  <c r="I49"/>
  <c r="K49"/>
  <c r="S49"/>
  <c r="V49"/>
  <c r="G50"/>
  <c r="J50"/>
  <c r="L50"/>
  <c r="Q50"/>
  <c r="Q5" i="38"/>
  <c r="S5" s="1"/>
  <c r="Q7"/>
  <c r="Q9"/>
  <c r="S9" s="1"/>
  <c r="Q11"/>
  <c r="S11" s="1"/>
  <c r="U11" s="1"/>
  <c r="Q13"/>
  <c r="S13" s="1"/>
  <c r="Q15"/>
  <c r="Q17"/>
  <c r="S17" s="1"/>
  <c r="Q19"/>
  <c r="S19" s="1"/>
  <c r="U19" s="1"/>
  <c r="Q21"/>
  <c r="S21" s="1"/>
  <c r="Q23"/>
  <c r="Q25"/>
  <c r="S25" s="1"/>
  <c r="Q27"/>
  <c r="S27" s="1"/>
  <c r="U27" s="1"/>
  <c r="Q29"/>
  <c r="S29" s="1"/>
  <c r="Q31"/>
  <c r="Q33"/>
  <c r="S33" s="1"/>
  <c r="Q35"/>
  <c r="S35" s="1"/>
  <c r="Q37"/>
  <c r="Q39"/>
  <c r="S39" s="1"/>
  <c r="B40" s="1"/>
  <c r="Q41"/>
  <c r="S41" s="1"/>
  <c r="Q43"/>
  <c r="S43" s="1"/>
  <c r="Q45"/>
  <c r="Q47"/>
  <c r="S47" s="1"/>
  <c r="R48" s="1"/>
  <c r="Q49"/>
  <c r="S49" s="1"/>
  <c r="Q5" i="37"/>
  <c r="Q6" s="1"/>
  <c r="U5"/>
  <c r="B6"/>
  <c r="C6"/>
  <c r="D6"/>
  <c r="E6"/>
  <c r="F6"/>
  <c r="G6"/>
  <c r="H6"/>
  <c r="I6"/>
  <c r="J6"/>
  <c r="K6"/>
  <c r="L6"/>
  <c r="M6"/>
  <c r="N6"/>
  <c r="O6"/>
  <c r="P6"/>
  <c r="R6"/>
  <c r="S6"/>
  <c r="Q7"/>
  <c r="Q8" s="1"/>
  <c r="U7"/>
  <c r="B8"/>
  <c r="C8"/>
  <c r="D8"/>
  <c r="E8"/>
  <c r="F8"/>
  <c r="G8"/>
  <c r="H8"/>
  <c r="I8"/>
  <c r="J8"/>
  <c r="K8"/>
  <c r="L8"/>
  <c r="M8"/>
  <c r="N8"/>
  <c r="O8"/>
  <c r="P8"/>
  <c r="R8"/>
  <c r="S8"/>
  <c r="Q9"/>
  <c r="Q10" s="1"/>
  <c r="U9"/>
  <c r="B10"/>
  <c r="C10"/>
  <c r="D10"/>
  <c r="E10"/>
  <c r="F10"/>
  <c r="G10"/>
  <c r="H10"/>
  <c r="I10"/>
  <c r="J10"/>
  <c r="K10"/>
  <c r="L10"/>
  <c r="M10"/>
  <c r="N10"/>
  <c r="O10"/>
  <c r="P10"/>
  <c r="R10"/>
  <c r="S10"/>
  <c r="Q11"/>
  <c r="Q12" s="1"/>
  <c r="U11"/>
  <c r="B12"/>
  <c r="C12"/>
  <c r="D12"/>
  <c r="E12"/>
  <c r="F12"/>
  <c r="G12"/>
  <c r="H12"/>
  <c r="I12"/>
  <c r="J12"/>
  <c r="K12"/>
  <c r="L12"/>
  <c r="M12"/>
  <c r="N12"/>
  <c r="O12"/>
  <c r="P12"/>
  <c r="R12"/>
  <c r="S12"/>
  <c r="Q13"/>
  <c r="Q14" s="1"/>
  <c r="U13"/>
  <c r="B14"/>
  <c r="C14"/>
  <c r="D14"/>
  <c r="E14"/>
  <c r="F14"/>
  <c r="G14"/>
  <c r="H14"/>
  <c r="I14"/>
  <c r="J14"/>
  <c r="K14"/>
  <c r="L14"/>
  <c r="M14"/>
  <c r="N14"/>
  <c r="O14"/>
  <c r="P14"/>
  <c r="R14"/>
  <c r="S14"/>
  <c r="Q15"/>
  <c r="Q16" s="1"/>
  <c r="U15"/>
  <c r="B16"/>
  <c r="C16"/>
  <c r="D16"/>
  <c r="E16"/>
  <c r="F16"/>
  <c r="G16"/>
  <c r="H16"/>
  <c r="I16"/>
  <c r="J16"/>
  <c r="K16"/>
  <c r="L16"/>
  <c r="M16"/>
  <c r="N16"/>
  <c r="O16"/>
  <c r="P16"/>
  <c r="R16"/>
  <c r="S16"/>
  <c r="Q17"/>
  <c r="Q18" s="1"/>
  <c r="B18"/>
  <c r="C18"/>
  <c r="D18"/>
  <c r="E18"/>
  <c r="F18"/>
  <c r="G18"/>
  <c r="H18"/>
  <c r="I18"/>
  <c r="J18"/>
  <c r="K18"/>
  <c r="L18"/>
  <c r="M18"/>
  <c r="N18"/>
  <c r="O18"/>
  <c r="P18"/>
  <c r="R18"/>
  <c r="S18"/>
  <c r="Q19"/>
  <c r="Q20" s="1"/>
  <c r="U19"/>
  <c r="B20"/>
  <c r="C20"/>
  <c r="D20"/>
  <c r="E20"/>
  <c r="F20"/>
  <c r="G20"/>
  <c r="H20"/>
  <c r="I20"/>
  <c r="J20"/>
  <c r="K20"/>
  <c r="L20"/>
  <c r="M20"/>
  <c r="N20"/>
  <c r="O20"/>
  <c r="P20"/>
  <c r="R20"/>
  <c r="S20"/>
  <c r="Q21"/>
  <c r="R21" s="1"/>
  <c r="R22" s="1"/>
  <c r="U21"/>
  <c r="B22"/>
  <c r="C22"/>
  <c r="D22"/>
  <c r="E22"/>
  <c r="F22"/>
  <c r="G22"/>
  <c r="H22"/>
  <c r="I22"/>
  <c r="J22"/>
  <c r="K22"/>
  <c r="L22"/>
  <c r="M22"/>
  <c r="N22"/>
  <c r="O22"/>
  <c r="P22"/>
  <c r="S22"/>
  <c r="Q23"/>
  <c r="S23" s="1"/>
  <c r="Q25"/>
  <c r="S25" s="1"/>
  <c r="Q27"/>
  <c r="S27" s="1"/>
  <c r="Q29"/>
  <c r="S29" s="1"/>
  <c r="Q31"/>
  <c r="S31" s="1"/>
  <c r="Q33"/>
  <c r="S33" s="1"/>
  <c r="Q35"/>
  <c r="S35" s="1"/>
  <c r="C36" s="1"/>
  <c r="Q37"/>
  <c r="S37" s="1"/>
  <c r="Q39"/>
  <c r="S39" s="1"/>
  <c r="Q41"/>
  <c r="S41" s="1"/>
  <c r="Q43"/>
  <c r="S43" s="1"/>
  <c r="Q45"/>
  <c r="S45" s="1"/>
  <c r="Q47"/>
  <c r="S47" s="1"/>
  <c r="Q49"/>
  <c r="S49" s="1"/>
  <c r="M50" s="1"/>
  <c r="B16" i="50"/>
  <c r="C16"/>
  <c r="D16"/>
  <c r="F16"/>
  <c r="G16"/>
  <c r="H16"/>
  <c r="B19"/>
  <c r="C19"/>
  <c r="D19"/>
  <c r="F19"/>
  <c r="G19"/>
  <c r="H19"/>
  <c r="B22"/>
  <c r="C22"/>
  <c r="D22"/>
  <c r="F22"/>
  <c r="G22"/>
  <c r="H22"/>
  <c r="B25"/>
  <c r="C25"/>
  <c r="D25"/>
  <c r="F25"/>
  <c r="G25"/>
  <c r="H25"/>
  <c r="B28"/>
  <c r="C28"/>
  <c r="D28"/>
  <c r="F28"/>
  <c r="G28"/>
  <c r="H28"/>
  <c r="B30"/>
  <c r="C30"/>
  <c r="D30"/>
  <c r="F33"/>
  <c r="G33"/>
  <c r="H33"/>
  <c r="C34"/>
  <c r="D34"/>
  <c r="B37"/>
  <c r="C37"/>
  <c r="D37"/>
  <c r="D6" i="6"/>
  <c r="G6"/>
  <c r="J6"/>
  <c r="K6"/>
  <c r="U6"/>
  <c r="J7"/>
  <c r="N7" s="1"/>
  <c r="K7"/>
  <c r="U7"/>
  <c r="D8"/>
  <c r="G8"/>
  <c r="J8"/>
  <c r="K8"/>
  <c r="U8"/>
  <c r="D9"/>
  <c r="G9"/>
  <c r="J9"/>
  <c r="K9"/>
  <c r="U9"/>
  <c r="U10"/>
  <c r="V10" s="1"/>
  <c r="U11"/>
  <c r="V11" s="1"/>
  <c r="B14"/>
  <c r="C14"/>
  <c r="E14"/>
  <c r="F14"/>
  <c r="H14"/>
  <c r="I14"/>
  <c r="K14"/>
  <c r="L14"/>
  <c r="P14"/>
  <c r="Q14"/>
  <c r="R14"/>
  <c r="S14"/>
  <c r="T14"/>
  <c r="D15"/>
  <c r="G15"/>
  <c r="J15"/>
  <c r="M15"/>
  <c r="U15"/>
  <c r="D16"/>
  <c r="G16"/>
  <c r="J16"/>
  <c r="M16"/>
  <c r="U16"/>
  <c r="D17"/>
  <c r="G17"/>
  <c r="J17"/>
  <c r="M17"/>
  <c r="U17"/>
  <c r="D18"/>
  <c r="G18"/>
  <c r="J18"/>
  <c r="M18"/>
  <c r="U18"/>
  <c r="B19"/>
  <c r="C19"/>
  <c r="E19"/>
  <c r="F19"/>
  <c r="H19"/>
  <c r="I19"/>
  <c r="K19"/>
  <c r="L19"/>
  <c r="P19"/>
  <c r="Q19"/>
  <c r="R19"/>
  <c r="S19"/>
  <c r="T19"/>
  <c r="D20"/>
  <c r="G20"/>
  <c r="J20"/>
  <c r="M20"/>
  <c r="U20"/>
  <c r="D21"/>
  <c r="G21"/>
  <c r="J21"/>
  <c r="M21"/>
  <c r="U21"/>
  <c r="D22"/>
  <c r="G22"/>
  <c r="J22"/>
  <c r="M22"/>
  <c r="U22"/>
  <c r="D23"/>
  <c r="G23"/>
  <c r="J23"/>
  <c r="M23"/>
  <c r="U23"/>
  <c r="F7" i="36"/>
  <c r="I7"/>
  <c r="F8"/>
  <c r="I8"/>
  <c r="F9"/>
  <c r="I9"/>
  <c r="F10"/>
  <c r="I10"/>
  <c r="I8" i="5"/>
  <c r="L8"/>
  <c r="I9"/>
  <c r="L9"/>
  <c r="I10"/>
  <c r="L10"/>
  <c r="I11"/>
  <c r="L11"/>
  <c r="I12"/>
  <c r="L12"/>
  <c r="I13"/>
  <c r="L13"/>
  <c r="E8" i="51"/>
  <c r="G8" s="1"/>
  <c r="I8" s="1"/>
  <c r="J8" s="1"/>
  <c r="G9"/>
  <c r="I9" s="1"/>
  <c r="J9" s="1"/>
  <c r="G10"/>
  <c r="I10" s="1"/>
  <c r="J10" s="1"/>
  <c r="G11"/>
  <c r="I11" s="1"/>
  <c r="J11" s="1"/>
  <c r="G12"/>
  <c r="I12" s="1"/>
  <c r="J12" s="1"/>
  <c r="G13"/>
  <c r="I13" s="1"/>
  <c r="J13" s="1"/>
  <c r="F8" i="4"/>
  <c r="G8" s="1"/>
  <c r="G9"/>
  <c r="G10"/>
  <c r="G11"/>
  <c r="D9" i="3"/>
  <c r="G9"/>
  <c r="J9"/>
  <c r="D10"/>
  <c r="G10"/>
  <c r="J10"/>
  <c r="D11"/>
  <c r="G11"/>
  <c r="J11"/>
  <c r="D12"/>
  <c r="G12"/>
  <c r="J12"/>
  <c r="D13"/>
  <c r="G13"/>
  <c r="J13"/>
  <c r="D14"/>
  <c r="L7" i="1"/>
  <c r="N7" s="1"/>
  <c r="V7" s="1"/>
  <c r="W7" s="1"/>
  <c r="Y7" s="1"/>
  <c r="S7"/>
  <c r="T7" s="1"/>
  <c r="AD7"/>
  <c r="AH7"/>
  <c r="AL7"/>
  <c r="AM7"/>
  <c r="AN7"/>
  <c r="AO7"/>
  <c r="AX7"/>
  <c r="AY7" s="1"/>
  <c r="AZ7" s="1"/>
  <c r="BH7"/>
  <c r="BW7"/>
  <c r="CA7"/>
  <c r="L8"/>
  <c r="N8" s="1"/>
  <c r="V8" s="1"/>
  <c r="W8" s="1"/>
  <c r="S8"/>
  <c r="T8" s="1"/>
  <c r="AD8"/>
  <c r="AH8"/>
  <c r="AL8"/>
  <c r="AM8"/>
  <c r="AN8"/>
  <c r="AO8"/>
  <c r="AX8"/>
  <c r="AY8" s="1"/>
  <c r="AZ8" s="1"/>
  <c r="BH8"/>
  <c r="BU8"/>
  <c r="BW8"/>
  <c r="CA8"/>
  <c r="AY9"/>
  <c r="AZ9" s="1"/>
  <c r="AY10"/>
  <c r="AZ10" s="1"/>
  <c r="I52" i="38"/>
  <c r="S52"/>
  <c r="G52"/>
  <c r="N52"/>
  <c r="J20" l="1"/>
  <c r="O20"/>
  <c r="J15" i="10"/>
  <c r="U39" i="37"/>
  <c r="P40"/>
  <c r="J40"/>
  <c r="B40"/>
  <c r="R40"/>
  <c r="H40"/>
  <c r="U31"/>
  <c r="H32"/>
  <c r="P32"/>
  <c r="U23"/>
  <c r="P24"/>
  <c r="H24"/>
  <c r="K44" i="38"/>
  <c r="O44"/>
  <c r="H44"/>
  <c r="P44"/>
  <c r="C44"/>
  <c r="S44"/>
  <c r="H36"/>
  <c r="D36"/>
  <c r="U49"/>
  <c r="S50"/>
  <c r="C50"/>
  <c r="E50"/>
  <c r="R50"/>
  <c r="K50"/>
  <c r="L50"/>
  <c r="D50"/>
  <c r="B50"/>
  <c r="O50"/>
  <c r="C42"/>
  <c r="H42"/>
  <c r="U41"/>
  <c r="Q42"/>
  <c r="I42"/>
  <c r="P42"/>
  <c r="B14"/>
  <c r="H14"/>
  <c r="N14"/>
  <c r="C44" i="37"/>
  <c r="D44"/>
  <c r="P44"/>
  <c r="B30" i="38"/>
  <c r="N30"/>
  <c r="E22"/>
  <c r="D22"/>
  <c r="N22"/>
  <c r="B22"/>
  <c r="J22"/>
  <c r="H22"/>
  <c r="P22"/>
  <c r="I22"/>
  <c r="R22"/>
  <c r="L48"/>
  <c r="E28"/>
  <c r="E20"/>
  <c r="E12"/>
  <c r="D52"/>
  <c r="P52"/>
  <c r="M52"/>
  <c r="H52"/>
  <c r="K52"/>
  <c r="B52"/>
  <c r="J52"/>
  <c r="G48"/>
  <c r="F52"/>
  <c r="U51"/>
  <c r="Q52"/>
  <c r="E52"/>
  <c r="O52"/>
  <c r="R52"/>
  <c r="C52"/>
  <c r="K16" i="33"/>
  <c r="K15" s="1"/>
  <c r="J15"/>
  <c r="G34" i="6"/>
  <c r="E34" i="50"/>
  <c r="E41"/>
  <c r="H6" i="38"/>
  <c r="N6"/>
  <c r="M6"/>
  <c r="B6"/>
  <c r="I6"/>
  <c r="P6"/>
  <c r="E6"/>
  <c r="R6"/>
  <c r="D6"/>
  <c r="J6"/>
  <c r="B52" i="37"/>
  <c r="U51"/>
  <c r="G52"/>
  <c r="L52"/>
  <c r="D52"/>
  <c r="I52"/>
  <c r="R52"/>
  <c r="N52"/>
  <c r="Q52"/>
  <c r="M52"/>
  <c r="C52"/>
  <c r="S52"/>
  <c r="E52"/>
  <c r="K52"/>
  <c r="F52"/>
  <c r="H52"/>
  <c r="O52"/>
  <c r="P52"/>
  <c r="J52"/>
  <c r="C28"/>
  <c r="P28"/>
  <c r="D28"/>
  <c r="L28"/>
  <c r="H28"/>
  <c r="U47"/>
  <c r="F48"/>
  <c r="N48"/>
  <c r="D48"/>
  <c r="H48"/>
  <c r="P48"/>
  <c r="L48"/>
  <c r="B48"/>
  <c r="J48"/>
  <c r="R48"/>
  <c r="N40" i="38"/>
  <c r="L36" i="37"/>
  <c r="N32"/>
  <c r="F32"/>
  <c r="Q32"/>
  <c r="N24"/>
  <c r="F24"/>
  <c r="Q24"/>
  <c r="J40" i="38"/>
  <c r="M30"/>
  <c r="E30"/>
  <c r="M14"/>
  <c r="E14"/>
  <c r="Q6"/>
  <c r="P36" i="37"/>
  <c r="Q50"/>
  <c r="F50" i="38"/>
  <c r="J50"/>
  <c r="I50"/>
  <c r="L44" i="37"/>
  <c r="N40"/>
  <c r="F40"/>
  <c r="Q40"/>
  <c r="H36"/>
  <c r="L32"/>
  <c r="D32"/>
  <c r="S24"/>
  <c r="L24"/>
  <c r="D24"/>
  <c r="M42" i="38"/>
  <c r="E42"/>
  <c r="F40"/>
  <c r="P36"/>
  <c r="R30"/>
  <c r="J30"/>
  <c r="D30"/>
  <c r="O28"/>
  <c r="R14"/>
  <c r="J14"/>
  <c r="D14"/>
  <c r="O12"/>
  <c r="O15" i="7"/>
  <c r="M34" i="6"/>
  <c r="I44" i="50"/>
  <c r="H30" i="38"/>
  <c r="E28" i="50"/>
  <c r="E22"/>
  <c r="E16"/>
  <c r="Q48" i="37"/>
  <c r="H44"/>
  <c r="L40"/>
  <c r="D40"/>
  <c r="D36"/>
  <c r="R32"/>
  <c r="J32"/>
  <c r="B32"/>
  <c r="R24"/>
  <c r="J24"/>
  <c r="B24"/>
  <c r="L42" i="38"/>
  <c r="D42"/>
  <c r="R40"/>
  <c r="Q34"/>
  <c r="P30"/>
  <c r="I30"/>
  <c r="J28"/>
  <c r="M22"/>
  <c r="P14"/>
  <c r="I14"/>
  <c r="J12"/>
  <c r="D34" i="6"/>
  <c r="U34"/>
  <c r="O50" i="37"/>
  <c r="S50"/>
  <c r="R50"/>
  <c r="H50"/>
  <c r="D50"/>
  <c r="N50"/>
  <c r="E50"/>
  <c r="F50"/>
  <c r="G50"/>
  <c r="L50"/>
  <c r="C50"/>
  <c r="B50"/>
  <c r="U49"/>
  <c r="P50"/>
  <c r="K50"/>
  <c r="J50"/>
  <c r="I50"/>
  <c r="B46"/>
  <c r="F46"/>
  <c r="J46"/>
  <c r="N46"/>
  <c r="R46"/>
  <c r="C46"/>
  <c r="G46"/>
  <c r="K46"/>
  <c r="O46"/>
  <c r="S46"/>
  <c r="D46"/>
  <c r="H46"/>
  <c r="L46"/>
  <c r="P46"/>
  <c r="U45"/>
  <c r="E46"/>
  <c r="I46"/>
  <c r="M46"/>
  <c r="D26"/>
  <c r="H26"/>
  <c r="L26"/>
  <c r="P26"/>
  <c r="U25"/>
  <c r="E26"/>
  <c r="I26"/>
  <c r="M26"/>
  <c r="Q26"/>
  <c r="B26"/>
  <c r="F26"/>
  <c r="J26"/>
  <c r="N26"/>
  <c r="R26"/>
  <c r="C26"/>
  <c r="G26"/>
  <c r="K26"/>
  <c r="O26"/>
  <c r="S26"/>
  <c r="D34"/>
  <c r="H34"/>
  <c r="L34"/>
  <c r="P34"/>
  <c r="U33"/>
  <c r="E34"/>
  <c r="I34"/>
  <c r="M34"/>
  <c r="Q34"/>
  <c r="B34"/>
  <c r="F34"/>
  <c r="J34"/>
  <c r="N34"/>
  <c r="R34"/>
  <c r="C34"/>
  <c r="G34"/>
  <c r="K34"/>
  <c r="O34"/>
  <c r="S34"/>
  <c r="B30"/>
  <c r="F30"/>
  <c r="J30"/>
  <c r="N30"/>
  <c r="R30"/>
  <c r="C30"/>
  <c r="G30"/>
  <c r="K30"/>
  <c r="O30"/>
  <c r="S30"/>
  <c r="D30"/>
  <c r="H30"/>
  <c r="L30"/>
  <c r="P30"/>
  <c r="U29"/>
  <c r="E30"/>
  <c r="I30"/>
  <c r="M30"/>
  <c r="D42"/>
  <c r="H42"/>
  <c r="L42"/>
  <c r="P42"/>
  <c r="U41"/>
  <c r="E42"/>
  <c r="I42"/>
  <c r="M42"/>
  <c r="Q42"/>
  <c r="B42"/>
  <c r="F42"/>
  <c r="J42"/>
  <c r="N42"/>
  <c r="R42"/>
  <c r="C42"/>
  <c r="G42"/>
  <c r="K42"/>
  <c r="O42"/>
  <c r="S42"/>
  <c r="B38"/>
  <c r="F38"/>
  <c r="J38"/>
  <c r="N38"/>
  <c r="R38"/>
  <c r="C38"/>
  <c r="G38"/>
  <c r="K38"/>
  <c r="O38"/>
  <c r="S38"/>
  <c r="D38"/>
  <c r="H38"/>
  <c r="L38"/>
  <c r="P38"/>
  <c r="U37"/>
  <c r="E38"/>
  <c r="I38"/>
  <c r="M38"/>
  <c r="U19" i="6"/>
  <c r="B33" i="50"/>
  <c r="E37"/>
  <c r="E30"/>
  <c r="E25"/>
  <c r="E19"/>
  <c r="Q46" i="37"/>
  <c r="R44"/>
  <c r="N44"/>
  <c r="J44"/>
  <c r="F44"/>
  <c r="B44"/>
  <c r="Q38"/>
  <c r="R36"/>
  <c r="N36"/>
  <c r="J36"/>
  <c r="F36"/>
  <c r="B36"/>
  <c r="Q30"/>
  <c r="R28"/>
  <c r="N28"/>
  <c r="J28"/>
  <c r="F28"/>
  <c r="B28"/>
  <c r="Q22"/>
  <c r="U47" i="38"/>
  <c r="E48"/>
  <c r="I48"/>
  <c r="M48"/>
  <c r="D48"/>
  <c r="U33"/>
  <c r="E34"/>
  <c r="B34"/>
  <c r="G34"/>
  <c r="K34"/>
  <c r="O34"/>
  <c r="S34"/>
  <c r="C34"/>
  <c r="H34"/>
  <c r="L34"/>
  <c r="P34"/>
  <c r="F34"/>
  <c r="J34"/>
  <c r="N34"/>
  <c r="R34"/>
  <c r="U17"/>
  <c r="E18"/>
  <c r="I18"/>
  <c r="M18"/>
  <c r="B18"/>
  <c r="G18"/>
  <c r="L18"/>
  <c r="R18"/>
  <c r="C18"/>
  <c r="H18"/>
  <c r="N18"/>
  <c r="S18"/>
  <c r="D18"/>
  <c r="J18"/>
  <c r="O18"/>
  <c r="F18"/>
  <c r="K18"/>
  <c r="P18"/>
  <c r="I33" i="50"/>
  <c r="I25"/>
  <c r="I19"/>
  <c r="S48" i="37"/>
  <c r="O48"/>
  <c r="K48"/>
  <c r="G48"/>
  <c r="C48"/>
  <c r="Q44"/>
  <c r="M44"/>
  <c r="I44"/>
  <c r="E44"/>
  <c r="U43"/>
  <c r="S40"/>
  <c r="O40"/>
  <c r="K40"/>
  <c r="G40"/>
  <c r="C40"/>
  <c r="Q36"/>
  <c r="M36"/>
  <c r="I36"/>
  <c r="E36"/>
  <c r="U35"/>
  <c r="S32"/>
  <c r="O32"/>
  <c r="K32"/>
  <c r="G32"/>
  <c r="C32"/>
  <c r="Q28"/>
  <c r="M28"/>
  <c r="I28"/>
  <c r="E28"/>
  <c r="U27"/>
  <c r="O24"/>
  <c r="K24"/>
  <c r="G24"/>
  <c r="C24"/>
  <c r="P48" i="38"/>
  <c r="K48"/>
  <c r="F48"/>
  <c r="B44"/>
  <c r="F44"/>
  <c r="J44"/>
  <c r="N44"/>
  <c r="R44"/>
  <c r="U43"/>
  <c r="E44"/>
  <c r="I44"/>
  <c r="M44"/>
  <c r="S37"/>
  <c r="M34"/>
  <c r="O48"/>
  <c r="J48"/>
  <c r="C48"/>
  <c r="G44"/>
  <c r="Q44"/>
  <c r="B36"/>
  <c r="F36"/>
  <c r="J36"/>
  <c r="N36"/>
  <c r="R36"/>
  <c r="C36"/>
  <c r="G36"/>
  <c r="K36"/>
  <c r="O36"/>
  <c r="S36"/>
  <c r="U35"/>
  <c r="E36"/>
  <c r="I36"/>
  <c r="M36"/>
  <c r="I34"/>
  <c r="U25"/>
  <c r="E26"/>
  <c r="I26"/>
  <c r="M26"/>
  <c r="B26"/>
  <c r="G26"/>
  <c r="L26"/>
  <c r="R26"/>
  <c r="C26"/>
  <c r="H26"/>
  <c r="N26"/>
  <c r="S26"/>
  <c r="D26"/>
  <c r="J26"/>
  <c r="O26"/>
  <c r="F26"/>
  <c r="K26"/>
  <c r="P26"/>
  <c r="U9"/>
  <c r="E10"/>
  <c r="I10"/>
  <c r="M10"/>
  <c r="B10"/>
  <c r="G10"/>
  <c r="L10"/>
  <c r="R10"/>
  <c r="C10"/>
  <c r="H10"/>
  <c r="N10"/>
  <c r="S10"/>
  <c r="D10"/>
  <c r="J10"/>
  <c r="O10"/>
  <c r="F10"/>
  <c r="K10"/>
  <c r="P10"/>
  <c r="H50"/>
  <c r="G50"/>
  <c r="P50"/>
  <c r="M50"/>
  <c r="N50"/>
  <c r="Q50"/>
  <c r="I28" i="50"/>
  <c r="I22"/>
  <c r="I16"/>
  <c r="M48" i="37"/>
  <c r="I48"/>
  <c r="E48"/>
  <c r="S44"/>
  <c r="O44"/>
  <c r="K44"/>
  <c r="G44"/>
  <c r="M40"/>
  <c r="I40"/>
  <c r="E40"/>
  <c r="S36"/>
  <c r="O36"/>
  <c r="K36"/>
  <c r="G36"/>
  <c r="M32"/>
  <c r="I32"/>
  <c r="E32"/>
  <c r="S28"/>
  <c r="O28"/>
  <c r="K28"/>
  <c r="G28"/>
  <c r="M24"/>
  <c r="I24"/>
  <c r="E24"/>
  <c r="S48" i="38"/>
  <c r="N48"/>
  <c r="H48"/>
  <c r="B48"/>
  <c r="S45"/>
  <c r="Q46" s="1"/>
  <c r="L44"/>
  <c r="D44"/>
  <c r="D40"/>
  <c r="H40"/>
  <c r="L40"/>
  <c r="P40"/>
  <c r="U39"/>
  <c r="E40"/>
  <c r="I40"/>
  <c r="M40"/>
  <c r="Q40"/>
  <c r="C40"/>
  <c r="G40"/>
  <c r="K40"/>
  <c r="O40"/>
  <c r="S40"/>
  <c r="L36"/>
  <c r="Q36"/>
  <c r="D34"/>
  <c r="R42"/>
  <c r="N42"/>
  <c r="J42"/>
  <c r="F42"/>
  <c r="B42"/>
  <c r="S31"/>
  <c r="C30"/>
  <c r="G30"/>
  <c r="K30"/>
  <c r="O30"/>
  <c r="S30"/>
  <c r="Q28"/>
  <c r="K28"/>
  <c r="F28"/>
  <c r="S23"/>
  <c r="C22"/>
  <c r="G22"/>
  <c r="K22"/>
  <c r="O22"/>
  <c r="S22"/>
  <c r="Q20"/>
  <c r="K20"/>
  <c r="F20"/>
  <c r="S15"/>
  <c r="C14"/>
  <c r="G14"/>
  <c r="K14"/>
  <c r="O14"/>
  <c r="S14"/>
  <c r="Q12"/>
  <c r="K12"/>
  <c r="F12"/>
  <c r="S7"/>
  <c r="Q8" s="1"/>
  <c r="C6"/>
  <c r="G6"/>
  <c r="K6"/>
  <c r="O6"/>
  <c r="S6"/>
  <c r="D28"/>
  <c r="H28"/>
  <c r="L28"/>
  <c r="P28"/>
  <c r="Q26"/>
  <c r="D20"/>
  <c r="H20"/>
  <c r="L20"/>
  <c r="P20"/>
  <c r="Q18"/>
  <c r="D12"/>
  <c r="H12"/>
  <c r="L12"/>
  <c r="P12"/>
  <c r="Q10"/>
  <c r="S28"/>
  <c r="N28"/>
  <c r="I28"/>
  <c r="C28"/>
  <c r="S20"/>
  <c r="N20"/>
  <c r="I20"/>
  <c r="C20"/>
  <c r="S12"/>
  <c r="N12"/>
  <c r="I12"/>
  <c r="C12"/>
  <c r="Q48"/>
  <c r="S42"/>
  <c r="O42"/>
  <c r="K42"/>
  <c r="G42"/>
  <c r="Q30"/>
  <c r="L30"/>
  <c r="F30"/>
  <c r="U29"/>
  <c r="R28"/>
  <c r="M28"/>
  <c r="G28"/>
  <c r="B28"/>
  <c r="Q22"/>
  <c r="L22"/>
  <c r="F22"/>
  <c r="U21"/>
  <c r="R20"/>
  <c r="M20"/>
  <c r="G20"/>
  <c r="B20"/>
  <c r="Q14"/>
  <c r="L14"/>
  <c r="F14"/>
  <c r="U13"/>
  <c r="R12"/>
  <c r="M12"/>
  <c r="G12"/>
  <c r="B12"/>
  <c r="L6"/>
  <c r="F6"/>
  <c r="U5"/>
  <c r="J34" i="6"/>
  <c r="I40" i="50"/>
  <c r="B40"/>
  <c r="E44"/>
  <c r="AM17" i="7"/>
  <c r="AM15" s="1"/>
  <c r="AL15"/>
  <c r="L15"/>
  <c r="P13" i="5"/>
  <c r="R13" s="1"/>
  <c r="S13" s="1"/>
  <c r="P11"/>
  <c r="R11" s="1"/>
  <c r="S11" s="1"/>
  <c r="P9"/>
  <c r="R9" s="1"/>
  <c r="S9" s="1"/>
  <c r="P21"/>
  <c r="R21" s="1"/>
  <c r="S21" s="1"/>
  <c r="AP20" i="1"/>
  <c r="BV20" s="1"/>
  <c r="BV23"/>
  <c r="K10" i="36"/>
  <c r="L21" i="3"/>
  <c r="N21" s="1"/>
  <c r="L13"/>
  <c r="AP7" i="1"/>
  <c r="BT7" s="1"/>
  <c r="BC8"/>
  <c r="AP18"/>
  <c r="BV18" s="1"/>
  <c r="AX20"/>
  <c r="AY20" s="1"/>
  <c r="AZ20" s="1"/>
  <c r="BU20"/>
  <c r="L23" i="3"/>
  <c r="N23" s="1"/>
  <c r="O23" s="1"/>
  <c r="BU21" i="1"/>
  <c r="AX22"/>
  <c r="AY22" s="1"/>
  <c r="AZ22" s="1"/>
  <c r="P12" i="5"/>
  <c r="R12" s="1"/>
  <c r="S12" s="1"/>
  <c r="P8"/>
  <c r="R8" s="1"/>
  <c r="S8" s="1"/>
  <c r="L12" i="3"/>
  <c r="N12" s="1"/>
  <c r="L20"/>
  <c r="N20" s="1"/>
  <c r="O20" s="1"/>
  <c r="L22"/>
  <c r="N22" s="1"/>
  <c r="O22" s="1"/>
  <c r="L24"/>
  <c r="N24" s="1"/>
  <c r="O24" s="1"/>
  <c r="N8" i="6"/>
  <c r="V8" s="1"/>
  <c r="N6"/>
  <c r="V6" s="1"/>
  <c r="AN16" i="7"/>
  <c r="AN20"/>
  <c r="AO20" s="1"/>
  <c r="D33" i="50"/>
  <c r="D40"/>
  <c r="C40"/>
  <c r="C33"/>
  <c r="N23" i="6"/>
  <c r="V23" s="1"/>
  <c r="G19"/>
  <c r="N22"/>
  <c r="V22" s="1"/>
  <c r="N21"/>
  <c r="V21" s="1"/>
  <c r="J19"/>
  <c r="N9"/>
  <c r="V9" s="1"/>
  <c r="V7"/>
  <c r="M19"/>
  <c r="N18"/>
  <c r="V18" s="1"/>
  <c r="G14"/>
  <c r="J14"/>
  <c r="M14"/>
  <c r="U14"/>
  <c r="N17"/>
  <c r="V17" s="1"/>
  <c r="D14"/>
  <c r="D19"/>
  <c r="N16"/>
  <c r="V16" s="1"/>
  <c r="N15"/>
  <c r="N20"/>
  <c r="K9" i="36"/>
  <c r="K7"/>
  <c r="K17"/>
  <c r="K18"/>
  <c r="K19"/>
  <c r="K20"/>
  <c r="K8"/>
  <c r="K21"/>
  <c r="P10" i="5"/>
  <c r="R10" s="1"/>
  <c r="S10" s="1"/>
  <c r="P23"/>
  <c r="R23" s="1"/>
  <c r="S23" s="1"/>
  <c r="P19"/>
  <c r="R19" s="1"/>
  <c r="S19" s="1"/>
  <c r="P20"/>
  <c r="R20" s="1"/>
  <c r="S20" s="1"/>
  <c r="P22"/>
  <c r="R22" s="1"/>
  <c r="S22" s="1"/>
  <c r="K20" i="35"/>
  <c r="K18"/>
  <c r="K19"/>
  <c r="K17"/>
  <c r="L11" i="3"/>
  <c r="N11" s="1"/>
  <c r="L10"/>
  <c r="N10" s="1"/>
  <c r="O10" s="1"/>
  <c r="L9"/>
  <c r="N9" s="1"/>
  <c r="O9" s="1"/>
  <c r="O21"/>
  <c r="BW19" i="1"/>
  <c r="AP8"/>
  <c r="BT8" s="1"/>
  <c r="AX18"/>
  <c r="AY18" s="1"/>
  <c r="AZ18" s="1"/>
  <c r="AX19"/>
  <c r="AY19" s="1"/>
  <c r="AZ19" s="1"/>
  <c r="BU22"/>
  <c r="BC7"/>
  <c r="BW18"/>
  <c r="AX21"/>
  <c r="AY21" s="1"/>
  <c r="AZ21" s="1"/>
  <c r="AP22"/>
  <c r="BV22" s="1"/>
  <c r="AP19"/>
  <c r="BT19" s="1"/>
  <c r="AP21"/>
  <c r="BV21" s="1"/>
  <c r="N23"/>
  <c r="V23" s="1"/>
  <c r="W23" s="1"/>
  <c r="BC20"/>
  <c r="N18"/>
  <c r="V18" s="1"/>
  <c r="W18" s="1"/>
  <c r="N22"/>
  <c r="V22" s="1"/>
  <c r="W22" s="1"/>
  <c r="BC21"/>
  <c r="BC19"/>
  <c r="AN19" i="7"/>
  <c r="AO19" s="1"/>
  <c r="AN18"/>
  <c r="AO18" s="1"/>
  <c r="AN21"/>
  <c r="AO21" s="1"/>
  <c r="K20"/>
  <c r="K15" s="1"/>
  <c r="AN17" l="1"/>
  <c r="AO17" s="1"/>
  <c r="B32" i="38"/>
  <c r="F32"/>
  <c r="J32"/>
  <c r="N32"/>
  <c r="R32"/>
  <c r="U31"/>
  <c r="G32"/>
  <c r="L32"/>
  <c r="C32"/>
  <c r="H32"/>
  <c r="M32"/>
  <c r="S32"/>
  <c r="D32"/>
  <c r="I32"/>
  <c r="O32"/>
  <c r="E32"/>
  <c r="K32"/>
  <c r="P32"/>
  <c r="Q32"/>
  <c r="B8"/>
  <c r="F8"/>
  <c r="J8"/>
  <c r="N8"/>
  <c r="R8"/>
  <c r="U7"/>
  <c r="G8"/>
  <c r="L8"/>
  <c r="C8"/>
  <c r="H8"/>
  <c r="M8"/>
  <c r="S8"/>
  <c r="D8"/>
  <c r="I8"/>
  <c r="O8"/>
  <c r="E8"/>
  <c r="K8"/>
  <c r="P8"/>
  <c r="V34" i="6"/>
  <c r="N34"/>
  <c r="E40" i="50"/>
  <c r="B16" i="38"/>
  <c r="F16"/>
  <c r="J16"/>
  <c r="N16"/>
  <c r="R16"/>
  <c r="U15"/>
  <c r="G16"/>
  <c r="L16"/>
  <c r="C16"/>
  <c r="H16"/>
  <c r="M16"/>
  <c r="S16"/>
  <c r="D16"/>
  <c r="I16"/>
  <c r="O16"/>
  <c r="E16"/>
  <c r="K16"/>
  <c r="P16"/>
  <c r="U37"/>
  <c r="E38"/>
  <c r="I38"/>
  <c r="M38"/>
  <c r="B38"/>
  <c r="F38"/>
  <c r="J38"/>
  <c r="N38"/>
  <c r="R38"/>
  <c r="D38"/>
  <c r="H38"/>
  <c r="L38"/>
  <c r="P38"/>
  <c r="G38"/>
  <c r="K38"/>
  <c r="O38"/>
  <c r="C38"/>
  <c r="S38"/>
  <c r="E33" i="50"/>
  <c r="B24" i="38"/>
  <c r="F24"/>
  <c r="J24"/>
  <c r="N24"/>
  <c r="R24"/>
  <c r="U23"/>
  <c r="G24"/>
  <c r="L24"/>
  <c r="C24"/>
  <c r="H24"/>
  <c r="M24"/>
  <c r="S24"/>
  <c r="D24"/>
  <c r="I24"/>
  <c r="O24"/>
  <c r="E24"/>
  <c r="K24"/>
  <c r="P24"/>
  <c r="Q24"/>
  <c r="U45"/>
  <c r="E46"/>
  <c r="I46"/>
  <c r="M46"/>
  <c r="D46"/>
  <c r="H46"/>
  <c r="L46"/>
  <c r="P46"/>
  <c r="G46"/>
  <c r="O46"/>
  <c r="B46"/>
  <c r="J46"/>
  <c r="R46"/>
  <c r="C46"/>
  <c r="K46"/>
  <c r="S46"/>
  <c r="F46"/>
  <c r="N46"/>
  <c r="Q16"/>
  <c r="Q38"/>
  <c r="AO16" i="7"/>
  <c r="BT18" i="1"/>
  <c r="BT22"/>
  <c r="BV19"/>
  <c r="BT20"/>
  <c r="BV8"/>
  <c r="BT21"/>
  <c r="N19" i="6"/>
  <c r="V20"/>
  <c r="V19" s="1"/>
  <c r="N14"/>
  <c r="V15"/>
  <c r="V14" s="1"/>
  <c r="AN15" i="7" l="1"/>
  <c r="AO15"/>
</calcChain>
</file>

<file path=xl/sharedStrings.xml><?xml version="1.0" encoding="utf-8"?>
<sst xmlns="http://schemas.openxmlformats.org/spreadsheetml/2006/main" count="10271" uniqueCount="2871">
  <si>
    <t>(In million US$)</t>
  </si>
  <si>
    <t>04.02.09</t>
  </si>
  <si>
    <t>04.02.19</t>
  </si>
  <si>
    <t>04.03.09</t>
  </si>
  <si>
    <t>04.03.19</t>
  </si>
  <si>
    <t>08.04.09</t>
  </si>
  <si>
    <t>08.04.19</t>
  </si>
  <si>
    <t>06.05.09</t>
  </si>
  <si>
    <t>06.05.19</t>
  </si>
  <si>
    <t>28.01.09</t>
  </si>
  <si>
    <t>03.06.09</t>
  </si>
  <si>
    <t>03.06.19</t>
  </si>
  <si>
    <t>25.02.09</t>
  </si>
  <si>
    <t>25.02.29</t>
  </si>
  <si>
    <t>08.07.09</t>
  </si>
  <si>
    <t>08.07.19</t>
  </si>
  <si>
    <t>25.03.09</t>
  </si>
  <si>
    <t>25.03.29</t>
  </si>
  <si>
    <t>05.08.09</t>
  </si>
  <si>
    <t>05.08.19</t>
  </si>
  <si>
    <t>29.04.09</t>
  </si>
  <si>
    <t>29.04.29</t>
  </si>
  <si>
    <t>02.09.09</t>
  </si>
  <si>
    <t>02.09.19</t>
  </si>
  <si>
    <t>27.05.09</t>
  </si>
  <si>
    <t>27.05.29</t>
  </si>
  <si>
    <t>24.06.09</t>
  </si>
  <si>
    <t>24.06.29</t>
  </si>
  <si>
    <t>29.07.09</t>
  </si>
  <si>
    <t>29.07.29</t>
  </si>
  <si>
    <t>26.08.09</t>
  </si>
  <si>
    <t>26.08.29</t>
  </si>
  <si>
    <t>Source :</t>
  </si>
  <si>
    <t>RATES OF INTEREST ON NON-RESIDENT FOREIGN CURRENCY DEPOSIT (NFCD) ACCOUNT                             PRIVATE BANKS</t>
  </si>
  <si>
    <t>RATES OF INTEREST ON NON-RESIDENT FOREIGN CURRENCY DEPOSIT (NFCD) ACCOUNT                              FOREIGN BANKS</t>
  </si>
  <si>
    <t>Clothing &amp; Footwear</t>
  </si>
  <si>
    <t>Gross rent, Fuel &amp; Lighting</t>
  </si>
  <si>
    <t xml:space="preserve">GROSS DOMESTIC PRODUCT OF </t>
  </si>
  <si>
    <t xml:space="preserve"> Period</t>
  </si>
  <si>
    <t>DMBs Borrowings</t>
  </si>
  <si>
    <t>DMBs Deposits (Excluding BSBL &amp; Inter-Bank)</t>
  </si>
  <si>
    <t>(Taka in crore)</t>
  </si>
  <si>
    <t>Rate of Interest After Maturity (%)</t>
  </si>
  <si>
    <t>Particulars</t>
  </si>
  <si>
    <t>Rate of Interest After Maturity  (%)</t>
  </si>
  <si>
    <t>Savings Deposits:</t>
  </si>
  <si>
    <t>Fixed Deposits:</t>
  </si>
  <si>
    <t xml:space="preserve">                     </t>
  </si>
  <si>
    <t>Term Loan to Small Industry</t>
  </si>
  <si>
    <t>Net Profit After Tax</t>
  </si>
  <si>
    <t>Note:</t>
  </si>
  <si>
    <t>07.01.09</t>
  </si>
  <si>
    <t>07.01.19</t>
  </si>
  <si>
    <t>23.01.08</t>
  </si>
  <si>
    <t>27.02.08</t>
  </si>
  <si>
    <t>27.03.08</t>
  </si>
  <si>
    <t>23.04.08</t>
  </si>
  <si>
    <t>28.05.08</t>
  </si>
  <si>
    <t>25.06.08</t>
  </si>
  <si>
    <t>23.07.08</t>
  </si>
  <si>
    <t>27.08.08</t>
  </si>
  <si>
    <t>24.09.08</t>
  </si>
  <si>
    <t>29.10.08</t>
  </si>
  <si>
    <t>26.11.08</t>
  </si>
  <si>
    <t>24.12.08</t>
  </si>
  <si>
    <r>
      <t xml:space="preserve">United States </t>
    </r>
    <r>
      <rPr>
        <sz val="6"/>
        <color indexed="8"/>
        <rFont val="Times New Roman"/>
        <family val="1"/>
      </rPr>
      <t>(Rotterdam)</t>
    </r>
  </si>
  <si>
    <t>28.01.29</t>
  </si>
  <si>
    <t>23.01.28</t>
  </si>
  <si>
    <t>27.02.28</t>
  </si>
  <si>
    <t>27.03.28</t>
  </si>
  <si>
    <t>23.04.28</t>
  </si>
  <si>
    <t>28.05.28</t>
  </si>
  <si>
    <t>25.06.28</t>
  </si>
  <si>
    <t>23.07.28</t>
  </si>
  <si>
    <t>24.09.28</t>
  </si>
  <si>
    <t>29.10.28</t>
  </si>
  <si>
    <t>26.11.28</t>
  </si>
  <si>
    <t>24.12.28</t>
  </si>
  <si>
    <t>(Taka in Crore)</t>
  </si>
  <si>
    <t xml:space="preserve">Tk. in Crore </t>
  </si>
  <si>
    <t>-</t>
  </si>
  <si>
    <t>Mudaraba Short Term Deposits</t>
  </si>
  <si>
    <t>Mudaraba Hajj Savings Deposits :</t>
  </si>
  <si>
    <t>Cash Waqf.</t>
  </si>
  <si>
    <t>Chinese  Yuan</t>
  </si>
  <si>
    <t>RATES OF INTEREST ON NON-RESIDENT FOREIGN CURRENCY DEPOSIT (NFCD) ACCOUNT                                       STATE OWNED COMMERCIAL BANKS</t>
  </si>
  <si>
    <t>Hong Kong Dollar</t>
  </si>
  <si>
    <t>Japanese Yen</t>
  </si>
  <si>
    <t xml:space="preserve">Year/Month </t>
  </si>
  <si>
    <t xml:space="preserve">No. of Persons </t>
  </si>
  <si>
    <t xml:space="preserve">Remittances </t>
  </si>
  <si>
    <t>Saudi Arabia</t>
  </si>
  <si>
    <t>Kuwait</t>
  </si>
  <si>
    <t>Libya</t>
  </si>
  <si>
    <t>Qatar</t>
  </si>
  <si>
    <t>Oman</t>
  </si>
  <si>
    <t>Singapore</t>
  </si>
  <si>
    <t>Germany</t>
  </si>
  <si>
    <t>Bahrain</t>
  </si>
  <si>
    <t>Iran</t>
  </si>
  <si>
    <t>Japan</t>
  </si>
  <si>
    <t>Other Countries</t>
  </si>
  <si>
    <t>Total Income</t>
  </si>
  <si>
    <t>Total Expenditure</t>
  </si>
  <si>
    <t>Bangladesh Bank (Central Bank)</t>
  </si>
  <si>
    <t>Specialized Banks</t>
  </si>
  <si>
    <t>Total Manpower</t>
  </si>
  <si>
    <t>1 month</t>
  </si>
  <si>
    <t>1 year</t>
  </si>
  <si>
    <t>Pound Sterling</t>
  </si>
  <si>
    <t>2009-10</t>
  </si>
  <si>
    <t>A.</t>
  </si>
  <si>
    <t>Bank Rate</t>
  </si>
  <si>
    <t>C.</t>
  </si>
  <si>
    <t>2008-09</t>
  </si>
  <si>
    <t>    </t>
  </si>
  <si>
    <t>Engineering </t>
  </si>
  <si>
    <t>Jute Industries</t>
  </si>
  <si>
    <t>Exports</t>
  </si>
  <si>
    <t>Cement Industries</t>
  </si>
  <si>
    <t>Total Market Capitalisation</t>
  </si>
  <si>
    <t>Retail Market Price of Dhaka City</t>
  </si>
  <si>
    <t>Inflation (Food)</t>
  </si>
  <si>
    <t>Inflation (Non-food)</t>
  </si>
  <si>
    <t>Point -to- Point</t>
  </si>
  <si>
    <t>12- Month Average</t>
  </si>
  <si>
    <t xml:space="preserve">Social Islami Bank </t>
  </si>
  <si>
    <t>State Owned Commercial Banks</t>
  </si>
  <si>
    <t>5 years</t>
  </si>
  <si>
    <t>8 years</t>
  </si>
  <si>
    <t>Double Benefit Scheme</t>
  </si>
  <si>
    <t>Triple Benefit Scheme</t>
  </si>
  <si>
    <t>Mudaraba Steady Money</t>
  </si>
  <si>
    <t>Mudaraba Super Savings</t>
  </si>
  <si>
    <t>Mudaraba Multi Plus Savings</t>
  </si>
  <si>
    <t>Mudaraba Smart Saver Deposits</t>
  </si>
  <si>
    <t>Mudaraba Lakhopati Deposits Scheme</t>
  </si>
  <si>
    <t>Mudaraba Future Deposits Scheme</t>
  </si>
  <si>
    <t>Mudaraba Housing  Savings Scheme</t>
  </si>
  <si>
    <t>Children Savings Scheme</t>
  </si>
  <si>
    <t>Point -to-Point</t>
  </si>
  <si>
    <t>Jute goods (including Carpet)</t>
  </si>
  <si>
    <t>Tea</t>
  </si>
  <si>
    <t>Fish &amp; Shrimp</t>
  </si>
  <si>
    <t>80202</t>
  </si>
  <si>
    <t>19790</t>
  </si>
  <si>
    <t>6152</t>
  </si>
  <si>
    <t>93901</t>
  </si>
  <si>
    <t>6070</t>
  </si>
  <si>
    <t>43854</t>
  </si>
  <si>
    <t>78220</t>
  </si>
  <si>
    <t>3889</t>
  </si>
  <si>
    <t>56907</t>
  </si>
  <si>
    <t>8955</t>
  </si>
  <si>
    <t>38058</t>
  </si>
  <si>
    <t>14427</t>
  </si>
  <si>
    <t>13532</t>
  </si>
  <si>
    <t>11819</t>
  </si>
  <si>
    <t>545822</t>
  </si>
  <si>
    <t>INDUSTRIAL COMMODITIES</t>
  </si>
  <si>
    <t xml:space="preserve">August </t>
  </si>
  <si>
    <t>Clinker</t>
  </si>
  <si>
    <t>Dyeing &amp; Tanning Materials</t>
  </si>
  <si>
    <t>Cotton</t>
  </si>
  <si>
    <t>Banking Sector</t>
  </si>
  <si>
    <t>TRADE</t>
  </si>
  <si>
    <t>FOREIGN</t>
  </si>
  <si>
    <t xml:space="preserve">PRODUCTION OF MAJOR </t>
  </si>
  <si>
    <t>AGRICULTURAL COMMODITIES</t>
  </si>
  <si>
    <t>Currency in Circulation</t>
  </si>
  <si>
    <t>From</t>
  </si>
  <si>
    <t>PAYMENTS</t>
  </si>
  <si>
    <t>BALANCE OF</t>
  </si>
  <si>
    <t>Monetary Aggregates</t>
  </si>
  <si>
    <t>14.61</t>
  </si>
  <si>
    <t>192</t>
  </si>
  <si>
    <t xml:space="preserve">SELECTED ECONOMIC </t>
  </si>
  <si>
    <t>INDICATORS  </t>
  </si>
  <si>
    <t>BB</t>
  </si>
  <si>
    <t>DMBs</t>
  </si>
  <si>
    <t>Advances &amp; Bills</t>
  </si>
  <si>
    <t>Percentage change over end of the last June</t>
  </si>
  <si>
    <t>Income Velocity of  Money</t>
  </si>
  <si>
    <t xml:space="preserve">  </t>
  </si>
  <si>
    <t>Credit (Net) to Gover- nment</t>
  </si>
  <si>
    <t>Credit to Other Public Sector</t>
  </si>
  <si>
    <t>Amounts</t>
  </si>
  <si>
    <t>Bank Rate </t>
  </si>
  <si>
    <t>Deposits</t>
  </si>
  <si>
    <t xml:space="preserve"> Advances </t>
  </si>
  <si>
    <t>TABLE- IV (Contd.)</t>
  </si>
  <si>
    <t>Total Domestic credit</t>
  </si>
  <si>
    <t>End of period</t>
  </si>
  <si>
    <t>(Base:1995-96</t>
  </si>
  <si>
    <t>Interest Rates on</t>
  </si>
  <si>
    <t>Specialised Banks</t>
  </si>
  <si>
    <t>Private Banks</t>
  </si>
  <si>
    <t>RAKUB</t>
  </si>
  <si>
    <t>UCBL</t>
  </si>
  <si>
    <t xml:space="preserve"> jute goods)</t>
  </si>
  <si>
    <t>(Other than</t>
  </si>
  <si>
    <t>TABLE- IIE</t>
  </si>
  <si>
    <t xml:space="preserve">Lending Rates: </t>
  </si>
  <si>
    <t>Agriculture</t>
  </si>
  <si>
    <t>Sub-Category-1</t>
  </si>
  <si>
    <t>Sub-Category-2</t>
  </si>
  <si>
    <t>Non-Financial  Corporation</t>
  </si>
  <si>
    <t xml:space="preserve">         Deposit Liabilities</t>
  </si>
  <si>
    <t>Electri-city         Gas &amp; Water Supply</t>
  </si>
  <si>
    <t xml:space="preserve">         - =Not applicable</t>
  </si>
  <si>
    <r>
      <t>* Dubai Mediam, Fateh 32</t>
    </r>
    <r>
      <rPr>
        <vertAlign val="superscript"/>
        <sz val="6.5"/>
        <color indexed="8"/>
        <rFont val="Times New Roman"/>
        <family val="1"/>
      </rPr>
      <t xml:space="preserve">o </t>
    </r>
    <r>
      <rPr>
        <sz val="6.5"/>
        <color indexed="8"/>
        <rFont val="Times New Roman"/>
        <family val="1"/>
      </rPr>
      <t>API, Spot, f.o.b. U.K.</t>
    </r>
  </si>
  <si>
    <r>
      <t xml:space="preserve"> @ United Kingdom Light, Brent 38</t>
    </r>
    <r>
      <rPr>
        <vertAlign val="superscript"/>
        <sz val="6.5"/>
        <color indexed="8"/>
        <rFont val="Times New Roman"/>
        <family val="1"/>
      </rPr>
      <t>o</t>
    </r>
    <r>
      <rPr>
        <sz val="6.5"/>
        <color indexed="8"/>
        <rFont val="Times New Roman"/>
        <family val="1"/>
      </rPr>
      <t xml:space="preserve"> API, Spot, f.o.b. U.K.</t>
    </r>
  </si>
  <si>
    <t>Term Loan to Large &amp; Medium Scale Industry</t>
  </si>
  <si>
    <t xml:space="preserve">  Sub-Category-1</t>
  </si>
  <si>
    <t xml:space="preserve">  Sub-Category-2</t>
  </si>
  <si>
    <t>NBDCs</t>
  </si>
  <si>
    <t>Working Capital to Industry</t>
  </si>
  <si>
    <t xml:space="preserve">Trade Financing </t>
  </si>
  <si>
    <t xml:space="preserve">Housing Loan </t>
  </si>
  <si>
    <t xml:space="preserve">Consumer Credit </t>
  </si>
  <si>
    <t xml:space="preserve">Others </t>
  </si>
  <si>
    <t>NCCBL</t>
  </si>
  <si>
    <t>BCBL</t>
  </si>
  <si>
    <t>Bank Asia</t>
  </si>
  <si>
    <t>Woori Bank</t>
  </si>
  <si>
    <t>MERCHANDISE EXPORTS</t>
  </si>
  <si>
    <t>MERCHANDISE IMPORTS</t>
  </si>
  <si>
    <t>MERCHANDISE</t>
  </si>
  <si>
    <t>IMPORTS</t>
  </si>
  <si>
    <t>Aus Rice</t>
  </si>
  <si>
    <t>Aman Rice</t>
  </si>
  <si>
    <t>Boro Rice</t>
  </si>
  <si>
    <t>Currency     in Tills of DMBs</t>
  </si>
  <si>
    <t>Deposit Money Banks  (DMBs)</t>
  </si>
  <si>
    <t>To      Private</t>
  </si>
  <si>
    <t>To    Public</t>
  </si>
  <si>
    <t>Public    Bills</t>
  </si>
  <si>
    <t xml:space="preserve">                       Public                                                                  Sector</t>
  </si>
  <si>
    <t>Cash Reserve Require-ment</t>
  </si>
  <si>
    <t>Invest-ment</t>
  </si>
  <si>
    <t>Credit     to    Private Sector</t>
  </si>
  <si>
    <t>Total No. of    Branches    of Scheduled Banks</t>
  </si>
  <si>
    <t>Average Deposits  per DMB  Branch     (in crore) </t>
  </si>
  <si>
    <t>Other                                 Public Sector</t>
  </si>
  <si>
    <t>CPI of Major Non-Food Items / Groups</t>
  </si>
  <si>
    <t>Note    :</t>
  </si>
  <si>
    <t>91 percent of savings deposits are included in time deposits with effect from July 2007</t>
  </si>
  <si>
    <t>From       Govern-    ment</t>
  </si>
  <si>
    <t>To     Banks</t>
  </si>
  <si>
    <t xml:space="preserve">                      Rates,             Ratios         &amp;         Average         </t>
  </si>
  <si>
    <t>Jute      Textiles</t>
  </si>
  <si>
    <t>Wholesale Price Indices of  Base:  1969-70=100</t>
  </si>
  <si>
    <t>Foreign Trade (during the period)</t>
  </si>
  <si>
    <t>2010-11</t>
  </si>
  <si>
    <t xml:space="preserve"> Bangladesh Bureau of Statistics</t>
  </si>
  <si>
    <t xml:space="preserve">                 </t>
  </si>
  <si>
    <t>TABLE-IB</t>
  </si>
  <si>
    <t>TABLE-IIA</t>
  </si>
  <si>
    <r>
      <t>Note :</t>
    </r>
    <r>
      <rPr>
        <sz val="7"/>
        <rFont val="Times New Roman"/>
        <family val="1"/>
      </rPr>
      <t xml:space="preserve"> </t>
    </r>
  </si>
  <si>
    <r>
      <t xml:space="preserve">Source    </t>
    </r>
    <r>
      <rPr>
        <sz val="7"/>
        <rFont val="Times New Roman"/>
        <family val="1"/>
      </rPr>
      <t xml:space="preserve">: </t>
    </r>
  </si>
  <si>
    <r>
      <t xml:space="preserve">Note        </t>
    </r>
    <r>
      <rPr>
        <sz val="7"/>
        <rFont val="Times New Roman"/>
        <family val="1"/>
      </rPr>
      <t>: </t>
    </r>
  </si>
  <si>
    <t>Government       (Net)</t>
  </si>
  <si>
    <t>5= (3+4)</t>
  </si>
  <si>
    <t>8= (6+7)</t>
  </si>
  <si>
    <t>In FC   Clearing A/C</t>
  </si>
  <si>
    <t>Deposits with BB</t>
  </si>
  <si>
    <t>By  DMBs</t>
  </si>
  <si>
    <t>TABLE-IIC</t>
  </si>
  <si>
    <t>TABLE-IID</t>
  </si>
  <si>
    <t xml:space="preserve">Net Foreign Assets </t>
  </si>
  <si>
    <t>Deposit Money Banks</t>
  </si>
  <si>
    <r>
      <t xml:space="preserve">Total </t>
    </r>
    <r>
      <rPr>
        <sz val="8"/>
        <rFont val="Times New Roman"/>
        <family val="1"/>
      </rPr>
      <t>(2+3+4+5)</t>
    </r>
  </si>
  <si>
    <t>Net Domestic Assets (6+7)</t>
  </si>
  <si>
    <t>Reserve Money (1+8)</t>
  </si>
  <si>
    <t>Currency      in Tills of DMBs</t>
  </si>
  <si>
    <t xml:space="preserve">Note           : </t>
  </si>
  <si>
    <t xml:space="preserve">Source       : </t>
  </si>
  <si>
    <t>TABLE-IIF</t>
  </si>
  <si>
    <t>5 = (3+4)</t>
  </si>
  <si>
    <t>10 = (1+2+5+8+9)</t>
  </si>
  <si>
    <t xml:space="preserve">Note :  </t>
  </si>
  <si>
    <t>8 = (6+7)</t>
  </si>
  <si>
    <t>Commodities  ( others than food grains )</t>
  </si>
  <si>
    <t>( Taka in crore )</t>
  </si>
  <si>
    <t>Pharma-ceutical Products</t>
  </si>
  <si>
    <t>Capital machinery</t>
  </si>
  <si>
    <t>Total Exports     (1         through    10)</t>
  </si>
  <si>
    <t>Commodities                                                                                                ( other than food grains )</t>
  </si>
  <si>
    <t>TABLE-IV (Concld.)</t>
  </si>
  <si>
    <t xml:space="preserve">           </t>
  </si>
  <si>
    <t>Financial Institutions</t>
  </si>
  <si>
    <t>Mutual Funds</t>
  </si>
  <si>
    <t>13=(3+6+9+12)</t>
  </si>
  <si>
    <t>BALANCE   OF   PAYMENTS</t>
  </si>
  <si>
    <t>TABLE-V (Contd.)</t>
  </si>
  <si>
    <t>… =  Not available</t>
  </si>
  <si>
    <t>Tax Revenue Receipts (under NBR)</t>
  </si>
  <si>
    <t xml:space="preserve">SELECTED TAX REVENUE RECEIPTS  </t>
  </si>
  <si>
    <t>Telecomm-unication</t>
  </si>
  <si>
    <t>000'  sq. Metres</t>
  </si>
  <si>
    <t>Source : </t>
  </si>
  <si>
    <t xml:space="preserve">                  </t>
  </si>
  <si>
    <t xml:space="preserve">               </t>
  </si>
  <si>
    <t xml:space="preserve">                </t>
  </si>
  <si>
    <t>Monthly Profit Based Deposits</t>
  </si>
  <si>
    <t>Hajj Deposit (Term)</t>
  </si>
  <si>
    <t>Iranian Riyal</t>
  </si>
  <si>
    <t>Myanmar Kyat</t>
  </si>
  <si>
    <t>South Korean Won</t>
  </si>
  <si>
    <t>Thai Bath</t>
  </si>
  <si>
    <t>Soya bean Oil     (US $ /MT)</t>
  </si>
  <si>
    <t>Glass       Sheets</t>
  </si>
  <si>
    <t>Food      Products</t>
  </si>
  <si>
    <t>Oil      Products</t>
  </si>
  <si>
    <t xml:space="preserve">KEY INDICATORS OF </t>
  </si>
  <si>
    <t>NATIONAL ACCOUNTS</t>
  </si>
  <si>
    <t>GDP at Current Market Price</t>
  </si>
  <si>
    <t>GNI at Current Market Price</t>
  </si>
  <si>
    <t>Net  Current Transfer from Abroad</t>
  </si>
  <si>
    <t>Gross Domestic Savings at Current Market Price</t>
  </si>
  <si>
    <t>Gross National Savings at  Current Market Price</t>
  </si>
  <si>
    <t>National Savings as % of GDP at Current Market Price</t>
  </si>
  <si>
    <t>GDP at Constant Market Price</t>
  </si>
  <si>
    <t>GNI at Constant Market Price</t>
  </si>
  <si>
    <t>Per Capita (Amount in unit)</t>
  </si>
  <si>
    <t>Income at Current Market Price</t>
  </si>
  <si>
    <t>23.10</t>
  </si>
  <si>
    <t>16317</t>
  </si>
  <si>
    <t>(47125)</t>
  </si>
  <si>
    <t>(48857)</t>
  </si>
  <si>
    <t>(726)</t>
  </si>
  <si>
    <t>(49583)</t>
  </si>
  <si>
    <t>(38698)</t>
  </si>
  <si>
    <t>(8427)</t>
  </si>
  <si>
    <t>(10883)</t>
  </si>
  <si>
    <t>(10850) </t>
  </si>
  <si>
    <t>(363)  </t>
  </si>
  <si>
    <t>(377)</t>
  </si>
  <si>
    <t>82.00</t>
  </si>
  <si>
    <t>(46988)</t>
  </si>
  <si>
    <t>(48626)</t>
  </si>
  <si>
    <t>(433)</t>
  </si>
  <si>
    <t>(49060)</t>
  </si>
  <si>
    <t>(38532)</t>
  </si>
  <si>
    <t>(8456)</t>
  </si>
  <si>
    <t>(10528)</t>
  </si>
  <si>
    <t>(10848)</t>
  </si>
  <si>
    <t>(362)</t>
  </si>
  <si>
    <t>(374)</t>
  </si>
  <si>
    <t>273201</t>
  </si>
  <si>
    <t>285744</t>
  </si>
  <si>
    <t>1890</t>
  </si>
  <si>
    <t>287634</t>
  </si>
  <si>
    <t>223596</t>
  </si>
  <si>
    <t>81.84</t>
  </si>
  <si>
    <t>49605</t>
  </si>
  <si>
    <t>64038</t>
  </si>
  <si>
    <t>22.44</t>
  </si>
  <si>
    <t>63239</t>
  </si>
  <si>
    <t>21713</t>
  </si>
  <si>
    <t>(47571)</t>
  </si>
  <si>
    <t>(49755)</t>
  </si>
  <si>
    <t>(329)</t>
  </si>
  <si>
    <t>(50048)</t>
  </si>
  <si>
    <t>(38934)</t>
  </si>
  <si>
    <t>(8637)</t>
  </si>
  <si>
    <t>(11151)</t>
  </si>
  <si>
    <t>(11011)</t>
  </si>
  <si>
    <t>(361)</t>
  </si>
  <si>
    <t>(378)</t>
  </si>
  <si>
    <t>300580</t>
  </si>
  <si>
    <t>(51914)</t>
  </si>
  <si>
    <t>(54778)</t>
  </si>
  <si>
    <t>(373)</t>
  </si>
  <si>
    <t>(55151)</t>
  </si>
  <si>
    <t>(42458)</t>
  </si>
  <si>
    <t>(9456)</t>
  </si>
  <si>
    <t>(12633)</t>
  </si>
  <si>
    <t>(12151)</t>
  </si>
  <si>
    <t>(389)</t>
  </si>
  <si>
    <t>(407)</t>
  </si>
  <si>
    <t>332973</t>
  </si>
  <si>
    <t>(56493)</t>
  </si>
  <si>
    <t>(59472)</t>
  </si>
  <si>
    <t>(422)</t>
  </si>
  <si>
    <t>(59832)</t>
  </si>
  <si>
    <t>(45458)</t>
  </si>
  <si>
    <t>(11036)</t>
  </si>
  <si>
    <t>(14374)</t>
  </si>
  <si>
    <t>(13572)</t>
  </si>
  <si>
    <t>(421)</t>
  </si>
  <si>
    <t>(440)</t>
  </si>
  <si>
    <t>90924</t>
  </si>
  <si>
    <t>13.70</t>
  </si>
  <si>
    <t>(60386)</t>
  </si>
  <si>
    <t>(63469)</t>
  </si>
  <si>
    <t>(437)</t>
  </si>
  <si>
    <t>(63906)</t>
  </si>
  <si>
    <t>(48300)</t>
  </si>
  <si>
    <t>(12086)</t>
  </si>
  <si>
    <t>(15606)</t>
  </si>
  <si>
    <t>(14811)</t>
  </si>
  <si>
    <t>(441)</t>
  </si>
  <si>
    <t>(463)</t>
  </si>
  <si>
    <t>446588</t>
  </si>
  <si>
    <t>6.63</t>
  </si>
  <si>
    <t>(61975)</t>
  </si>
  <si>
    <t>(66031)</t>
  </si>
  <si>
    <t>(546)</t>
  </si>
  <si>
    <t>(66575)</t>
  </si>
  <si>
    <t>(49426)</t>
  </si>
  <si>
    <t>(12549)</t>
  </si>
  <si>
    <t>(17149)</t>
  </si>
  <si>
    <t>(15277)</t>
  </si>
  <si>
    <t>(447)</t>
  </si>
  <si>
    <t>(476)</t>
  </si>
  <si>
    <t>507752</t>
  </si>
  <si>
    <t>3988</t>
  </si>
  <si>
    <t>511741</t>
  </si>
  <si>
    <t>376317</t>
  </si>
  <si>
    <t>79.65</t>
  </si>
  <si>
    <t>96160</t>
  </si>
  <si>
    <t>135424</t>
  </si>
  <si>
    <t>28.66</t>
  </si>
  <si>
    <t xml:space="preserve"> 115590</t>
  </si>
  <si>
    <t>24.46</t>
  </si>
  <si>
    <t>302971</t>
  </si>
  <si>
    <t>325591</t>
  </si>
  <si>
    <t>13.65</t>
  </si>
  <si>
    <t>6.43</t>
  </si>
  <si>
    <t>156</t>
  </si>
  <si>
    <t>33607</t>
  </si>
  <si>
    <t>21550</t>
  </si>
  <si>
    <t>36116</t>
  </si>
  <si>
    <t>23159</t>
  </si>
  <si>
    <t>(68445)</t>
  </si>
  <si>
    <t>(73555)</t>
  </si>
  <si>
    <t>(578)</t>
  </si>
  <si>
    <t>(74133)</t>
  </si>
  <si>
    <t>(54515)</t>
  </si>
  <si>
    <t>(13930)</t>
  </si>
  <si>
    <t>(19618)</t>
  </si>
  <si>
    <t>(16745)</t>
  </si>
  <si>
    <t>(487)</t>
  </si>
  <si>
    <t>(523)</t>
  </si>
  <si>
    <t>5671</t>
  </si>
  <si>
    <t>599883</t>
  </si>
  <si>
    <t>434971</t>
  </si>
  <si>
    <t>79.69</t>
  </si>
  <si>
    <t>110851</t>
  </si>
  <si>
    <t>164912</t>
  </si>
  <si>
    <t>30.21</t>
  </si>
  <si>
    <t>132132</t>
  </si>
  <si>
    <t>24.21</t>
  </si>
  <si>
    <t>321726</t>
  </si>
  <si>
    <t>15.52</t>
  </si>
  <si>
    <t>6.19</t>
  </si>
  <si>
    <t>170</t>
  </si>
  <si>
    <t>14.24</t>
  </si>
  <si>
    <t>22593</t>
  </si>
  <si>
    <t>14.42</t>
  </si>
  <si>
    <t>P = Provisional</t>
  </si>
  <si>
    <t>Non-Food</t>
  </si>
  <si>
    <t>Transport &amp; Communi-cations</t>
  </si>
  <si>
    <t>Recreation, Entertain-ment, Education &amp; Cultural Services</t>
  </si>
  <si>
    <t>Source:</t>
  </si>
  <si>
    <r>
      <t>Source</t>
    </r>
    <r>
      <rPr>
        <sz val="7"/>
        <color indexed="8"/>
        <rFont val="Times New Roman"/>
        <family val="1"/>
      </rPr>
      <t>: Bangladesh Bureau of Statistics</t>
    </r>
  </si>
  <si>
    <t>Import Duty</t>
  </si>
  <si>
    <t>Net Primary Income from Abroad</t>
  </si>
  <si>
    <t>Manufa-cturing</t>
  </si>
  <si>
    <t>Constr-uctions</t>
  </si>
  <si>
    <t>Finan-cial     Inter-medi-ations</t>
  </si>
  <si>
    <t>Educa-tion</t>
  </si>
  <si>
    <t>BANGLADESH AT CONSTANT MARKET PRICE</t>
  </si>
  <si>
    <t>TABLE-X</t>
  </si>
  <si>
    <t>Electri-city      Gas &amp; Water Supply</t>
  </si>
  <si>
    <r>
      <t>Source   :</t>
    </r>
    <r>
      <rPr>
        <sz val="8"/>
        <color indexed="8"/>
        <rFont val="Times New Roman"/>
        <family val="1"/>
      </rPr>
      <t xml:space="preserve">   </t>
    </r>
  </si>
  <si>
    <r>
      <t>Note       :</t>
    </r>
    <r>
      <rPr>
        <sz val="8"/>
        <color indexed="8"/>
        <rFont val="Times New Roman"/>
        <family val="1"/>
      </rPr>
      <t xml:space="preserve"> </t>
    </r>
  </si>
  <si>
    <r>
      <t>Source   :</t>
    </r>
    <r>
      <rPr>
        <sz val="8"/>
        <color indexed="8"/>
        <rFont val="Times New Roman"/>
        <family val="1"/>
      </rPr>
      <t xml:space="preserve"> </t>
    </r>
  </si>
  <si>
    <t>Gross Disposable National  Income at Current Market Price</t>
  </si>
  <si>
    <t>Total Consum-ption at Current Market Price</t>
  </si>
  <si>
    <t>Income at Constant Market Price</t>
  </si>
  <si>
    <t>Annual Growth     of GDP at Constant Market Price %</t>
  </si>
  <si>
    <t>Miscella-neous </t>
  </si>
  <si>
    <t>u)</t>
  </si>
  <si>
    <t>Mudaraba Marriage Savings Scheme</t>
  </si>
  <si>
    <t>Jul-Dec</t>
  </si>
  <si>
    <t>Jan-Jun</t>
  </si>
  <si>
    <t>DMBs Total Assets/ Liabilities</t>
  </si>
  <si>
    <t>Taka in crore</t>
  </si>
  <si>
    <t xml:space="preserve">Taka in crore         </t>
  </si>
  <si>
    <t>Total Invest-ments as    % of GDP at Current Market Price</t>
  </si>
  <si>
    <t>Total Consum-ption as % of GDP at Current Market Price</t>
  </si>
  <si>
    <t>Export Duty</t>
  </si>
  <si>
    <t xml:space="preserve"> Weighted Average Exchange Rate</t>
  </si>
  <si>
    <t>ii)  Loan above Tk. 15 lacs</t>
  </si>
  <si>
    <t>i)  Loan upto Tk. 15 lacs</t>
  </si>
  <si>
    <t xml:space="preserve">Source      : </t>
  </si>
  <si>
    <t>Sugar Cane</t>
  </si>
  <si>
    <t>Rape &amp; Mustard</t>
  </si>
  <si>
    <t>TABLE-V (Concld.)</t>
  </si>
  <si>
    <t>Moong</t>
  </si>
  <si>
    <t>Masur</t>
  </si>
  <si>
    <t>Tobacco</t>
  </si>
  <si>
    <t>Jute</t>
  </si>
  <si>
    <t>…</t>
  </si>
  <si>
    <t>Mode of Payments</t>
  </si>
  <si>
    <t>Principal</t>
  </si>
  <si>
    <t>Interest</t>
  </si>
  <si>
    <t>After Maturity</t>
  </si>
  <si>
    <t>Half Yearly</t>
  </si>
  <si>
    <t xml:space="preserve">ii) </t>
  </si>
  <si>
    <t xml:space="preserve">iii) </t>
  </si>
  <si>
    <t xml:space="preserve">iv) </t>
  </si>
  <si>
    <t>iii)</t>
  </si>
  <si>
    <t>iv)</t>
  </si>
  <si>
    <t>09.01.08</t>
  </si>
  <si>
    <t>13.02.08</t>
  </si>
  <si>
    <t>09.04.08</t>
  </si>
  <si>
    <t>14.05.08</t>
  </si>
  <si>
    <t>11.06.08</t>
  </si>
  <si>
    <t>13.08.08</t>
  </si>
  <si>
    <t>15.10.08</t>
  </si>
  <si>
    <t>12.11.08</t>
  </si>
  <si>
    <t>09.01.23</t>
  </si>
  <si>
    <t>13.02.23</t>
  </si>
  <si>
    <t>09.04.23</t>
  </si>
  <si>
    <t>14.05.23</t>
  </si>
  <si>
    <t>11.06.23</t>
  </si>
  <si>
    <t>13.08.23</t>
  </si>
  <si>
    <t>15.10.23</t>
  </si>
  <si>
    <t>12.11.23</t>
  </si>
  <si>
    <t>Banking)</t>
  </si>
  <si>
    <t>INDICATORS</t>
  </si>
  <si>
    <t>TABLE-IA (Contd.)</t>
  </si>
  <si>
    <t>Yearly</t>
  </si>
  <si>
    <t>30.06.19</t>
  </si>
  <si>
    <t>01.07.20</t>
  </si>
  <si>
    <t xml:space="preserve"> Euro</t>
  </si>
  <si>
    <t>v)</t>
  </si>
  <si>
    <t>f)</t>
  </si>
  <si>
    <t>i)</t>
  </si>
  <si>
    <t>j)</t>
  </si>
  <si>
    <t>k)</t>
  </si>
  <si>
    <t>l)</t>
  </si>
  <si>
    <t>m)</t>
  </si>
  <si>
    <t>n)</t>
  </si>
  <si>
    <t>o)</t>
  </si>
  <si>
    <t>p)</t>
  </si>
  <si>
    <t xml:space="preserve">Domestic  </t>
  </si>
  <si>
    <t>INFLATION RATE IN BANGLADESH</t>
  </si>
  <si>
    <t xml:space="preserve">AVERAGE PRICES OF </t>
  </si>
  <si>
    <t>SELECTED COMMODITIES</t>
  </si>
  <si>
    <t>BANGLADESH AT CURRENT MARKET PRICE</t>
  </si>
  <si>
    <t>AT INTERNATIONAL MARKET</t>
  </si>
  <si>
    <t>TABLE-IIIB</t>
  </si>
  <si>
    <t>Cotton (U.S. Cents/ pound)</t>
  </si>
  <si>
    <t>Gold (US $/ Troy Ounce)</t>
  </si>
  <si>
    <t xml:space="preserve">APPRECIATION / DEPRECIATION OF SELECTED </t>
  </si>
  <si>
    <t>CURRENCIES AGAINST US DOLLAR</t>
  </si>
  <si>
    <t>(Taka per</t>
  </si>
  <si>
    <t>RATES</t>
  </si>
  <si>
    <t>Currencies)</t>
  </si>
  <si>
    <t>EXCHANGE</t>
  </si>
  <si>
    <t xml:space="preserve">REMITTANCES </t>
  </si>
  <si>
    <t>35276</t>
  </si>
  <si>
    <t>50200</t>
  </si>
  <si>
    <t>36.37 Litres</t>
  </si>
  <si>
    <r>
      <t>1(</t>
    </r>
    <r>
      <rPr>
        <vertAlign val="superscript"/>
        <sz val="9"/>
        <color indexed="8"/>
        <rFont val="Times New Roman"/>
        <family val="1"/>
      </rPr>
      <t>0</t>
    </r>
    <r>
      <rPr>
        <sz val="9"/>
        <color indexed="8"/>
        <rFont val="Times New Roman"/>
        <family val="1"/>
      </rPr>
      <t>F)</t>
    </r>
  </si>
  <si>
    <r>
      <t>1.8(</t>
    </r>
    <r>
      <rPr>
        <vertAlign val="superscript"/>
        <sz val="9"/>
        <color indexed="8"/>
        <rFont val="Times New Roman"/>
        <family val="1"/>
      </rPr>
      <t>0</t>
    </r>
    <r>
      <rPr>
        <sz val="9"/>
        <color indexed="8"/>
        <rFont val="Times New Roman"/>
        <family val="1"/>
      </rPr>
      <t>C) + 32</t>
    </r>
  </si>
  <si>
    <t>100 Decimals</t>
  </si>
  <si>
    <t xml:space="preserve">Appendix : </t>
  </si>
  <si>
    <t>TABLE-IIB</t>
  </si>
  <si>
    <t>Services</t>
  </si>
  <si>
    <t>2007-08</t>
  </si>
  <si>
    <t xml:space="preserve">March </t>
  </si>
  <si>
    <t>Effective Date</t>
  </si>
  <si>
    <t>Liverpool  Index</t>
  </si>
  <si>
    <t>Inflows</t>
  </si>
  <si>
    <t>Stocks</t>
  </si>
  <si>
    <t xml:space="preserve">Total               </t>
  </si>
  <si>
    <t xml:space="preserve">Total                </t>
  </si>
  <si>
    <t>25.09.19</t>
  </si>
  <si>
    <t>25.09.20</t>
  </si>
  <si>
    <t>25.09.21</t>
  </si>
  <si>
    <t>07.10.09</t>
  </si>
  <si>
    <t>07.10.19</t>
  </si>
  <si>
    <t>02.12.09</t>
  </si>
  <si>
    <t>02.12.19</t>
  </si>
  <si>
    <t>03.02.10</t>
  </si>
  <si>
    <t>03.02.20</t>
  </si>
  <si>
    <t>03.03.10</t>
  </si>
  <si>
    <t>14.10.09</t>
  </si>
  <si>
    <t>14.10.24</t>
  </si>
  <si>
    <t>09.12.09</t>
  </si>
  <si>
    <t>09.12.24</t>
  </si>
  <si>
    <t>13.01.10</t>
  </si>
  <si>
    <t>13.01.25</t>
  </si>
  <si>
    <t>10.02.10</t>
  </si>
  <si>
    <t>10.02.25</t>
  </si>
  <si>
    <t>10.03.10</t>
  </si>
  <si>
    <t>10.03.25</t>
  </si>
  <si>
    <t>28.10.09</t>
  </si>
  <si>
    <t>28.10.29</t>
  </si>
  <si>
    <t>23.12.09</t>
  </si>
  <si>
    <t>23.12.29</t>
  </si>
  <si>
    <t>24.02.10</t>
  </si>
  <si>
    <t>24.02.30</t>
  </si>
  <si>
    <t>24.03.10</t>
  </si>
  <si>
    <t>24.03.30</t>
  </si>
  <si>
    <t>TABLE-XVI</t>
  </si>
  <si>
    <t xml:space="preserve">g)  </t>
  </si>
  <si>
    <t>Mudaraba Special Deposit  Pension Scheme</t>
  </si>
  <si>
    <t>12 years</t>
  </si>
  <si>
    <t xml:space="preserve"> i) </t>
  </si>
  <si>
    <t xml:space="preserve"> ii) </t>
  </si>
  <si>
    <t>15 years</t>
  </si>
  <si>
    <t>20 years</t>
  </si>
  <si>
    <t>25 years</t>
  </si>
  <si>
    <t>10 years</t>
  </si>
  <si>
    <t>Non Resident Bond</t>
  </si>
  <si>
    <t xml:space="preserve">h) </t>
  </si>
  <si>
    <t xml:space="preserve">e)     </t>
  </si>
  <si>
    <t>Benefit Scheme</t>
  </si>
  <si>
    <t xml:space="preserve">f) </t>
  </si>
  <si>
    <t>Millionaire Scheme Deposit</t>
  </si>
  <si>
    <t>ii)  11 to 25  years</t>
  </si>
  <si>
    <t>iii)  One Time Hajj Deposits</t>
  </si>
  <si>
    <t>i)    1 to 10 years</t>
  </si>
  <si>
    <t>MMPDR / Hajj Deposit (Monthly)</t>
  </si>
  <si>
    <t>... =Not applicable</t>
  </si>
  <si>
    <t>P= Provisional</t>
  </si>
  <si>
    <t xml:space="preserve">               </t>
  </si>
  <si>
    <t>… = Not Available</t>
  </si>
  <si>
    <t xml:space="preserve">Source :      </t>
  </si>
  <si>
    <t xml:space="preserve">Source : </t>
  </si>
  <si>
    <t xml:space="preserve">            </t>
  </si>
  <si>
    <t xml:space="preserve"> … =Not Available</t>
  </si>
  <si>
    <t xml:space="preserve"> …=Not Available</t>
  </si>
  <si>
    <t>TABLE-XVIII</t>
  </si>
  <si>
    <t>Source    :</t>
  </si>
  <si>
    <t>MONETARY</t>
  </si>
  <si>
    <t xml:space="preserve">COUNTRY-WISE WORKERS' </t>
  </si>
  <si>
    <t>Bangladeshi Taka</t>
  </si>
  <si>
    <t>South Korean  Won</t>
  </si>
  <si>
    <t>Sri  Lankan Rupee</t>
  </si>
  <si>
    <t xml:space="preserve">Source   : </t>
  </si>
  <si>
    <t xml:space="preserve">Note      :          </t>
  </si>
  <si>
    <t>Deposits with BB other than DMBs</t>
  </si>
  <si>
    <t>DMBs Advances</t>
  </si>
  <si>
    <t>DMBs Investment</t>
  </si>
  <si>
    <t>Other Financial Corporation &amp; NBDCs</t>
  </si>
  <si>
    <t>Public</t>
  </si>
  <si>
    <t>Non-Financial Corporation</t>
  </si>
  <si>
    <t>10=(1+2+5+8+9)</t>
  </si>
  <si>
    <t xml:space="preserve">Total </t>
  </si>
  <si>
    <t>1 Maund</t>
  </si>
  <si>
    <t>=</t>
  </si>
  <si>
    <t>37.324 Kgs.</t>
  </si>
  <si>
    <t>1 Bale</t>
  </si>
  <si>
    <t>180 Kgs.</t>
  </si>
  <si>
    <t>82.285 lbs.</t>
  </si>
  <si>
    <t>4.823 Mds.</t>
  </si>
  <si>
    <t>1 Seer</t>
  </si>
  <si>
    <t>0.933 Kg.</t>
  </si>
  <si>
    <t>1 Metric Ton</t>
  </si>
  <si>
    <t>1000 Kgs.</t>
  </si>
  <si>
    <t>Public Sector</t>
  </si>
  <si>
    <t>26.792 Mds.</t>
  </si>
  <si>
    <t>1 Pound (lb)</t>
  </si>
  <si>
    <t>0.4536 Kg.</t>
  </si>
  <si>
    <t>1 Long Ton</t>
  </si>
  <si>
    <t>1016.05 Kgs.</t>
  </si>
  <si>
    <t>1 Tola</t>
  </si>
  <si>
    <t>11.66 gms.</t>
  </si>
  <si>
    <t>27.223 Mds.</t>
  </si>
  <si>
    <t>1 Metre</t>
  </si>
  <si>
    <t>39.37 Inches</t>
  </si>
  <si>
    <t>1 Ounce</t>
  </si>
  <si>
    <t>2.43 Tola</t>
  </si>
  <si>
    <t>3.2808 Ft.</t>
  </si>
  <si>
    <t>28.35 gms.</t>
  </si>
  <si>
    <t>1 Sq. Metre</t>
  </si>
  <si>
    <t>10.764 Sq. Ft.</t>
  </si>
  <si>
    <t>1 Troy ounce</t>
  </si>
  <si>
    <t>1 Mile</t>
  </si>
  <si>
    <t>1.6093 Km.</t>
  </si>
  <si>
    <t>2.666 Tola</t>
  </si>
  <si>
    <t>0.3048 Metre</t>
  </si>
  <si>
    <t>1 Quintal</t>
  </si>
  <si>
    <t>100 Kgs.</t>
  </si>
  <si>
    <t>1 Sq. Ft.</t>
  </si>
  <si>
    <t>0.0929 Sq. Metre</t>
  </si>
  <si>
    <t>220.5 lbs.</t>
  </si>
  <si>
    <t>1 Bigha</t>
  </si>
  <si>
    <t>0.3306 Acre</t>
  </si>
  <si>
    <t>2.679 Mds.</t>
  </si>
  <si>
    <t xml:space="preserve">TABLE-III A (Contd.) </t>
  </si>
  <si>
    <t>TABLE-III A (Concld.)</t>
  </si>
  <si>
    <t>1600 Sq. Yards</t>
  </si>
  <si>
    <t>0.1 Metric Ton</t>
  </si>
  <si>
    <t xml:space="preserve">MONETARY </t>
  </si>
  <si>
    <t>BY DEPOSITORY CORPORATIONS</t>
  </si>
  <si>
    <t>BY THE BANKING SYSTEM</t>
  </si>
  <si>
    <t>1.65 Decimal</t>
  </si>
  <si>
    <t>1 Litre</t>
  </si>
  <si>
    <t>0.22 Gallon</t>
  </si>
  <si>
    <t>720 Sq. Ft.</t>
  </si>
  <si>
    <t>1000 CC</t>
  </si>
  <si>
    <t>66.89 Sq. Metre</t>
  </si>
  <si>
    <t>0.027 Bushel</t>
  </si>
  <si>
    <t>1 Decimal</t>
  </si>
  <si>
    <t>435.6 Sq. Ft.</t>
  </si>
  <si>
    <t>1 Barrel</t>
  </si>
  <si>
    <t>34.9726 Gallon</t>
  </si>
  <si>
    <t>1 Acre</t>
  </si>
  <si>
    <t>0.405 Hectare</t>
  </si>
  <si>
    <t>0.125 M. T.</t>
  </si>
  <si>
    <t>4840 Sq. Yards</t>
  </si>
  <si>
    <t>1 Crore</t>
  </si>
  <si>
    <t>10 Millions</t>
  </si>
  <si>
    <t>100 Lacs.</t>
  </si>
  <si>
    <t>1 Hectare</t>
  </si>
  <si>
    <t>2.47 Acres</t>
  </si>
  <si>
    <t>0.01 Billion</t>
  </si>
  <si>
    <t>1 Megawatt</t>
  </si>
  <si>
    <t>1000 Kilo Watts.</t>
  </si>
  <si>
    <t xml:space="preserve"> --- = Not applicable</t>
  </si>
  <si>
    <t>11.07.22</t>
  </si>
  <si>
    <t>12.09.07</t>
  </si>
  <si>
    <t>25.09.07</t>
  </si>
  <si>
    <t>11.10.07</t>
  </si>
  <si>
    <t>q)</t>
  </si>
  <si>
    <t>Mudaraba Muhar Savings(10yrs.)</t>
  </si>
  <si>
    <t>r)</t>
  </si>
  <si>
    <t>BDBL</t>
  </si>
  <si>
    <t>Mudaraba Muhar Savings(5yrs.)</t>
  </si>
  <si>
    <t>s)</t>
  </si>
  <si>
    <t>t)</t>
  </si>
  <si>
    <t>14.11.07</t>
  </si>
  <si>
    <t>12.12.07</t>
  </si>
  <si>
    <t>12.09.22</t>
  </si>
  <si>
    <t>25.09.22</t>
  </si>
  <si>
    <t>11.10.22</t>
  </si>
  <si>
    <t>14.11.22</t>
  </si>
  <si>
    <t>12.12.22</t>
  </si>
  <si>
    <t>26.09.07</t>
  </si>
  <si>
    <t>24.10.07</t>
  </si>
  <si>
    <t>28.11.07</t>
  </si>
  <si>
    <t>26.12.07</t>
  </si>
  <si>
    <t>26.09.27</t>
  </si>
  <si>
    <t>24.10.27</t>
  </si>
  <si>
    <t>28.11.27</t>
  </si>
  <si>
    <t>26.12.27</t>
  </si>
  <si>
    <t>ii)</t>
  </si>
  <si>
    <t>1 Katha</t>
  </si>
  <si>
    <t>4046.8468 Sq. Metre</t>
  </si>
  <si>
    <t>1 Feet</t>
  </si>
  <si>
    <t>End of Period</t>
  </si>
  <si>
    <t>Banks</t>
  </si>
  <si>
    <t>Total</t>
  </si>
  <si>
    <t>Private</t>
  </si>
  <si>
    <t>Domestic</t>
  </si>
  <si>
    <t>Average</t>
  </si>
  <si>
    <t>Period</t>
  </si>
  <si>
    <t>Net Foreign Assets</t>
  </si>
  <si>
    <t>Domestic Credit</t>
  </si>
  <si>
    <t>Government (Net)</t>
  </si>
  <si>
    <t>Other Public Sector</t>
  </si>
  <si>
    <t>Goods</t>
  </si>
  <si>
    <t>Receipts</t>
  </si>
  <si>
    <t>Payments</t>
  </si>
  <si>
    <t>Official</t>
  </si>
  <si>
    <t>Others</t>
  </si>
  <si>
    <t>Food grains</t>
  </si>
  <si>
    <t>Rice</t>
  </si>
  <si>
    <t>Wheat</t>
  </si>
  <si>
    <t>Spices</t>
  </si>
  <si>
    <t>Yarn</t>
  </si>
  <si>
    <t>Paper</t>
  </si>
  <si>
    <t>Cigarettes</t>
  </si>
  <si>
    <t>Food</t>
  </si>
  <si>
    <t>Chemicals</t>
  </si>
  <si>
    <t>Matches</t>
  </si>
  <si>
    <t>CPI</t>
  </si>
  <si>
    <t>General</t>
  </si>
  <si>
    <t>Inflation (General)</t>
  </si>
  <si>
    <t>Fishing</t>
  </si>
  <si>
    <t>Textile Industries</t>
  </si>
  <si>
    <t>Insurance</t>
  </si>
  <si>
    <t>B.</t>
  </si>
  <si>
    <t>(Percent per annum)</t>
  </si>
  <si>
    <t>Maturity of Deposits</t>
  </si>
  <si>
    <t>Borrowing Rate</t>
  </si>
  <si>
    <t>Highest</t>
  </si>
  <si>
    <t>Lowest</t>
  </si>
  <si>
    <t>Lending Rate</t>
  </si>
  <si>
    <t>Malaysia</t>
  </si>
  <si>
    <t>ACU Dollar</t>
  </si>
  <si>
    <t>Bahrain Dinar</t>
  </si>
  <si>
    <t>Canadian Dollar</t>
  </si>
  <si>
    <t>Danish Krone</t>
  </si>
  <si>
    <t>Indian Rupee</t>
  </si>
  <si>
    <t>Indonesian Rupiah</t>
  </si>
  <si>
    <t>Kuwaiti Dinar</t>
  </si>
  <si>
    <t>Nepalese Rupee</t>
  </si>
  <si>
    <t>New Zealand Dollar</t>
  </si>
  <si>
    <t>Norwegian Krone</t>
  </si>
  <si>
    <t>Omani Riyal</t>
  </si>
  <si>
    <t>Pakistani Rupee</t>
  </si>
  <si>
    <t>Philippines Peso</t>
  </si>
  <si>
    <t>Qatar Riyal</t>
  </si>
  <si>
    <t>Russian Ruble</t>
  </si>
  <si>
    <t>Saudi Arabian Riyal</t>
  </si>
  <si>
    <t>Singapore Dollar</t>
  </si>
  <si>
    <t>Swedish Krona</t>
  </si>
  <si>
    <t>SDR</t>
  </si>
  <si>
    <t>UAE Dirham</t>
  </si>
  <si>
    <t>US Dollar</t>
  </si>
  <si>
    <t>Australia</t>
  </si>
  <si>
    <t>Ukraine</t>
  </si>
  <si>
    <t>Argentina</t>
  </si>
  <si>
    <t>VAT</t>
  </si>
  <si>
    <t>Import</t>
  </si>
  <si>
    <t>Supplementary Tax</t>
  </si>
  <si>
    <t>Registration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</si>
  <si>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</si>
  <si>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</si>
  <si>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</si>
  <si>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</si>
  <si>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</si>
  <si>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</si>
  <si>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</si>
  <si>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</si>
  <si>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</si>
  <si>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</si>
  <si>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</si>
  <si>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</si>
  <si>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September</t>
  </si>
  <si>
    <t>December</t>
  </si>
  <si>
    <t>March</t>
  </si>
  <si>
    <t>June</t>
  </si>
  <si>
    <t>2005-06</t>
  </si>
  <si>
    <t>July</t>
  </si>
  <si>
    <t>August</t>
  </si>
  <si>
    <t>October</t>
  </si>
  <si>
    <t>November</t>
  </si>
  <si>
    <t>January</t>
  </si>
  <si>
    <t>February</t>
  </si>
  <si>
    <t>April</t>
  </si>
  <si>
    <t>May</t>
  </si>
  <si>
    <t>2006-07</t>
  </si>
  <si>
    <t>Weight</t>
  </si>
  <si>
    <t>Credit</t>
  </si>
  <si>
    <t xml:space="preserve">Domestic                                       </t>
  </si>
  <si>
    <t>Demand Deposits</t>
  </si>
  <si>
    <t>TABLE-IA (concld.)</t>
  </si>
  <si>
    <t>Nature of Deposits</t>
  </si>
  <si>
    <t>Cotton Yarn</t>
  </si>
  <si>
    <t>Cotton Cloth</t>
  </si>
  <si>
    <t>Newsprint</t>
  </si>
  <si>
    <t>Fertilizers</t>
  </si>
  <si>
    <t>Production Indices</t>
  </si>
  <si>
    <t>Agricultural Products</t>
  </si>
  <si>
    <t>Industrial Products</t>
  </si>
  <si>
    <t>70124</t>
  </si>
  <si>
    <t>17783</t>
  </si>
  <si>
    <t>5322</t>
  </si>
  <si>
    <t>81178</t>
  </si>
  <si>
    <t>5590</t>
  </si>
  <si>
    <t>37543</t>
  </si>
  <si>
    <t>66011</t>
  </si>
  <si>
    <t>3289</t>
  </si>
  <si>
    <t>48908</t>
  </si>
  <si>
    <t>7744</t>
  </si>
  <si>
    <t>34929</t>
  </si>
  <si>
    <t>12743</t>
  </si>
  <si>
    <t>11776</t>
  </si>
  <si>
    <t>10307</t>
  </si>
  <si>
    <t>43568</t>
  </si>
  <si>
    <t>15663</t>
  </si>
  <si>
    <t>472477</t>
  </si>
  <si>
    <t>Private Sector</t>
  </si>
  <si>
    <t>Total Domestic Credit (6+9+10)</t>
  </si>
  <si>
    <t>Other Revenue Receipts</t>
  </si>
  <si>
    <t>Post Office Revenue</t>
  </si>
  <si>
    <t>...</t>
  </si>
  <si>
    <t>Items</t>
  </si>
  <si>
    <t>Country of Origin &amp; Market</t>
  </si>
  <si>
    <t>U.K. (London)</t>
  </si>
  <si>
    <t>---</t>
  </si>
  <si>
    <t>Sugar</t>
  </si>
  <si>
    <t>1)</t>
  </si>
  <si>
    <t>2)</t>
  </si>
  <si>
    <t>3)</t>
  </si>
  <si>
    <t>4)</t>
  </si>
  <si>
    <t>5)</t>
  </si>
  <si>
    <t xml:space="preserve">Note     : </t>
  </si>
  <si>
    <t xml:space="preserve">SOME SELECTED COMMODITY PRICES </t>
  </si>
  <si>
    <t>Dubai* Fateh</t>
  </si>
  <si>
    <t>U.K. @ Brent</t>
  </si>
  <si>
    <t>United States (US Gulf Ports)</t>
  </si>
  <si>
    <t>Malaysia (NW Europe)</t>
  </si>
  <si>
    <t>All Origins (Dutch Ports)</t>
  </si>
  <si>
    <t>Working Capital to Large &amp; Medium Scale Industry</t>
  </si>
  <si>
    <t>Working Capital to Small Industry</t>
  </si>
  <si>
    <t>TABLE-XV (Contd.)</t>
  </si>
  <si>
    <t xml:space="preserve">Private                                                                                                                                          Banks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</si>
  <si>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Private                                                                                                                                 Banks</t>
  </si>
  <si>
    <t>Foreign                                                                                                                              Banks</t>
  </si>
  <si>
    <t>HSBC</t>
  </si>
  <si>
    <t>TABLE-XV (Concld.)</t>
  </si>
  <si>
    <t>Thailand (Bangkok)</t>
  </si>
  <si>
    <t>Thailand </t>
  </si>
  <si>
    <t>Australia </t>
  </si>
  <si>
    <t>E.U Import Price</t>
  </si>
  <si>
    <t>Free Market</t>
  </si>
  <si>
    <t>U.S. Import Price</t>
  </si>
  <si>
    <t>(In Percent) </t>
  </si>
  <si>
    <t>Australian Dollar</t>
  </si>
  <si>
    <t>Malaysian Ringgit</t>
  </si>
  <si>
    <t>Syrian Pound</t>
  </si>
  <si>
    <t>Mudaraba Savings Deposits</t>
  </si>
  <si>
    <t>Mudaraba Term Deposits</t>
  </si>
  <si>
    <t>a)</t>
  </si>
  <si>
    <t>3 years</t>
  </si>
  <si>
    <t>b)</t>
  </si>
  <si>
    <t>2 years</t>
  </si>
  <si>
    <t>c)</t>
  </si>
  <si>
    <t>d)</t>
  </si>
  <si>
    <t>6 months</t>
  </si>
  <si>
    <t>e)</t>
  </si>
  <si>
    <t>3 months</t>
  </si>
  <si>
    <t>Mudaraba Special Notice Deposits</t>
  </si>
  <si>
    <t>Monthly Term Savings Deposit</t>
  </si>
  <si>
    <t>Monthly Savings Investment Deposit</t>
  </si>
  <si>
    <t xml:space="preserve"> </t>
  </si>
  <si>
    <t xml:space="preserve">Deposits with </t>
  </si>
  <si>
    <t xml:space="preserve">MARKET CAPITALISATION (VALUE) OF ORDINARY SHARES OF COMPANIES </t>
  </si>
  <si>
    <t>Banks' Clearing House A/C during the Period</t>
  </si>
  <si>
    <t>Euro</t>
  </si>
  <si>
    <t>…= Not available</t>
  </si>
  <si>
    <t xml:space="preserve">Note :      </t>
  </si>
  <si>
    <t xml:space="preserve">Net             </t>
  </si>
  <si>
    <t xml:space="preserve">Net                 </t>
  </si>
  <si>
    <t>9 = (7-8)</t>
  </si>
  <si>
    <t>6 = (4-5)</t>
  </si>
  <si>
    <t>3 = (1-2)</t>
  </si>
  <si>
    <t xml:space="preserve">Total             </t>
  </si>
  <si>
    <t>12 = (10+11)</t>
  </si>
  <si>
    <t xml:space="preserve">Total                        </t>
  </si>
  <si>
    <t xml:space="preserve">Total           </t>
  </si>
  <si>
    <t>14=(12+13)</t>
  </si>
  <si>
    <t>37=(14+36)</t>
  </si>
  <si>
    <t>38=(11-37)</t>
  </si>
  <si>
    <t>Others (Inclu-ding EPZ)</t>
  </si>
  <si>
    <t>10.09.08</t>
  </si>
  <si>
    <t>10.09.23</t>
  </si>
  <si>
    <t>14.01.09</t>
  </si>
  <si>
    <t>14.01.24</t>
  </si>
  <si>
    <t>11.02.09</t>
  </si>
  <si>
    <t>11.02.24</t>
  </si>
  <si>
    <t>11.03.09</t>
  </si>
  <si>
    <t>11.03.24</t>
  </si>
  <si>
    <t>15.04.09</t>
  </si>
  <si>
    <t>15.04.24</t>
  </si>
  <si>
    <t>13.05.09</t>
  </si>
  <si>
    <t>13.05.24</t>
  </si>
  <si>
    <t>10.06.09</t>
  </si>
  <si>
    <t>10.06.24</t>
  </si>
  <si>
    <t>15.07.09</t>
  </si>
  <si>
    <t>15.07.24</t>
  </si>
  <si>
    <t>12.08.09</t>
  </si>
  <si>
    <t>12.08.24</t>
  </si>
  <si>
    <t>09.09.09</t>
  </si>
  <si>
    <t>09.09.24</t>
  </si>
  <si>
    <t>GDP at Current Producer Price     (1 to 15)</t>
  </si>
  <si>
    <t>GDP at Current Market Price (16+17)</t>
  </si>
  <si>
    <t>Gross National Income (GNI) (18+19)</t>
  </si>
  <si>
    <t>GDP at Constant Producer Price     (1 to 15)</t>
  </si>
  <si>
    <t>GDP at Constant Market Price (16+17)</t>
  </si>
  <si>
    <t>03.03.20</t>
  </si>
  <si>
    <t>Monetary Assets (14+15)</t>
  </si>
  <si>
    <t>Total Advances  (excluding    inter-bank)    (18+19)</t>
  </si>
  <si>
    <t>Total Bills   (excluding inter-bank) (22+23)</t>
  </si>
  <si>
    <t>Total Investment  (excluding        inter-bank)      (26+27)</t>
  </si>
  <si>
    <t>To            Banks     (17+21+25)</t>
  </si>
  <si>
    <t>Total    Deposit Liabilities    (37+38)</t>
  </si>
  <si>
    <t xml:space="preserve">Total Credit to Government (Gross) by the                Banking System </t>
  </si>
  <si>
    <t>Swiss Franc</t>
  </si>
  <si>
    <r>
      <rPr>
        <b/>
        <sz val="8"/>
        <color indexed="8"/>
        <rFont val="Times New Roman"/>
        <family val="1"/>
      </rPr>
      <t>Source:</t>
    </r>
    <r>
      <rPr>
        <sz val="8"/>
        <color indexed="8"/>
        <rFont val="Times New Roman"/>
        <family val="1"/>
      </rPr>
      <t xml:space="preserve"> </t>
    </r>
  </si>
  <si>
    <t>100588</t>
  </si>
  <si>
    <t>24223</t>
  </si>
  <si>
    <t>8114</t>
  </si>
  <si>
    <t>120108</t>
  </si>
  <si>
    <t>7195</t>
  </si>
  <si>
    <t>55658</t>
  </si>
  <si>
    <t>100295</t>
  </si>
  <si>
    <t>5150</t>
  </si>
  <si>
    <t>71880</t>
  </si>
  <si>
    <t>12300</t>
  </si>
  <si>
    <t>360845</t>
  </si>
  <si>
    <t>12.94</t>
  </si>
  <si>
    <t>6.07</t>
  </si>
  <si>
    <t>47536</t>
  </si>
  <si>
    <t>51959</t>
  </si>
  <si>
    <t>394419</t>
  </si>
  <si>
    <t>24705</t>
  </si>
  <si>
    <t>27003</t>
  </si>
  <si>
    <t>Foreign Trade &amp; Foreign Exchange  Reserves (Million US $)</t>
  </si>
  <si>
    <t>16.03.16</t>
  </si>
  <si>
    <t>07.04.10</t>
  </si>
  <si>
    <t>07.04.20</t>
  </si>
  <si>
    <t>05.05.10</t>
  </si>
  <si>
    <t>05.05.20</t>
  </si>
  <si>
    <t>02.06.10</t>
  </si>
  <si>
    <t>02.06.20</t>
  </si>
  <si>
    <t>07.07.10</t>
  </si>
  <si>
    <t>07.07.20</t>
  </si>
  <si>
    <t>04.08.10</t>
  </si>
  <si>
    <t>04.08.20</t>
  </si>
  <si>
    <t>08.09.20</t>
  </si>
  <si>
    <t>06.10.10</t>
  </si>
  <si>
    <t>03.11.10</t>
  </si>
  <si>
    <t>03.11.20</t>
  </si>
  <si>
    <t>08.12.10</t>
  </si>
  <si>
    <t>08.12.20</t>
  </si>
  <si>
    <t>05.01.11</t>
  </si>
  <si>
    <t>05.01.21</t>
  </si>
  <si>
    <t>02.02.11</t>
  </si>
  <si>
    <t>02.02.21</t>
  </si>
  <si>
    <t>02.03.11</t>
  </si>
  <si>
    <t>02.03.21</t>
  </si>
  <si>
    <t>16.01.11</t>
  </si>
  <si>
    <t>15.04.10</t>
  </si>
  <si>
    <t>15.04.25</t>
  </si>
  <si>
    <t>12.05.10</t>
  </si>
  <si>
    <t>12.05.25</t>
  </si>
  <si>
    <t>09.06.10</t>
  </si>
  <si>
    <t>09.06.25</t>
  </si>
  <si>
    <t>14.07.10</t>
  </si>
  <si>
    <t>14.07.25</t>
  </si>
  <si>
    <t>11.08.10</t>
  </si>
  <si>
    <t>11.08.25</t>
  </si>
  <si>
    <t>15.09.10</t>
  </si>
  <si>
    <t>15.09.25</t>
  </si>
  <si>
    <t>13.10.10</t>
  </si>
  <si>
    <t>13.10.25</t>
  </si>
  <si>
    <t>10.11.10</t>
  </si>
  <si>
    <t>10.11.25</t>
  </si>
  <si>
    <t>15.12.10</t>
  </si>
  <si>
    <t>15.12.25</t>
  </si>
  <si>
    <t>09.02.11</t>
  </si>
  <si>
    <t>09.02.26</t>
  </si>
  <si>
    <t>09.03.11</t>
  </si>
  <si>
    <t>09.03.26</t>
  </si>
  <si>
    <t>28.04.10</t>
  </si>
  <si>
    <t>28.04.30</t>
  </si>
  <si>
    <t>26.05.10</t>
  </si>
  <si>
    <t>26.05.30</t>
  </si>
  <si>
    <t>23.06.10</t>
  </si>
  <si>
    <t>23.06.30</t>
  </si>
  <si>
    <t>29.07.10</t>
  </si>
  <si>
    <t>29.07.30</t>
  </si>
  <si>
    <t>25.08.10</t>
  </si>
  <si>
    <t>25.08.30</t>
  </si>
  <si>
    <t>29.09.10</t>
  </si>
  <si>
    <t>29.09.30</t>
  </si>
  <si>
    <t>27.10.10</t>
  </si>
  <si>
    <t>27.10.30</t>
  </si>
  <si>
    <t>24.11.10</t>
  </si>
  <si>
    <t>24.11.30</t>
  </si>
  <si>
    <t>29.12.10</t>
  </si>
  <si>
    <t>26.01.11</t>
  </si>
  <si>
    <t>26.01.31</t>
  </si>
  <si>
    <t>23.02.11</t>
  </si>
  <si>
    <t>23.02.31</t>
  </si>
  <si>
    <t>23.03.11</t>
  </si>
  <si>
    <t>23.03.31</t>
  </si>
  <si>
    <t>20.04.16</t>
  </si>
  <si>
    <t>06.04.11</t>
  </si>
  <si>
    <t>06.04.21</t>
  </si>
  <si>
    <t>16.01.21</t>
  </si>
  <si>
    <t>13.04.11</t>
  </si>
  <si>
    <t>13.04.26</t>
  </si>
  <si>
    <t>27.04.11</t>
  </si>
  <si>
    <t>27.04.31</t>
  </si>
  <si>
    <t>Note :</t>
  </si>
  <si>
    <t>64604</t>
  </si>
  <si>
    <r>
      <rPr>
        <b/>
        <sz val="8"/>
        <color indexed="8"/>
        <rFont val="Times New Roman"/>
        <family val="1"/>
      </rPr>
      <t>Note:</t>
    </r>
    <r>
      <rPr>
        <sz val="8"/>
        <color indexed="8"/>
        <rFont val="Times New Roman"/>
        <family val="1"/>
      </rPr>
      <t xml:space="preserve">   </t>
    </r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</si>
  <si>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</si>
  <si>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</si>
  <si>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</si>
  <si>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</si>
  <si>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</si>
  <si>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</si>
  <si>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</si>
  <si>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</si>
  <si>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</si>
  <si>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</si>
  <si>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</si>
  <si>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</si>
  <si>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</si>
  <si>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</si>
  <si>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</si>
  <si>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</si>
  <si>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</si>
  <si>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</si>
  <si>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</si>
  <si>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</si>
  <si>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</si>
  <si>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</si>
  <si>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</si>
  <si>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</si>
  <si>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</si>
  <si>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</si>
  <si>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</si>
  <si>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</si>
  <si>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</si>
  <si>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</si>
  <si>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</si>
  <si>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</si>
  <si>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</si>
  <si>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</si>
  <si>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</si>
  <si>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</si>
  <si>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XXXVII</t>
  </si>
  <si>
    <t>XXXVIII</t>
  </si>
  <si>
    <t>XXXIX</t>
  </si>
  <si>
    <t>XL</t>
  </si>
  <si>
    <t>XLI</t>
  </si>
  <si>
    <t>XLII</t>
  </si>
  <si>
    <t>XLIII</t>
  </si>
  <si>
    <t>XLIV</t>
  </si>
  <si>
    <t>XLV</t>
  </si>
  <si>
    <t>XLVI</t>
  </si>
  <si>
    <t>XLVII</t>
  </si>
  <si>
    <t>XLVIII</t>
  </si>
  <si>
    <t>XLIX</t>
  </si>
  <si>
    <t>L</t>
  </si>
  <si>
    <t>LI</t>
  </si>
  <si>
    <t>LII</t>
  </si>
  <si>
    <t>LIII</t>
  </si>
  <si>
    <t>LIV</t>
  </si>
  <si>
    <t>LV</t>
  </si>
  <si>
    <t>LVI</t>
  </si>
  <si>
    <t>LVII</t>
  </si>
  <si>
    <t>LVIII</t>
  </si>
  <si>
    <t>LIX</t>
  </si>
  <si>
    <t>LX</t>
  </si>
  <si>
    <t>LXI</t>
  </si>
  <si>
    <t>LXII</t>
  </si>
  <si>
    <t>LXIII</t>
  </si>
  <si>
    <t>LXIV</t>
  </si>
  <si>
    <t>LXV</t>
  </si>
  <si>
    <t>LXVI</t>
  </si>
  <si>
    <t>LXVII</t>
  </si>
  <si>
    <t>LXVIII</t>
  </si>
  <si>
    <t>LXIX</t>
  </si>
  <si>
    <t>LXX</t>
  </si>
  <si>
    <t>LXXI</t>
  </si>
  <si>
    <t>LXXII</t>
  </si>
  <si>
    <t>LXXIII</t>
  </si>
  <si>
    <t>LXXIV</t>
  </si>
  <si>
    <t>Interest free</t>
  </si>
  <si>
    <t>Italy</t>
  </si>
  <si>
    <t xml:space="preserve">Note   : </t>
  </si>
  <si>
    <t xml:space="preserve">     Source :</t>
  </si>
  <si>
    <t xml:space="preserve">     Note :</t>
  </si>
  <si>
    <t>2011-12</t>
  </si>
  <si>
    <t>South Korea</t>
  </si>
  <si>
    <t xml:space="preserve">Source :   </t>
  </si>
  <si>
    <t>1 Bushel</t>
  </si>
  <si>
    <t>STATISTICAL TABLES</t>
  </si>
  <si>
    <t>IA</t>
  </si>
  <si>
    <t>IB</t>
  </si>
  <si>
    <t>IIA</t>
  </si>
  <si>
    <t>IIB</t>
  </si>
  <si>
    <t>Claims on Resident Sector by the Banking System</t>
  </si>
  <si>
    <t>IIC</t>
  </si>
  <si>
    <t>IID</t>
  </si>
  <si>
    <t>IIE</t>
  </si>
  <si>
    <t>IIF</t>
  </si>
  <si>
    <t>IIIA</t>
  </si>
  <si>
    <t>Balance of  Payments</t>
  </si>
  <si>
    <t>IIIB</t>
  </si>
  <si>
    <t>Foreign Trade</t>
  </si>
  <si>
    <t xml:space="preserve">Production of Major Agricultural Commodities </t>
  </si>
  <si>
    <t xml:space="preserve">Production of Major Industrial Commodities (Other than Jute Goods) </t>
  </si>
  <si>
    <t>Average Prices of Selected Commodities</t>
  </si>
  <si>
    <t>Gross Domestic Product of Bangladesh at Current Market Price</t>
  </si>
  <si>
    <t xml:space="preserve">Gross Domestic Product of Bangladesh at Constant Market Price </t>
  </si>
  <si>
    <t>Key Indicators of National Accounts</t>
  </si>
  <si>
    <t xml:space="preserve">Interest Rate Structure of Government Securities/Bonds and Savings Instruments </t>
  </si>
  <si>
    <t xml:space="preserve">Rate of Interest on Non-resident Foreign Currency Deposit (NFCD) Accounts </t>
  </si>
  <si>
    <t>Monthly Average Call Money Market Rates</t>
  </si>
  <si>
    <t>Some Indicators of Income, Expenditure &amp; Profitability of the Banking Sector</t>
  </si>
  <si>
    <t>Country-wise Workers’ Remittances</t>
  </si>
  <si>
    <t>Exchange Rates (Taka Per Currencies)</t>
  </si>
  <si>
    <t>Appreciation/Depreciation of Some Selected Currencies Against U.S. Dollar</t>
  </si>
  <si>
    <t>Some Selected Commodity Prices at International Markets</t>
  </si>
  <si>
    <t>Mudaraba Education Deposit Scheme</t>
  </si>
  <si>
    <t>Mudaraba Monthly Profit Deposit Scheme (5 yrs.)</t>
  </si>
  <si>
    <t>Mudaraba Monthly Profit Deposit Scheme (3 yrs.)</t>
  </si>
  <si>
    <t>Market Capitalisation (Value) of Ordinary Shares of Companies Listed with the Dhaka Stock Exchange Ltd.</t>
  </si>
  <si>
    <t>Monetary Survey (M2)</t>
  </si>
  <si>
    <t xml:space="preserve">Monetary Survey (M3)  </t>
  </si>
  <si>
    <t>10.00-13.00</t>
  </si>
  <si>
    <t>Cash     Base     of the Economy (3+42)</t>
  </si>
  <si>
    <t>Portfolio  Investment</t>
  </si>
  <si>
    <t>Other Investment</t>
  </si>
  <si>
    <t>Reserve Assets</t>
  </si>
  <si>
    <t xml:space="preserve">   Lea-  ther</t>
  </si>
  <si>
    <t>Ready made Garments    (including   Knit Wear  &amp; Hosiery)</t>
  </si>
  <si>
    <t>News  Print</t>
  </si>
  <si>
    <t>Ferti-lizers</t>
  </si>
  <si>
    <t>Oil  seeds</t>
  </si>
  <si>
    <t xml:space="preserve">    Edible      oil</t>
  </si>
  <si>
    <t>Chemi-  cals</t>
  </si>
  <si>
    <t>Staple fibres</t>
  </si>
  <si>
    <t>Iron  &amp; Steel</t>
  </si>
  <si>
    <t xml:space="preserve">      Qatar     Riyal</t>
  </si>
  <si>
    <t xml:space="preserve">     Swiss    Franc</t>
  </si>
  <si>
    <t xml:space="preserve">   Customs     Duty</t>
  </si>
  <si>
    <t xml:space="preserve">     Income   Tax</t>
  </si>
  <si>
    <t>LXXV</t>
  </si>
  <si>
    <t>LXXVI</t>
  </si>
  <si>
    <t>LXXVII</t>
  </si>
  <si>
    <t>LXXVIII</t>
  </si>
  <si>
    <t>LXXIX</t>
  </si>
  <si>
    <t>LXXX</t>
  </si>
  <si>
    <t>Soybean  (US $/ MT)</t>
  </si>
  <si>
    <t>  Total Credit    (excluding        inter-bank)  (20+24+28)</t>
  </si>
  <si>
    <t>Average Credit per    DMB       Branch    (in crore)</t>
  </si>
  <si>
    <t>Total (excluding inter-bank) (7+10)</t>
  </si>
  <si>
    <t xml:space="preserve">  Other Resident      Sector </t>
  </si>
  <si>
    <t xml:space="preserve">     Other Resident           Sector</t>
  </si>
  <si>
    <t xml:space="preserve">    Equity    Capital</t>
  </si>
  <si>
    <t xml:space="preserve">   Equity    Capital</t>
  </si>
  <si>
    <t xml:space="preserve">A.  Government Treasury Bonds </t>
  </si>
  <si>
    <t xml:space="preserve">    Total   Manpower</t>
  </si>
  <si>
    <t>Total   Manpower</t>
  </si>
  <si>
    <t xml:space="preserve">  Net Profit After Tax</t>
  </si>
  <si>
    <t xml:space="preserve">     Net      Profit</t>
  </si>
  <si>
    <t xml:space="preserve">    Total       Income</t>
  </si>
  <si>
    <t xml:space="preserve">     Total    Manpower</t>
  </si>
  <si>
    <t xml:space="preserve">    In taka    A/C</t>
  </si>
  <si>
    <t xml:space="preserve">  Govern-     ment    (Net)</t>
  </si>
  <si>
    <t xml:space="preserve">  Banking Sector</t>
  </si>
  <si>
    <t xml:space="preserve">  Total (1+2+3)</t>
  </si>
  <si>
    <t xml:space="preserve">   Total  (5+6+7)</t>
  </si>
  <si>
    <t>Total (9+10)</t>
  </si>
  <si>
    <t xml:space="preserve">   Banking  Sector</t>
  </si>
  <si>
    <t>Total  (12+13)</t>
  </si>
  <si>
    <t>Editorial Committee</t>
  </si>
  <si>
    <t>Chairman</t>
  </si>
  <si>
    <t xml:space="preserve">Members </t>
  </si>
  <si>
    <t xml:space="preserve">Statistics Department </t>
  </si>
  <si>
    <t xml:space="preserve">Bangladesh Bank         </t>
  </si>
  <si>
    <t>Ratio of DMBs Credit to Deposits  (in percent) </t>
  </si>
  <si>
    <t xml:space="preserve">       Coal            (US $/MT)</t>
  </si>
  <si>
    <t>Date/ Period of Maturity</t>
  </si>
  <si>
    <t>Category of Instruments</t>
  </si>
  <si>
    <t>Effective Date</t>
  </si>
  <si>
    <t>Reinvested  Earning</t>
  </si>
  <si>
    <t xml:space="preserve">  Intra-company Loans</t>
  </si>
  <si>
    <t>Intra-company Loans</t>
  </si>
  <si>
    <t>Reinvested Earning</t>
  </si>
  <si>
    <t>Petro- leum Products</t>
  </si>
  <si>
    <t>Others (Including EPZ)</t>
  </si>
  <si>
    <t xml:space="preserve">  Pulses     (all sorts)</t>
  </si>
  <si>
    <t xml:space="preserve">        Area       (in '000' acres)</t>
  </si>
  <si>
    <t xml:space="preserve">      Total          Manpower</t>
  </si>
  <si>
    <t xml:space="preserve"> Net Profit After Tax</t>
  </si>
  <si>
    <t xml:space="preserve">    Total   Income</t>
  </si>
  <si>
    <t xml:space="preserve">    Total    Income</t>
  </si>
  <si>
    <t>04.05.11</t>
  </si>
  <si>
    <t>08.06.11</t>
  </si>
  <si>
    <t>13.07.11</t>
  </si>
  <si>
    <t>10.08.11</t>
  </si>
  <si>
    <t>04.05.21</t>
  </si>
  <si>
    <t>08.06.21</t>
  </si>
  <si>
    <t>13.07.21</t>
  </si>
  <si>
    <t>10.08.21</t>
  </si>
  <si>
    <t>LXXXII</t>
  </si>
  <si>
    <t>LXXXIII</t>
  </si>
  <si>
    <t>LXXXIV</t>
  </si>
  <si>
    <t>LXXXV</t>
  </si>
  <si>
    <t>LXXXVI</t>
  </si>
  <si>
    <t>LXXXVII</t>
  </si>
  <si>
    <t>LXXXVIII</t>
  </si>
  <si>
    <t>LXXXIX</t>
  </si>
  <si>
    <t>( Inflation, Production Index, Foreign Trade,</t>
  </si>
  <si>
    <t xml:space="preserve">CLAIMS ON RESIDENT SECTORS </t>
  </si>
  <si>
    <t xml:space="preserve"> 25.01.12</t>
  </si>
  <si>
    <t xml:space="preserve"> 25.01.32</t>
  </si>
  <si>
    <t xml:space="preserve"> 28.12.31</t>
  </si>
  <si>
    <t xml:space="preserve"> 26.10.31</t>
  </si>
  <si>
    <t xml:space="preserve"> 30.06.94</t>
  </si>
  <si>
    <t xml:space="preserve"> 01.07.95</t>
  </si>
  <si>
    <t>12.00-13.00</t>
  </si>
  <si>
    <t xml:space="preserve"> &lt; 1.00 crore</t>
  </si>
  <si>
    <t>1.00 crore but  &lt; 25.00 crore</t>
  </si>
  <si>
    <t>25.00 crore but  &lt; 50.00 crore</t>
  </si>
  <si>
    <t>50.00 crore but  &lt; 100.00 crore</t>
  </si>
  <si>
    <t>3 months but &lt;6 months</t>
  </si>
  <si>
    <t>6 months but &lt; 1 year</t>
  </si>
  <si>
    <t>1 year but&lt; 2 years</t>
  </si>
  <si>
    <t>2 years but &lt; 3 years</t>
  </si>
  <si>
    <t>3 years &amp; above</t>
  </si>
  <si>
    <t>Special Notice Deposits (SND):</t>
  </si>
  <si>
    <t xml:space="preserve">   Effective   Date</t>
  </si>
  <si>
    <t xml:space="preserve">5-year  (BD) Govt. Treasury Bond </t>
  </si>
  <si>
    <t>10-year (BD) Govt. Treasury Bond</t>
  </si>
  <si>
    <t>15 year (BD) Govt.  Treasury Bond</t>
  </si>
  <si>
    <t>20 year  (BD) Govt. Treasury Bond</t>
  </si>
  <si>
    <t>12 year (BPC) Govt. Special Treasury Bond</t>
  </si>
  <si>
    <t>13 year (BPC) Govt. Special Treasury Bond</t>
  </si>
  <si>
    <t>14 year (BPC) Govt. Special Treasury Bond</t>
  </si>
  <si>
    <t>BJMC &amp; BTMC special T. Bonds</t>
  </si>
  <si>
    <t>11-year (BJMC)(Sonali Bank) T. Bond</t>
  </si>
  <si>
    <t>11-year (BJMC) (Janata Bank)T. Bond</t>
  </si>
  <si>
    <t>11-year (BJMC) (Agrani Bank) T. Bond</t>
  </si>
  <si>
    <t>13-year (BJMC) (Sonali Bank)T. Bond</t>
  </si>
  <si>
    <t>13-year (BJMC) (Janata Bank) T. Bond</t>
  </si>
  <si>
    <t>13-year (BJMC) (Agrani Bank) T. Bond</t>
  </si>
  <si>
    <t xml:space="preserve">9-year  (BJMC)(Sonali Bank) T. Bond </t>
  </si>
  <si>
    <t>15 year (BPC) Govt. Special Treasury Bond</t>
  </si>
  <si>
    <t xml:space="preserve">9-year  (BJMC) (Janata Bank) T. Bond </t>
  </si>
  <si>
    <t>9-year  (BJMC)(Agrani Bank) T. Bond</t>
  </si>
  <si>
    <t xml:space="preserve"> 29.02.12</t>
  </si>
  <si>
    <t>25-year (Jute) Treasury Bond</t>
  </si>
  <si>
    <t xml:space="preserve"> - = Nil</t>
  </si>
  <si>
    <t>Reserve Money (1+2+3+5)</t>
  </si>
  <si>
    <t>Commercial Banks</t>
  </si>
  <si>
    <t>SOME INDICATORS OF INCOME, EXPENDITURE &amp;</t>
  </si>
  <si>
    <t>PROFITABILITY OF THE BANKING SECTOR</t>
  </si>
  <si>
    <t>State Owned Banks</t>
  </si>
  <si>
    <t xml:space="preserve">      Total Income</t>
  </si>
  <si>
    <t xml:space="preserve"> Financial  Corporation</t>
  </si>
  <si>
    <t xml:space="preserve">BANK WISE ANNOUNCED INTEREST RATE STRUCTURE </t>
  </si>
  <si>
    <t xml:space="preserve">Claims on Resident Sectors by Depository Corporations </t>
  </si>
  <si>
    <t xml:space="preserve"> 29.02.32</t>
  </si>
  <si>
    <t xml:space="preserve"> 28.03.12</t>
  </si>
  <si>
    <t xml:space="preserve"> 28.03.32</t>
  </si>
  <si>
    <t xml:space="preserve"> 25.04.12</t>
  </si>
  <si>
    <t xml:space="preserve"> 25.04.32</t>
  </si>
  <si>
    <t>385050</t>
  </si>
  <si>
    <t>14.75</t>
  </si>
  <si>
    <t>6.71</t>
  </si>
  <si>
    <t>14.97</t>
  </si>
  <si>
    <t>15.16</t>
  </si>
  <si>
    <t>207</t>
  </si>
  <si>
    <t>25721</t>
  </si>
  <si>
    <t>420097</t>
  </si>
  <si>
    <t>28072</t>
  </si>
  <si>
    <t>Annual Growth    of GDP at Current Market Price %</t>
  </si>
  <si>
    <t>72514</t>
  </si>
  <si>
    <t>GDP Deflator</t>
  </si>
  <si>
    <r>
      <rPr>
        <b/>
        <sz val="8"/>
        <rFont val="Times New Roman"/>
        <family val="1"/>
      </rPr>
      <t>Source :</t>
    </r>
    <r>
      <rPr>
        <sz val="8"/>
        <rFont val="Times New Roman"/>
        <family val="1"/>
      </rPr>
      <t xml:space="preserve"> </t>
    </r>
  </si>
  <si>
    <t xml:space="preserve">Deputy General Manager            </t>
  </si>
  <si>
    <t>2012-13</t>
  </si>
  <si>
    <t>Currency Out side Banks</t>
  </si>
  <si>
    <t>Point- to- Point (Base: 2005-06=100)</t>
  </si>
  <si>
    <t>Point- to- Point (Base: 1995-96=100)</t>
  </si>
  <si>
    <t>12- Month Average (Base: 2005-06=100)</t>
  </si>
  <si>
    <t>12- Month Average (Base: 1995-96=100)</t>
  </si>
  <si>
    <r>
      <t xml:space="preserve">Rate of Inflation in Bangladesh </t>
    </r>
    <r>
      <rPr>
        <b/>
        <sz val="9"/>
        <color indexed="8"/>
        <rFont val="Times New Roman"/>
        <family val="1"/>
      </rPr>
      <t xml:space="preserve">  Measured by Consumer  Price Index  (CPI)      </t>
    </r>
  </si>
  <si>
    <t>General (Mfg)</t>
  </si>
  <si>
    <t>Chinese Yuan</t>
  </si>
  <si>
    <t xml:space="preserve"> Danish Krone</t>
  </si>
  <si>
    <t xml:space="preserve"> Hongkong Dollar</t>
  </si>
  <si>
    <t>Indone-sian   Rupiah</t>
  </si>
  <si>
    <t>Japanese  Yen</t>
  </si>
  <si>
    <t>Kuwait Dinar</t>
  </si>
  <si>
    <t>Malay-sian Ringgit</t>
  </si>
  <si>
    <t>Myan-mar Kyat</t>
  </si>
  <si>
    <t>Pakistan Rupee</t>
  </si>
  <si>
    <t>Russian Rouble</t>
  </si>
  <si>
    <t xml:space="preserve">  Saudi    Riyal</t>
  </si>
  <si>
    <t xml:space="preserve"> Singapore    Dollar</t>
  </si>
  <si>
    <t xml:space="preserve"> Swedish  Krona</t>
  </si>
  <si>
    <t>Sri Lankan Rupee</t>
  </si>
  <si>
    <t>Thai  Bhat</t>
  </si>
  <si>
    <t xml:space="preserve">   Index of Industrial Production     Base:  1988-89=100</t>
  </si>
  <si>
    <t>Foreign Banks</t>
  </si>
  <si>
    <t xml:space="preserve">SOME INDICATORS OF INCOME, EXPENDITURE &amp; </t>
  </si>
  <si>
    <t>APPRECIATION / DEPRECIATION OF SELECTED</t>
  </si>
  <si>
    <t xml:space="preserve"> 30.05.12</t>
  </si>
  <si>
    <t xml:space="preserve"> 27.06.12</t>
  </si>
  <si>
    <t xml:space="preserve"> 25.07.12</t>
  </si>
  <si>
    <t xml:space="preserve"> 30.05.32</t>
  </si>
  <si>
    <t xml:space="preserve"> 27.06.32</t>
  </si>
  <si>
    <t xml:space="preserve"> 25.07.32</t>
  </si>
  <si>
    <t xml:space="preserve"> Debt Management Department, Bangladesh Bank</t>
  </si>
  <si>
    <t xml:space="preserve">2011-12 </t>
  </si>
  <si>
    <t>Commercial                                                                    Banks</t>
  </si>
  <si>
    <t xml:space="preserve">     Total  Manpower</t>
  </si>
  <si>
    <t xml:space="preserve"> 29.08.12</t>
  </si>
  <si>
    <t xml:space="preserve"> 29.08.32</t>
  </si>
  <si>
    <t>Bangladesh Bank</t>
  </si>
  <si>
    <t xml:space="preserve">Monthly </t>
  </si>
  <si>
    <t>Economic Trends</t>
  </si>
  <si>
    <t>No interest</t>
  </si>
  <si>
    <t xml:space="preserve">No interest </t>
  </si>
  <si>
    <t xml:space="preserve"> No interest</t>
  </si>
  <si>
    <t>i) Before six months from the date of issue</t>
  </si>
  <si>
    <t>ii) On completion of six months but before one year</t>
  </si>
  <si>
    <t>iii) On completion of one year but before 1½ year</t>
  </si>
  <si>
    <t>iv) On completion of 1½ years but before two year</t>
  </si>
  <si>
    <t>v) On completion of two years and thereafter</t>
  </si>
  <si>
    <t xml:space="preserve">vi) On completion of five years and thereafter </t>
  </si>
  <si>
    <t>a) Ordinary Account</t>
  </si>
  <si>
    <t>a) Dhaka and Chittagong Metropolitan Cities</t>
  </si>
  <si>
    <t>b) Other Divisional/District Head Quarters.</t>
  </si>
  <si>
    <t>c) Fixed Deposit Account (Interest after 6 months)</t>
  </si>
  <si>
    <t xml:space="preserve">i) Within one year from the date of issue </t>
  </si>
  <si>
    <t>ii) After completion of one year but within two years</t>
  </si>
  <si>
    <t>iii) After completion of two years but within three years</t>
  </si>
  <si>
    <t>iii) For three years</t>
  </si>
  <si>
    <t>ii) For two years</t>
  </si>
  <si>
    <t>i) For one year</t>
  </si>
  <si>
    <t>b) Fixed Deposit Account (Interest after maturity)</t>
  </si>
  <si>
    <t xml:space="preserve">  Furniture, Furnishing   &amp; Others</t>
  </si>
  <si>
    <t xml:space="preserve">  Misc. Goods &amp; Services</t>
  </si>
  <si>
    <t>15-year (BD) Govt.  Treasury Bond</t>
  </si>
  <si>
    <t>20-year  (BD) Govt. Treasury Bond</t>
  </si>
  <si>
    <t xml:space="preserve"> 26.09.12</t>
  </si>
  <si>
    <t xml:space="preserve"> 29.09.32</t>
  </si>
  <si>
    <t xml:space="preserve">With effect from 01.07.06  </t>
  </si>
  <si>
    <t>Interest Rates on Deposits with Directorate of National Savings</t>
  </si>
  <si>
    <t>i) Tin Mas Antar Munafa Vittik Sanchayapatra</t>
  </si>
  <si>
    <t>ii) 5-year  Bangladesh Sanchayapatra</t>
  </si>
  <si>
    <t>iii) 5-year  Pensioner Sanchaya Patra after 3-month interest</t>
  </si>
  <si>
    <t>iv) 5-year  Paribar Sanchayapatra after monthly interest</t>
  </si>
  <si>
    <t>iv) After completion of three years</t>
  </si>
  <si>
    <t>With effect from   22.02.97</t>
  </si>
  <si>
    <t>With effect from 01.07.97</t>
  </si>
  <si>
    <t>With effect from  24.11.97</t>
  </si>
  <si>
    <t>With effect from 29.08.99</t>
  </si>
  <si>
    <t>With effect from 24.10.01</t>
  </si>
  <si>
    <t>With effect from 30.10.01</t>
  </si>
  <si>
    <t xml:space="preserve">    With effect from 01.11.02</t>
  </si>
  <si>
    <t>With effect from 08.11.03</t>
  </si>
  <si>
    <t xml:space="preserve">With effect from 17.07.04   </t>
  </si>
  <si>
    <t xml:space="preserve">With effect from 04.12.05   </t>
  </si>
  <si>
    <t xml:space="preserve">With effect from 13.06.07  </t>
  </si>
  <si>
    <t xml:space="preserve">With effect from 01.07.10  </t>
  </si>
  <si>
    <t xml:space="preserve">  With effect from 01.07.11  </t>
  </si>
  <si>
    <t>With effect from 01.03.12</t>
  </si>
  <si>
    <t>Interest Rates on Construction Loans Provided by House Building Finance Corporation</t>
  </si>
  <si>
    <t xml:space="preserve">INTEREST RATE STRUCTURE OF </t>
  </si>
  <si>
    <t xml:space="preserve">GOVERNMENT SECURITIES / BONDS </t>
  </si>
  <si>
    <t>INTEREST RATE STRUCTURE OF</t>
  </si>
  <si>
    <t xml:space="preserve"> GOVERNMENT SECURITIES/BONDS</t>
  </si>
  <si>
    <t xml:space="preserve">GOVERNMENT SECURITIES/BONDS </t>
  </si>
  <si>
    <t>GOVERNMENT SECURITIES/BONDS</t>
  </si>
  <si>
    <t>d)  Savings Bond (Islami Bond)</t>
  </si>
  <si>
    <t xml:space="preserve">      Total  Domestic         Credit </t>
  </si>
  <si>
    <t>13.00-16.00</t>
  </si>
  <si>
    <t>XC</t>
  </si>
  <si>
    <t>XCI</t>
  </si>
  <si>
    <t>XCII</t>
  </si>
  <si>
    <t>XCIII</t>
  </si>
  <si>
    <t>XCIV</t>
  </si>
  <si>
    <t>XCV</t>
  </si>
  <si>
    <t>XCVI</t>
  </si>
  <si>
    <t>XCVII</t>
  </si>
  <si>
    <t>XCIX</t>
  </si>
  <si>
    <t>C</t>
  </si>
  <si>
    <t xml:space="preserve"> 25.10.12</t>
  </si>
  <si>
    <t xml:space="preserve"> 25.10.32</t>
  </si>
  <si>
    <t xml:space="preserve"> 28.11.12</t>
  </si>
  <si>
    <t xml:space="preserve"> 28.11.32</t>
  </si>
  <si>
    <t>CI</t>
  </si>
  <si>
    <t>15.00-18.00</t>
  </si>
  <si>
    <t>14.00-17.00</t>
  </si>
  <si>
    <t>10.00-18.00</t>
  </si>
  <si>
    <t>11.00-14.00</t>
  </si>
  <si>
    <t>12.00-15.00</t>
  </si>
  <si>
    <t>Income / Primary Income</t>
  </si>
  <si>
    <t>Current Transfers (Net)/ Secondary Income (Net)</t>
  </si>
  <si>
    <t>19=(15+16+17+18)</t>
  </si>
  <si>
    <t xml:space="preserve"> Financial    Account  (Net)</t>
  </si>
  <si>
    <t>Capital Account (Net)</t>
  </si>
  <si>
    <t>Direct  Investment</t>
  </si>
  <si>
    <t xml:space="preserve"> 26.12.12</t>
  </si>
  <si>
    <t xml:space="preserve"> 26.12.32</t>
  </si>
  <si>
    <t>CII</t>
  </si>
  <si>
    <t xml:space="preserve"> 23.01.13</t>
  </si>
  <si>
    <t>CIII</t>
  </si>
  <si>
    <t>End            of        Period</t>
  </si>
  <si>
    <t>Total          (7+8)</t>
  </si>
  <si>
    <t xml:space="preserve"> Private       Sector</t>
  </si>
  <si>
    <t xml:space="preserve"> Net          Other   Assets</t>
  </si>
  <si>
    <t>Net          Domestic      Assets     (11+12)</t>
  </si>
  <si>
    <t>End                   of             Period</t>
  </si>
  <si>
    <t>End                     of             Period</t>
  </si>
  <si>
    <t>Total Domestic Credit</t>
  </si>
  <si>
    <t>Local               Authorities</t>
  </si>
  <si>
    <t>End               of          Period</t>
  </si>
  <si>
    <t>Net  Other Assets</t>
  </si>
  <si>
    <t>End              of        Period</t>
  </si>
  <si>
    <r>
      <t xml:space="preserve">Total         Domestic        Credit       </t>
    </r>
    <r>
      <rPr>
        <sz val="8"/>
        <color indexed="8"/>
        <rFont val="Times New Roman"/>
        <family val="1"/>
      </rPr>
      <t>(8+11+14)</t>
    </r>
  </si>
  <si>
    <t>Net            Other      Assets</t>
  </si>
  <si>
    <t>Net            Domestic         Assets      (15+16)</t>
  </si>
  <si>
    <t xml:space="preserve">Export        (f.o.b) </t>
  </si>
  <si>
    <t>Import        (f.o.b)</t>
  </si>
  <si>
    <t xml:space="preserve">Trade       Balance </t>
  </si>
  <si>
    <t xml:space="preserve">Current            Account        Balance         </t>
  </si>
  <si>
    <t>Crude Petroleum</t>
  </si>
  <si>
    <t xml:space="preserve">Total     Imports        </t>
  </si>
  <si>
    <t>Total   (15 through 35)</t>
  </si>
  <si>
    <t xml:space="preserve">Balance   of Trade         </t>
  </si>
  <si>
    <t xml:space="preserve"> '000'          Metres </t>
  </si>
  <si>
    <t xml:space="preserve"> '000'          Bales</t>
  </si>
  <si>
    <t xml:space="preserve"> Metric      Tons</t>
  </si>
  <si>
    <t xml:space="preserve">  Lac            Sticks</t>
  </si>
  <si>
    <t xml:space="preserve">  Metric   Tons</t>
  </si>
  <si>
    <t xml:space="preserve"> '000'        Gross Box</t>
  </si>
  <si>
    <t xml:space="preserve"> Metric     Tons</t>
  </si>
  <si>
    <t xml:space="preserve"> Metric        Tons</t>
  </si>
  <si>
    <t>End of    Period</t>
  </si>
  <si>
    <t>End of        Period</t>
  </si>
  <si>
    <t xml:space="preserve">  End of          Period</t>
  </si>
  <si>
    <t xml:space="preserve">  End of       Period</t>
  </si>
  <si>
    <t>Excise         Duty</t>
  </si>
  <si>
    <t>Land                 Revenue</t>
  </si>
  <si>
    <t>Other          Taxes</t>
  </si>
  <si>
    <t>Total              Tax</t>
  </si>
  <si>
    <t xml:space="preserve"> Forest       Revenue</t>
  </si>
  <si>
    <t>Foreign           Exchange       Reserves      (end period)</t>
  </si>
  <si>
    <t xml:space="preserve"> Raw Jute</t>
  </si>
  <si>
    <t>Total (1+2)</t>
  </si>
  <si>
    <t>End                  of             Period</t>
  </si>
  <si>
    <t xml:space="preserve"> 27.02.13</t>
  </si>
  <si>
    <t>CIV</t>
  </si>
  <si>
    <t xml:space="preserve">  1) Post Office Savings Deposits</t>
  </si>
  <si>
    <t xml:space="preserve">  2) Interest Rates on National Savings Certificates</t>
  </si>
  <si>
    <t>18.05.16</t>
  </si>
  <si>
    <t>22.06.16</t>
  </si>
  <si>
    <t>23.10.11</t>
  </si>
  <si>
    <t>23.10.20</t>
  </si>
  <si>
    <t>11.04.12</t>
  </si>
  <si>
    <t>16.05.12</t>
  </si>
  <si>
    <t>11.04.22</t>
  </si>
  <si>
    <t>16.05.22</t>
  </si>
  <si>
    <t>13.06.12</t>
  </si>
  <si>
    <t>13.06.22</t>
  </si>
  <si>
    <t>11.07.12</t>
  </si>
  <si>
    <t>22.08.12</t>
  </si>
  <si>
    <t>22.08.22</t>
  </si>
  <si>
    <t>12.09.12</t>
  </si>
  <si>
    <t>10.10.12</t>
  </si>
  <si>
    <t>10.10.22</t>
  </si>
  <si>
    <t>14.11.12</t>
  </si>
  <si>
    <t>12.12.12</t>
  </si>
  <si>
    <t>09.01.13</t>
  </si>
  <si>
    <t>13.02.13</t>
  </si>
  <si>
    <t>13.03.13</t>
  </si>
  <si>
    <t>13.03.23</t>
  </si>
  <si>
    <t>23.10.23</t>
  </si>
  <si>
    <t>23.10.24</t>
  </si>
  <si>
    <t>18.04.12</t>
  </si>
  <si>
    <t>18.04.27</t>
  </si>
  <si>
    <t>23.05.12</t>
  </si>
  <si>
    <t>23.05.27</t>
  </si>
  <si>
    <t>20.06.12</t>
  </si>
  <si>
    <t>20.06.27</t>
  </si>
  <si>
    <t>18.07.12</t>
  </si>
  <si>
    <t>18.07.27</t>
  </si>
  <si>
    <t>19.09.12</t>
  </si>
  <si>
    <t>19.09.27</t>
  </si>
  <si>
    <t>17.10.12</t>
  </si>
  <si>
    <t>17.10.27</t>
  </si>
  <si>
    <t>21.11.12</t>
  </si>
  <si>
    <t>21.11.27</t>
  </si>
  <si>
    <t>19.12.12</t>
  </si>
  <si>
    <t>19.12.27</t>
  </si>
  <si>
    <t>16.01.13</t>
  </si>
  <si>
    <t>16.01.28</t>
  </si>
  <si>
    <t>20.02.13</t>
  </si>
  <si>
    <t>20.02.28</t>
  </si>
  <si>
    <t xml:space="preserve"> 24.08.31</t>
  </si>
  <si>
    <t>23.11.11</t>
  </si>
  <si>
    <t>23.11.31</t>
  </si>
  <si>
    <t>Currency    Outside       Banks        (3-4)</t>
  </si>
  <si>
    <t>End            of       Period</t>
  </si>
  <si>
    <t>From      Banks</t>
  </si>
  <si>
    <t>Time     Deposits</t>
  </si>
  <si>
    <t>Total   (8+9)</t>
  </si>
  <si>
    <t>Post     Office Deposits</t>
  </si>
  <si>
    <t>Inter          Bank    Bills</t>
  </si>
  <si>
    <t xml:space="preserve"> Private    Bills</t>
  </si>
  <si>
    <t>Inter         Bank          Invest-   ment</t>
  </si>
  <si>
    <t>To       Public</t>
  </si>
  <si>
    <t>To         Private</t>
  </si>
  <si>
    <t>To          Public      (18+22+26) </t>
  </si>
  <si>
    <t>To             Private     (19+23+27)</t>
  </si>
  <si>
    <t>From      Govern-   ment</t>
  </si>
  <si>
    <t xml:space="preserve">  From        BB</t>
  </si>
  <si>
    <t>From      Other Financial Institutions</t>
  </si>
  <si>
    <t xml:space="preserve">                           DMBs  Credit                            (Advances + Bills + Investment) </t>
  </si>
  <si>
    <t xml:space="preserve">  From        Inter-    Banks</t>
  </si>
  <si>
    <t>14.09.11</t>
  </si>
  <si>
    <t>14.09.21</t>
  </si>
  <si>
    <t>12.10.11</t>
  </si>
  <si>
    <t>12.10.21</t>
  </si>
  <si>
    <t>10.11.11</t>
  </si>
  <si>
    <t>10.11.21</t>
  </si>
  <si>
    <t>14.12.11</t>
  </si>
  <si>
    <t>14.12.21</t>
  </si>
  <si>
    <t>11.01.12</t>
  </si>
  <si>
    <t>11.01.22</t>
  </si>
  <si>
    <t>15.02.12</t>
  </si>
  <si>
    <t>15.02.22</t>
  </si>
  <si>
    <t>14.03.12</t>
  </si>
  <si>
    <t>14.03.22</t>
  </si>
  <si>
    <t>11.05.11</t>
  </si>
  <si>
    <t>11.05.26</t>
  </si>
  <si>
    <t>15.06.11</t>
  </si>
  <si>
    <t>15.06.26</t>
  </si>
  <si>
    <t>17.08.11</t>
  </si>
  <si>
    <t>17.08.26</t>
  </si>
  <si>
    <t>21.09.11</t>
  </si>
  <si>
    <t>21.09.26</t>
  </si>
  <si>
    <t>19.10.11</t>
  </si>
  <si>
    <t>19.10.26</t>
  </si>
  <si>
    <t>16.11.11</t>
  </si>
  <si>
    <t>16.11.26</t>
  </si>
  <si>
    <t>21.12.11</t>
  </si>
  <si>
    <t>21.12.26</t>
  </si>
  <si>
    <t>18.01.12</t>
  </si>
  <si>
    <t>18.01.27</t>
  </si>
  <si>
    <t>22.02.12</t>
  </si>
  <si>
    <t>22.02.27</t>
  </si>
  <si>
    <t>21.03.12</t>
  </si>
  <si>
    <t>21.03.27</t>
  </si>
  <si>
    <t xml:space="preserve">Note  : </t>
  </si>
  <si>
    <t>10.04.13</t>
  </si>
  <si>
    <t>10.04.23</t>
  </si>
  <si>
    <t>20.03.13</t>
  </si>
  <si>
    <t>20.03.28</t>
  </si>
  <si>
    <t xml:space="preserve"> 27.03.13</t>
  </si>
  <si>
    <t>13.24*</t>
  </si>
  <si>
    <t>08.05.18</t>
  </si>
  <si>
    <t>15.05.13</t>
  </si>
  <si>
    <t>15.05.23</t>
  </si>
  <si>
    <t>17.04.13</t>
  </si>
  <si>
    <t>17.04.28</t>
  </si>
  <si>
    <t xml:space="preserve"> 24.04.13</t>
  </si>
  <si>
    <t>15.24</t>
  </si>
  <si>
    <t>6.23</t>
  </si>
  <si>
    <t>12.06.13</t>
  </si>
  <si>
    <t>12.06.23</t>
  </si>
  <si>
    <t>22.05.13</t>
  </si>
  <si>
    <t>22.05.28</t>
  </si>
  <si>
    <t xml:space="preserve"> 29.05.13</t>
  </si>
  <si>
    <t xml:space="preserve"> 23.01.33</t>
  </si>
  <si>
    <t xml:space="preserve"> 27.02.33</t>
  </si>
  <si>
    <t xml:space="preserve"> 27.03.33</t>
  </si>
  <si>
    <t xml:space="preserve"> 24.04.33</t>
  </si>
  <si>
    <t xml:space="preserve"> 29.05.33</t>
  </si>
  <si>
    <t>448839</t>
  </si>
  <si>
    <t>225</t>
  </si>
  <si>
    <t>239</t>
  </si>
  <si>
    <t>26982</t>
  </si>
  <si>
    <t>29607</t>
  </si>
  <si>
    <t>19.06.13</t>
  </si>
  <si>
    <t>19.06.28</t>
  </si>
  <si>
    <t xml:space="preserve"> 26.06.13</t>
  </si>
  <si>
    <t xml:space="preserve"> 26.06.33</t>
  </si>
  <si>
    <t xml:space="preserve">2-year (BD)Govt. Treasury Bond </t>
  </si>
  <si>
    <t>10 years (Agrani Bank) SPTB</t>
  </si>
  <si>
    <t>29.06.13</t>
  </si>
  <si>
    <t>29.06.23</t>
  </si>
  <si>
    <t>10 years (Janata Bank) SPTB</t>
  </si>
  <si>
    <t>10 years (Sonali Bank) SPTB</t>
  </si>
  <si>
    <t>7 years (BPC)(Agrani Bank) SPTB</t>
  </si>
  <si>
    <t>29.06.20</t>
  </si>
  <si>
    <t>29.06.21</t>
  </si>
  <si>
    <t>8 years (Agrani Bank) SPTB</t>
  </si>
  <si>
    <t>09.07.08</t>
  </si>
  <si>
    <t>09.07.23</t>
  </si>
  <si>
    <t>7 years (BPC)(Janata Bank) SPTB</t>
  </si>
  <si>
    <t>7 years (BPC)(Sonali Bank) SPTB</t>
  </si>
  <si>
    <t>8 years (Janata Bank) SPTB</t>
  </si>
  <si>
    <t>8 years (Sonali Bank) SPTB</t>
  </si>
  <si>
    <t>No. of Instruments</t>
  </si>
  <si>
    <t>Total No. of Branches of State Owned Commerc-ial Banks </t>
  </si>
  <si>
    <t>Ratio of Cash in hand and balances with the BB to Deposits (in percent)</t>
  </si>
  <si>
    <t>Note  :</t>
  </si>
  <si>
    <t>1. Weighted average rates of interest on scheduled banks deposits &amp; advances have been introduced monthly basis instead of  quarterly</t>
  </si>
  <si>
    <t>2013-14</t>
  </si>
  <si>
    <t xml:space="preserve">  24.07.13</t>
  </si>
  <si>
    <t xml:space="preserve"> 24.07.13</t>
  </si>
  <si>
    <t xml:space="preserve"> 24.07.33</t>
  </si>
  <si>
    <t xml:space="preserve">   Urea        (US $/ MT)</t>
  </si>
  <si>
    <t xml:space="preserve">    Sugar                                              (US cents/pound)</t>
  </si>
  <si>
    <t>Rice             (US $/MT)</t>
  </si>
  <si>
    <t xml:space="preserve">  Petroleum              (US$/ Barrel)</t>
  </si>
  <si>
    <t xml:space="preserve"> DSE Broad                   Index</t>
  </si>
  <si>
    <t>17.07.13</t>
  </si>
  <si>
    <t>17.07.23</t>
  </si>
  <si>
    <t>21.08.13</t>
  </si>
  <si>
    <t>21.08.23</t>
  </si>
  <si>
    <t xml:space="preserve">  29.08.13</t>
  </si>
  <si>
    <t xml:space="preserve">  24.07.28</t>
  </si>
  <si>
    <t xml:space="preserve"> 29.08.28</t>
  </si>
  <si>
    <t xml:space="preserve"> 29.08.13</t>
  </si>
  <si>
    <t xml:space="preserve"> 29.08.33</t>
  </si>
  <si>
    <t xml:space="preserve"> Total                        (1+2)</t>
  </si>
  <si>
    <t xml:space="preserve">                      BANK WISE ANNOUNCED INTEREST RATE STRUCTURE </t>
  </si>
  <si>
    <t xml:space="preserve"> Rice                 (US $/MT) </t>
  </si>
  <si>
    <t xml:space="preserve">  Super        phosphate       (US $/ MT)</t>
  </si>
  <si>
    <t>Period      Average</t>
  </si>
  <si>
    <t>End          Period</t>
  </si>
  <si>
    <t xml:space="preserve"> End                  Period</t>
  </si>
  <si>
    <t>End Period</t>
  </si>
  <si>
    <t>Period Average</t>
  </si>
  <si>
    <t xml:space="preserve">  25.09.13</t>
  </si>
  <si>
    <t xml:space="preserve">  25.09.28</t>
  </si>
  <si>
    <t xml:space="preserve">  23.10.13</t>
  </si>
  <si>
    <t xml:space="preserve"> 23.10.28</t>
  </si>
  <si>
    <t xml:space="preserve"> 25.09.13</t>
  </si>
  <si>
    <t xml:space="preserve"> 25.09.33</t>
  </si>
  <si>
    <t xml:space="preserve"> 23.10.13</t>
  </si>
  <si>
    <t xml:space="preserve"> 23.10.33</t>
  </si>
  <si>
    <t xml:space="preserve">         SOME INDICATORS OF INCOME, EXPENDITURE &amp; </t>
  </si>
  <si>
    <t xml:space="preserve">   PROFITABILITY  OF THE BANKING SECTOR</t>
  </si>
  <si>
    <t>20.11.13</t>
  </si>
  <si>
    <t>20.11.23</t>
  </si>
  <si>
    <t xml:space="preserve">  27.11.13</t>
  </si>
  <si>
    <t xml:space="preserve"> 27.11.28</t>
  </si>
  <si>
    <t xml:space="preserve"> 27.11.13</t>
  </si>
  <si>
    <t xml:space="preserve"> 27.11.33</t>
  </si>
  <si>
    <t>2012-13*</t>
  </si>
  <si>
    <t>15.01.14</t>
  </si>
  <si>
    <t>15.01.19</t>
  </si>
  <si>
    <t>26.12.13</t>
  </si>
  <si>
    <t>26.12.28</t>
  </si>
  <si>
    <t>26.12.33</t>
  </si>
  <si>
    <t xml:space="preserve">Figures relating to Islamic Investment Bond is re-classified as claims on other public sector instead of other assets </t>
  </si>
  <si>
    <t>12.02.14</t>
  </si>
  <si>
    <t>12.02.19</t>
  </si>
  <si>
    <t>29.01.14</t>
  </si>
  <si>
    <t>29.01.34</t>
  </si>
  <si>
    <t>29.01.29</t>
  </si>
  <si>
    <t>26.02.14</t>
  </si>
  <si>
    <t>26.02.34</t>
  </si>
  <si>
    <t>26.02.29</t>
  </si>
  <si>
    <t>19.03.14</t>
  </si>
  <si>
    <t>19.03.24</t>
  </si>
  <si>
    <t>12.03.14</t>
  </si>
  <si>
    <t>12.03.19</t>
  </si>
  <si>
    <t>8.00-11.00</t>
  </si>
  <si>
    <t>Short Term FC Deposit Liabilities</t>
  </si>
  <si>
    <t>09.04.14</t>
  </si>
  <si>
    <t>09.04.19</t>
  </si>
  <si>
    <t>27.03.14</t>
  </si>
  <si>
    <t>27.03.29</t>
  </si>
  <si>
    <t>23.04.14</t>
  </si>
  <si>
    <t>23.04.29</t>
  </si>
  <si>
    <t>27.03.34</t>
  </si>
  <si>
    <t>23.04.34</t>
  </si>
  <si>
    <t>6.00-7.00</t>
  </si>
  <si>
    <t>9.00-12.00</t>
  </si>
  <si>
    <t>14.05.14</t>
  </si>
  <si>
    <t>14.05.19</t>
  </si>
  <si>
    <t>06.10.20</t>
  </si>
  <si>
    <t>LXXXI</t>
  </si>
  <si>
    <t>28.05.14</t>
  </si>
  <si>
    <t>28.05.34</t>
  </si>
  <si>
    <t>25.06.34</t>
  </si>
  <si>
    <t>25.06.14</t>
  </si>
  <si>
    <t>28.05.29</t>
  </si>
  <si>
    <t>25.06.29</t>
  </si>
  <si>
    <t>11.06.14</t>
  </si>
  <si>
    <t>11.06.19</t>
  </si>
  <si>
    <t>2011-12*</t>
  </si>
  <si>
    <t>646342</t>
  </si>
  <si>
    <t>14.83</t>
  </si>
  <si>
    <t>6.46</t>
  </si>
  <si>
    <t>688493</t>
  </si>
  <si>
    <t>15.22</t>
  </si>
  <si>
    <t>6.52</t>
  </si>
  <si>
    <t>729897</t>
  </si>
  <si>
    <t>6.01</t>
  </si>
  <si>
    <t>13.62</t>
  </si>
  <si>
    <t>15.37</t>
  </si>
  <si>
    <t>15.58</t>
  </si>
  <si>
    <t>09.07.14</t>
  </si>
  <si>
    <t>09.07.19</t>
  </si>
  <si>
    <t>16.07.14</t>
  </si>
  <si>
    <t>16.07.24</t>
  </si>
  <si>
    <t>2014-15</t>
  </si>
  <si>
    <t>13.08.14</t>
  </si>
  <si>
    <t>13.08.19</t>
  </si>
  <si>
    <t>23.07.14</t>
  </si>
  <si>
    <t>23.07.29</t>
  </si>
  <si>
    <t>27.08.14</t>
  </si>
  <si>
    <t>27.08.29</t>
  </si>
  <si>
    <t>23.07.34</t>
  </si>
  <si>
    <t>27.08.34</t>
  </si>
  <si>
    <t>10.09.14</t>
  </si>
  <si>
    <t>10.09.19</t>
  </si>
  <si>
    <t>24.09.14</t>
  </si>
  <si>
    <t>24.09.29</t>
  </si>
  <si>
    <t>24.09.34</t>
  </si>
  <si>
    <t>788602</t>
  </si>
  <si>
    <t>746761</t>
  </si>
  <si>
    <t>697469</t>
  </si>
  <si>
    <t>51311</t>
  </si>
  <si>
    <t>49265</t>
  </si>
  <si>
    <t>46610</t>
  </si>
  <si>
    <t>12.59**</t>
  </si>
  <si>
    <t>13.19***</t>
  </si>
  <si>
    <t>13.45****</t>
  </si>
  <si>
    <t>11.80*****</t>
  </si>
  <si>
    <t>12.00*****</t>
  </si>
  <si>
    <t>15.10.14</t>
  </si>
  <si>
    <t>15.10.19</t>
  </si>
  <si>
    <t>9.00-10.00</t>
  </si>
  <si>
    <t xml:space="preserve">                                                                  BANK WISE ANNOUNCED INTEREST RATE STRUCTURE </t>
  </si>
  <si>
    <t>2012**</t>
  </si>
  <si>
    <t>12.11.14</t>
  </si>
  <si>
    <t>12.11.19</t>
  </si>
  <si>
    <t>19.11.14</t>
  </si>
  <si>
    <t>19.11.24</t>
  </si>
  <si>
    <t>29.10.14</t>
  </si>
  <si>
    <t>29.10.29</t>
  </si>
  <si>
    <t>26.11.14</t>
  </si>
  <si>
    <t>26.11.29</t>
  </si>
  <si>
    <t>26.11.34</t>
  </si>
  <si>
    <t>29.10.34</t>
  </si>
  <si>
    <t>29.12.30</t>
  </si>
  <si>
    <t>Iron Ore (US $ /MT)</t>
  </si>
  <si>
    <t>China (CFR Tianjin Port)</t>
  </si>
  <si>
    <t>10.12.14</t>
  </si>
  <si>
    <t>10.12.19</t>
  </si>
  <si>
    <t>IIG</t>
  </si>
  <si>
    <t>E-Banking &amp; E-Commerce Statistics</t>
  </si>
  <si>
    <t>IXA</t>
  </si>
  <si>
    <t>IXB</t>
  </si>
  <si>
    <t>IXC</t>
  </si>
  <si>
    <t>XIIA</t>
  </si>
  <si>
    <t>XIIB</t>
  </si>
  <si>
    <t>TABLE-VI</t>
  </si>
  <si>
    <t xml:space="preserve">TABLE- VII </t>
  </si>
  <si>
    <t>TABLE-VIII</t>
  </si>
  <si>
    <t>TABLE-IXA</t>
  </si>
  <si>
    <t>TABLE-IXB</t>
  </si>
  <si>
    <t>TABLE-IXC</t>
  </si>
  <si>
    <t>TABLE-XI</t>
  </si>
  <si>
    <t>TABLE-XIIA (Contd.)</t>
  </si>
  <si>
    <t>TABLE-XIIA (Concld.)</t>
  </si>
  <si>
    <t>TABLE-XIIB</t>
  </si>
  <si>
    <t>TABLE-XIII (Contd.)</t>
  </si>
  <si>
    <t>TABLE-XIII (Concld.)</t>
  </si>
  <si>
    <t>TABLE-XIV</t>
  </si>
  <si>
    <t xml:space="preserve">TABLE-XVII (Contd.) </t>
  </si>
  <si>
    <t xml:space="preserve">TABLE-XVII (Concld.) </t>
  </si>
  <si>
    <t>TABLE-XIX</t>
  </si>
  <si>
    <t>TABLE-XX (Contd.)</t>
  </si>
  <si>
    <t>TABLE-XX (Concld.)</t>
  </si>
  <si>
    <t>TABLE-XXI (Contd.)</t>
  </si>
  <si>
    <t>TABLE-XXI (Concld.)</t>
  </si>
  <si>
    <t>TABLE-XXII</t>
  </si>
  <si>
    <t>Table-XXIII</t>
  </si>
  <si>
    <t xml:space="preserve">                E-BANKING &amp;  E-COMMERCE STATISTICS                   </t>
  </si>
  <si>
    <t xml:space="preserve">Period /Cluster of Banks </t>
  </si>
  <si>
    <t>Cheque Clearing</t>
  </si>
  <si>
    <t>Electronic Fund Transfers (Outward)</t>
  </si>
  <si>
    <t>Cards Transactions</t>
  </si>
  <si>
    <t>Mobile Banking</t>
  </si>
  <si>
    <t>Agent Banking</t>
  </si>
  <si>
    <t>Credit Cards</t>
  </si>
  <si>
    <t>Debit Cards</t>
  </si>
  <si>
    <t>Prepaid Cards Transactions</t>
  </si>
  <si>
    <t xml:space="preserve">Internationally Issued Cards Transactions                   </t>
  </si>
  <si>
    <t>Internationally Issued Cards Transactions</t>
  </si>
  <si>
    <t>MICR Clearing</t>
  </si>
  <si>
    <t>Non-MICR Clearing</t>
  </si>
  <si>
    <t>Usage at POS</t>
  </si>
  <si>
    <t>E-commerce</t>
  </si>
  <si>
    <t>Outstanding Credit (as on)</t>
  </si>
  <si>
    <t>Usage at ATMs</t>
  </si>
  <si>
    <t xml:space="preserve">    E-Commerce          </t>
  </si>
  <si>
    <t>Prepaid Cards</t>
  </si>
  <si>
    <t>No. of Internet Banking Customers (as on)</t>
  </si>
  <si>
    <t>Internet Banking Transactions</t>
  </si>
  <si>
    <t>No. of Mobile Banking Agents (as on)</t>
  </si>
  <si>
    <t>Mobile Banking Transactions</t>
  </si>
  <si>
    <t>No. of Mobile Banking Subscribers (as on)</t>
  </si>
  <si>
    <t>No. of Agents (as on)</t>
  </si>
  <si>
    <t>Agent Banking Transactions</t>
  </si>
  <si>
    <t>No. of Agent Banking Subscribers (as on)</t>
  </si>
  <si>
    <t>Local Transac-tions  (Issuing)</t>
  </si>
  <si>
    <t>Abroad Transac-tions (Issuing)</t>
  </si>
  <si>
    <t>Local Transac-tions (Issuing)</t>
  </si>
  <si>
    <t>Local Transactions (Issuing)</t>
  </si>
  <si>
    <t>Abroad Transactions (Issuing)</t>
  </si>
  <si>
    <t>ATM Transactions (Acquiring)</t>
  </si>
  <si>
    <t>POS Transactions (Acquiring)</t>
  </si>
  <si>
    <t>E-Commerce Transactions (Acquiring)</t>
  </si>
  <si>
    <t xml:space="preserve">No. of Transac-tions </t>
  </si>
  <si>
    <t>No. of Transac-tions</t>
  </si>
  <si>
    <t>No. of Transactions</t>
  </si>
  <si>
    <t>Number</t>
  </si>
  <si>
    <t>3=1+2</t>
  </si>
  <si>
    <t>11=5+6+7+8+9+10</t>
  </si>
  <si>
    <t>19=13+14+15+16+17+18</t>
  </si>
  <si>
    <t>25=22+23+24</t>
  </si>
  <si>
    <t>26=11+19+20+21+25</t>
  </si>
  <si>
    <t xml:space="preserve">             Usage at     ATMs</t>
  </si>
  <si>
    <t xml:space="preserve">              E-BANKING &amp;  E-COMMERCE STATISTICS                   </t>
  </si>
  <si>
    <t xml:space="preserve">Note: </t>
  </si>
  <si>
    <t>SCBs</t>
  </si>
  <si>
    <t>SBs</t>
  </si>
  <si>
    <t>PCBs</t>
  </si>
  <si>
    <t>Table IIG (Contd.)</t>
  </si>
  <si>
    <t>Cards   Transactions</t>
  </si>
  <si>
    <t>Internet   Banking</t>
  </si>
  <si>
    <t>No. of POS (in actual) (as on)</t>
  </si>
  <si>
    <t>Table IIG (Concld.)</t>
  </si>
  <si>
    <t>No. of ATMs (in actual) (as on)</t>
  </si>
  <si>
    <t xml:space="preserve">                  Cards    Transactions                                                                                                                                                             </t>
  </si>
  <si>
    <t>14.01.15</t>
  </si>
  <si>
    <t>14.01.20</t>
  </si>
  <si>
    <t>No. of Transa-ctions</t>
  </si>
  <si>
    <t>No. of Transacti-ons</t>
  </si>
  <si>
    <t>11.02.15</t>
  </si>
  <si>
    <t>11.02.20</t>
  </si>
  <si>
    <t>Exports (fob)</t>
  </si>
  <si>
    <t>Tk/US Dollar</t>
  </si>
  <si>
    <t xml:space="preserve">Million US $ </t>
  </si>
  <si>
    <t>UK Pound Sterling</t>
  </si>
  <si>
    <t>11.03.15</t>
  </si>
  <si>
    <t>11.03.20</t>
  </si>
  <si>
    <t>FCBs</t>
  </si>
  <si>
    <t>15.04.15</t>
  </si>
  <si>
    <t>15.04.20</t>
  </si>
  <si>
    <t>22.04.15</t>
  </si>
  <si>
    <t>22.04.25</t>
  </si>
  <si>
    <t>08.09.10</t>
  </si>
  <si>
    <t xml:space="preserve">With effect from 01.07.12  </t>
  </si>
  <si>
    <t>With effect from 23.05.15  &amp; onwards</t>
  </si>
  <si>
    <t>11.28*</t>
  </si>
  <si>
    <t>11.04**</t>
  </si>
  <si>
    <t>11.28***</t>
  </si>
  <si>
    <t>11.76***</t>
  </si>
  <si>
    <t>11.52****</t>
  </si>
  <si>
    <t>774136</t>
  </si>
  <si>
    <t>12.07</t>
  </si>
  <si>
    <t>6.06</t>
  </si>
  <si>
    <t>15.79</t>
  </si>
  <si>
    <t>XXVl</t>
  </si>
  <si>
    <t>2005-06*</t>
  </si>
  <si>
    <t>482337</t>
  </si>
  <si>
    <t>516383</t>
  </si>
  <si>
    <t>547437</t>
  </si>
  <si>
    <t>575056</t>
  </si>
  <si>
    <t>607097</t>
  </si>
  <si>
    <t>509545</t>
  </si>
  <si>
    <t>549505</t>
  </si>
  <si>
    <t>589547</t>
  </si>
  <si>
    <t>620614</t>
  </si>
  <si>
    <t>656241</t>
  </si>
  <si>
    <t>13.99</t>
  </si>
  <si>
    <t>14.35</t>
  </si>
  <si>
    <t>12.15</t>
  </si>
  <si>
    <t>13.11</t>
  </si>
  <si>
    <t>6.67</t>
  </si>
  <si>
    <t>7.06</t>
  </si>
  <si>
    <t>5.05</t>
  </si>
  <si>
    <t>5.57</t>
  </si>
  <si>
    <t>13.98</t>
  </si>
  <si>
    <t>14.18</t>
  </si>
  <si>
    <t>14.38</t>
  </si>
  <si>
    <t>14.58</t>
  </si>
  <si>
    <t>14.78</t>
  </si>
  <si>
    <t>36448</t>
  </si>
  <si>
    <t>34502</t>
  </si>
  <si>
    <t>36416</t>
  </si>
  <si>
    <t>41000</t>
  </si>
  <si>
    <t>42569</t>
  </si>
  <si>
    <t>44403</t>
  </si>
  <si>
    <t>38753</t>
  </si>
  <si>
    <t>38069</t>
  </si>
  <si>
    <t>39441</t>
  </si>
  <si>
    <t>41076</t>
  </si>
  <si>
    <t>30=27+28+29</t>
  </si>
  <si>
    <t xml:space="preserve">Number </t>
  </si>
  <si>
    <t>Number of Cards (net) (as on)</t>
  </si>
  <si>
    <t>16.07.15</t>
  </si>
  <si>
    <t>16.07.20</t>
  </si>
  <si>
    <t>2015-16</t>
  </si>
  <si>
    <t>12.08.15</t>
  </si>
  <si>
    <t>12.08.20</t>
  </si>
  <si>
    <t>29.07.15</t>
  </si>
  <si>
    <t>29.07.35</t>
  </si>
  <si>
    <t>22.07.15</t>
  </si>
  <si>
    <t>22.07.25</t>
  </si>
  <si>
    <t xml:space="preserve">SCBs=State-Owned Commercial Banks; SBs = Specialized Banks; PCBs = Private Commercial Banks; FCBs= Foreign Commercial Banks </t>
  </si>
  <si>
    <t>09.09.15</t>
  </si>
  <si>
    <t>09.09.20</t>
  </si>
  <si>
    <t>26.08.15</t>
  </si>
  <si>
    <t>26.08.30</t>
  </si>
  <si>
    <t>16.09.15</t>
  </si>
  <si>
    <t>16.09.25</t>
  </si>
  <si>
    <t>26.08.35</t>
  </si>
  <si>
    <t>23.09.15</t>
  </si>
  <si>
    <t>23.09.35</t>
  </si>
  <si>
    <t>23.09.30</t>
  </si>
  <si>
    <t>14.10.15</t>
  </si>
  <si>
    <t>14.10.20</t>
  </si>
  <si>
    <t xml:space="preserve"> Spread   (66-65)</t>
  </si>
  <si>
    <t xml:space="preserve"> Spread   (69-68)</t>
  </si>
  <si>
    <t xml:space="preserve">... = Not Available </t>
  </si>
  <si>
    <r>
      <t>Total Expenditure</t>
    </r>
    <r>
      <rPr>
        <sz val="8"/>
        <color indexed="8"/>
        <rFont val="Times New Roman"/>
        <family val="1"/>
      </rPr>
      <t>***</t>
    </r>
  </si>
  <si>
    <t>11.11.15</t>
  </si>
  <si>
    <t>28.10.15</t>
  </si>
  <si>
    <t>28.10.35</t>
  </si>
  <si>
    <t>28.10.30</t>
  </si>
  <si>
    <t>18.11.15</t>
  </si>
  <si>
    <t>18.11.25</t>
  </si>
  <si>
    <t>09.12.15</t>
  </si>
  <si>
    <t>09.12.20</t>
  </si>
  <si>
    <t>17.12.15</t>
  </si>
  <si>
    <t>25.11.15</t>
  </si>
  <si>
    <t>LXXXVIl</t>
  </si>
  <si>
    <t>LXXXVIIl</t>
  </si>
  <si>
    <t>25.11.35</t>
  </si>
  <si>
    <t>25.11.30</t>
  </si>
  <si>
    <t>17.12.25</t>
  </si>
  <si>
    <t>Jan-Mar</t>
  </si>
  <si>
    <t>Apr-Jun</t>
  </si>
  <si>
    <t>Jul-Sep</t>
  </si>
  <si>
    <t>6.00-6.50</t>
  </si>
  <si>
    <t xml:space="preserve">    </t>
  </si>
  <si>
    <t>5.50-5.75</t>
  </si>
  <si>
    <t>13.01.16</t>
  </si>
  <si>
    <t>10.02.16</t>
  </si>
  <si>
    <t>20.01.16</t>
  </si>
  <si>
    <t>20.01.26</t>
  </si>
  <si>
    <t>27.01.16</t>
  </si>
  <si>
    <t>27.01.31</t>
  </si>
  <si>
    <t>27.01.36</t>
  </si>
  <si>
    <t>17.02.16</t>
  </si>
  <si>
    <t>17.02.26</t>
  </si>
  <si>
    <t>24.02.16</t>
  </si>
  <si>
    <t>24.02.31</t>
  </si>
  <si>
    <t>24.02.36</t>
  </si>
  <si>
    <t>31.1034768 gms.</t>
  </si>
  <si>
    <t>4.25-4.50</t>
  </si>
  <si>
    <t>0.75-5.00</t>
  </si>
  <si>
    <t>5.50-8.50</t>
  </si>
  <si>
    <t>8.50-11.50</t>
  </si>
  <si>
    <t xml:space="preserve">… = Not available  </t>
  </si>
  <si>
    <t>Local        Authorities</t>
  </si>
  <si>
    <t>824862</t>
  </si>
  <si>
    <t>878410</t>
  </si>
  <si>
    <t>12.81</t>
  </si>
  <si>
    <t>6.55</t>
  </si>
  <si>
    <t>53013</t>
  </si>
  <si>
    <t>09.03.16</t>
  </si>
  <si>
    <t>11.11.20</t>
  </si>
  <si>
    <t>13.01.21</t>
  </si>
  <si>
    <t>10.02.21</t>
  </si>
  <si>
    <t>09.03.21</t>
  </si>
  <si>
    <t>16.03.26</t>
  </si>
  <si>
    <t>23.03.16</t>
  </si>
  <si>
    <t>23.03.36</t>
  </si>
  <si>
    <t>9.50-12.50</t>
  </si>
  <si>
    <t>10.50-13.50</t>
  </si>
  <si>
    <t>11.50-14.50</t>
  </si>
  <si>
    <t>13.50-16.50</t>
  </si>
  <si>
    <t>12.50-15.50</t>
  </si>
  <si>
    <t>7.50-10.50</t>
  </si>
  <si>
    <t xml:space="preserve">   Milk &amp;      Dairy  Products</t>
  </si>
  <si>
    <t>13.04.16</t>
  </si>
  <si>
    <t>13.04.21</t>
  </si>
  <si>
    <t>20.04.26</t>
  </si>
  <si>
    <t>27.04.16</t>
  </si>
  <si>
    <t>27.04.36</t>
  </si>
  <si>
    <t>6.00-9.00</t>
  </si>
  <si>
    <t>11.05.16</t>
  </si>
  <si>
    <t>11.05.21</t>
  </si>
  <si>
    <t>18.05.26</t>
  </si>
  <si>
    <t>25.05.16</t>
  </si>
  <si>
    <t>25.05.31</t>
  </si>
  <si>
    <t>25.05.36</t>
  </si>
  <si>
    <t>2016-17</t>
  </si>
  <si>
    <t>Note: From period 2015 BDBL &amp; BASIC banks are treated as State Owned Banks</t>
  </si>
  <si>
    <t>13.07.16</t>
  </si>
  <si>
    <t>15.06.16</t>
  </si>
  <si>
    <t>15.06.21</t>
  </si>
  <si>
    <t>10.08.16</t>
  </si>
  <si>
    <t>20.07.16</t>
  </si>
  <si>
    <t>20.07.26</t>
  </si>
  <si>
    <t>22.06.26</t>
  </si>
  <si>
    <t>29.06.16</t>
  </si>
  <si>
    <t>29.06.31</t>
  </si>
  <si>
    <t>27.07.16</t>
  </si>
  <si>
    <t>27.07.31</t>
  </si>
  <si>
    <t>25.05.11</t>
  </si>
  <si>
    <t>29.06.11</t>
  </si>
  <si>
    <t>27.07.11</t>
  </si>
  <si>
    <t xml:space="preserve"> 28.09.31</t>
  </si>
  <si>
    <t>29.06.36</t>
  </si>
  <si>
    <t>27.07.36</t>
  </si>
  <si>
    <t>17.08.16</t>
  </si>
  <si>
    <t>24.08.16</t>
  </si>
  <si>
    <t>24.08.31</t>
  </si>
  <si>
    <t>Rate of interest of Scheduled Banks (Weighted Average)</t>
  </si>
  <si>
    <t>Rate of interest of NBFIs (Weighted Average)</t>
  </si>
  <si>
    <t xml:space="preserve">2016-17 </t>
  </si>
  <si>
    <t xml:space="preserve">July </t>
  </si>
  <si>
    <t>COMPANY /SECTOR                                                                                                                                             GROUPS</t>
  </si>
  <si>
    <t>9.00-14.00</t>
  </si>
  <si>
    <t xml:space="preserve">    --- = Not Available</t>
  </si>
  <si>
    <t xml:space="preserve">Figures relating to Islamic Investment Bond are re-classified as claims on other public sector instead of other assets  </t>
  </si>
  <si>
    <t xml:space="preserve"> By NBDCs       In Taka A/C</t>
  </si>
  <si>
    <t>13.10.16</t>
  </si>
  <si>
    <t>13.10.21</t>
  </si>
  <si>
    <t>XCVIII</t>
  </si>
  <si>
    <t>29.09.16</t>
  </si>
  <si>
    <t>19.10.16</t>
  </si>
  <si>
    <t>28.09.16</t>
  </si>
  <si>
    <t>28.09.31</t>
  </si>
  <si>
    <t>28.09.36</t>
  </si>
  <si>
    <t>26.10.11</t>
  </si>
  <si>
    <t>24.08.11</t>
  </si>
  <si>
    <t>28.09.11</t>
  </si>
  <si>
    <t>*= New base year 2005-06</t>
  </si>
  <si>
    <t>09.11.16</t>
  </si>
  <si>
    <t>09.11.21</t>
  </si>
  <si>
    <t>26.10.16</t>
  </si>
  <si>
    <t>26.10.31</t>
  </si>
  <si>
    <t>28.12.11</t>
  </si>
  <si>
    <t>26.10.36</t>
  </si>
  <si>
    <t>14.12.16</t>
  </si>
  <si>
    <t>16.11.16</t>
  </si>
  <si>
    <t>23.11.16</t>
  </si>
  <si>
    <t>23.11.36</t>
  </si>
  <si>
    <t>3.55-6.00</t>
  </si>
  <si>
    <t>4.75-5.00</t>
  </si>
  <si>
    <t>55631</t>
  </si>
  <si>
    <t>United States (Kansas City)</t>
  </si>
  <si>
    <t>Palm Oil                         (US $/MT)</t>
  </si>
  <si>
    <t>Wheat                                                   (US $/MT)</t>
  </si>
  <si>
    <t>03.01.17</t>
  </si>
  <si>
    <t>03.01.19</t>
  </si>
  <si>
    <t>11.01.17</t>
  </si>
  <si>
    <t>21.12.16</t>
  </si>
  <si>
    <t>28.12.16</t>
  </si>
  <si>
    <t>28.12.31</t>
  </si>
  <si>
    <t>28.12.36</t>
  </si>
  <si>
    <t>Import Payments</t>
  </si>
  <si>
    <t>5.00-5.75</t>
  </si>
  <si>
    <t>15.02.17</t>
  </si>
  <si>
    <t>05.02.22</t>
  </si>
  <si>
    <t>18.01.17</t>
  </si>
  <si>
    <t>25.01.17</t>
  </si>
  <si>
    <t>25.01.32</t>
  </si>
  <si>
    <t>25.01.37</t>
  </si>
  <si>
    <t>Government Notes &amp; Coins</t>
  </si>
  <si>
    <t>=100 &amp; new base 2005-06=100)</t>
  </si>
  <si>
    <t>from October 2004 to December 2015 and again reclassified as claims on Govt. from January 2016 &amp; onwards</t>
  </si>
  <si>
    <t>3. Export data are shipment based &amp; Import data are on C&amp;F/CIF basis upto June 2014 and fob basis from July 2014 &amp; onwards</t>
  </si>
  <si>
    <t>Statistics Department,  Bangladesh Bank  </t>
  </si>
  <si>
    <t>Statistics Department , Bangladesh Bank  </t>
  </si>
  <si>
    <t>Statistics Department, Bangladesh Bank  </t>
  </si>
  <si>
    <t>Statistics Department, Bangladesh Bank</t>
  </si>
  <si>
    <r>
      <t xml:space="preserve">Source : </t>
    </r>
    <r>
      <rPr>
        <sz val="7"/>
        <rFont val="Times New Roman"/>
        <family val="1"/>
      </rPr>
      <t xml:space="preserve"> Statistics Department, Bangladesh Bank</t>
    </r>
  </si>
  <si>
    <t xml:space="preserve">     Source: Statistics Department, Bangladesh Bank</t>
  </si>
  <si>
    <t xml:space="preserve">Source: Statistics Department, Bangladesh Bank   </t>
  </si>
  <si>
    <t xml:space="preserve">Statistics Department,   Bangladesh Bank      </t>
  </si>
  <si>
    <r>
      <rPr>
        <b/>
        <sz val="8"/>
        <rFont val="Times New Roman"/>
        <family val="1"/>
      </rPr>
      <t>Source  :</t>
    </r>
    <r>
      <rPr>
        <sz val="8"/>
        <rFont val="Times New Roman"/>
        <family val="1"/>
      </rPr>
      <t xml:space="preserve">  Bangladesh Bureau of Statistics</t>
    </r>
  </si>
  <si>
    <r>
      <rPr>
        <b/>
        <sz val="8"/>
        <color indexed="8"/>
        <rFont val="Times New Roman"/>
        <family val="1"/>
      </rPr>
      <t xml:space="preserve">Source : </t>
    </r>
    <r>
      <rPr>
        <sz val="8"/>
        <color indexed="8"/>
        <rFont val="Times New Roman"/>
        <family val="1"/>
      </rPr>
      <t xml:space="preserve"> Bangladesh Bureau of Statistics</t>
    </r>
  </si>
  <si>
    <t>Bangladesh Bureau of Statistics</t>
  </si>
  <si>
    <t xml:space="preserve"> *= New base Year 2005-06</t>
  </si>
  <si>
    <r>
      <t>Source</t>
    </r>
    <r>
      <rPr>
        <sz val="8"/>
        <rFont val="Times New Roman"/>
        <family val="1"/>
      </rPr>
      <t xml:space="preserve"> : Bangladesh Bureau of Statistics</t>
    </r>
  </si>
  <si>
    <t xml:space="preserve">   *= New base year 2005-06</t>
  </si>
  <si>
    <t xml:space="preserve">Source  :  Banking Regulation &amp; Policy Department, Bangladesh Bank                                                                                                                                  </t>
  </si>
  <si>
    <r>
      <t>Source :</t>
    </r>
    <r>
      <rPr>
        <sz val="7"/>
        <color indexed="8"/>
        <rFont val="Times New Roman"/>
        <family val="1"/>
      </rPr>
      <t xml:space="preserve"> Statistics Department, Bangladesh Bank</t>
    </r>
  </si>
  <si>
    <t>Debt Management Department, Bangladesh Bank</t>
  </si>
  <si>
    <t>Source: Statistics Department, Bangladesh Bank</t>
  </si>
  <si>
    <t>Statistics Deparement, Bangladesh Bank</t>
  </si>
  <si>
    <t>International Financial Statistics</t>
  </si>
  <si>
    <t>11.00-12.00</t>
  </si>
  <si>
    <t>9.75-12.75</t>
  </si>
  <si>
    <t>NSD</t>
  </si>
  <si>
    <t>1. Bangladesh Jute Association</t>
  </si>
  <si>
    <t>              2. Department of Agricultural Marketing</t>
  </si>
  <si>
    <t>              3. Bangladesh Bureau of Statistics</t>
  </si>
  <si>
    <t>              4. Bangladesh Tea Board</t>
  </si>
  <si>
    <t>22.02.17</t>
  </si>
  <si>
    <t>01.03.17</t>
  </si>
  <si>
    <t>01.03.32</t>
  </si>
  <si>
    <t>01.03.37</t>
  </si>
  <si>
    <t>27.08.28</t>
  </si>
  <si>
    <t>Pharmaceu-ticals &amp; Chemicals</t>
  </si>
  <si>
    <t>Fuel &amp; Power</t>
  </si>
  <si>
    <t>Food &amp; Allied Products</t>
  </si>
  <si>
    <t>Paper &amp; Printing</t>
  </si>
  <si>
    <t>Services &amp; Real Estate</t>
  </si>
  <si>
    <t>Import &amp; Inland Bills Purchased and Discounted</t>
  </si>
  <si>
    <t>Forex Reserves &amp; Exchange Rate)</t>
  </si>
  <si>
    <t xml:space="preserve">Selected Economic Indicators ( Inflation, Production Index, Foreign Trade, Forex Reserves &amp; Exchange Rate) </t>
  </si>
  <si>
    <t>Reserve Money &amp; its Components</t>
  </si>
  <si>
    <t>Reserve Money &amp; its Sources</t>
  </si>
  <si>
    <t>RESERVE MONEY &amp; ITS COMPONENTS</t>
  </si>
  <si>
    <t>RESERVE MONEY &amp; ITS SOURCES</t>
  </si>
  <si>
    <t xml:space="preserve">Net Errors &amp; Ommissions                                    </t>
  </si>
  <si>
    <t>FOREIGN DIRECT INVESTMENT (FDI) INFLOWS &amp; STOCKS BY COMPONENTS IN BANGLADESH</t>
  </si>
  <si>
    <t>Foreign Direct Investment (FDI) Inflows &amp; Stocks by Components in Bangladesh</t>
  </si>
  <si>
    <t>Naptha, Furnace oil &amp; Bitumen</t>
  </si>
  <si>
    <t xml:space="preserve">Plastic &amp; Rubber arti-cles thereof </t>
  </si>
  <si>
    <t>Textile &amp; articles thereof</t>
  </si>
  <si>
    <t>Iron &amp; Steel</t>
  </si>
  <si>
    <t>Consumer Price Index &amp; Inflation Rate in Bangladesh</t>
  </si>
  <si>
    <t xml:space="preserve">CONSUMER PRICE INDEX &amp; </t>
  </si>
  <si>
    <t>Medical care &amp; Health Expenses</t>
  </si>
  <si>
    <t>Hides &amp; Skins (wholesale)</t>
  </si>
  <si>
    <t>Mining &amp; Quarry-ing</t>
  </si>
  <si>
    <t>Whole-sale      &amp; Retail Trade</t>
  </si>
  <si>
    <t>Hotel &amp; Restau-rants</t>
  </si>
  <si>
    <t>Transport, Storage &amp; Commu-nication</t>
  </si>
  <si>
    <t>Real Estate, Renting &amp; Business Activities</t>
  </si>
  <si>
    <t>Public Adminis-tration     &amp; Defence</t>
  </si>
  <si>
    <t>Health &amp;      Social Works</t>
  </si>
  <si>
    <t>Commu-nity, Social &amp; Personal Services</t>
  </si>
  <si>
    <t>Agricul-ture &amp; Forestry</t>
  </si>
  <si>
    <t>Whole-sale     &amp; Retail Trade</t>
  </si>
  <si>
    <t xml:space="preserve">INDEX NUMBER OF ORDINARY SHARE PRICES, TURN OVER, ISSUED CAPITAL &amp; </t>
  </si>
  <si>
    <t>Index Number of  Ordinary Share Prices, Turn Over, Issued Capital &amp; Total Number of Companies Listed with the Dhaka Stock Exchange Ltd.</t>
  </si>
  <si>
    <t xml:space="preserve"> BANK RATE &amp; INTEREST RATE STRUCTURE OF POST OFFICE SAVINGS BANK, HOUSE  </t>
  </si>
  <si>
    <t xml:space="preserve"> BUILDING FINANCE CORPORATION &amp; NATIONAL SAVINGS CERTIFICATES     </t>
  </si>
  <si>
    <t>Bank Rate &amp; Interest Rate Structure of Post Office Savings Bank, House Building Finance Corporation &amp; National Savings Certificates</t>
  </si>
  <si>
    <t>100.00 crore &amp; above</t>
  </si>
  <si>
    <t>1)   Bureau of Manpower, Employment &amp; Training</t>
  </si>
  <si>
    <t>From July'14 Myanmar Kyat has been changed due to floating exchange rate</t>
  </si>
  <si>
    <t>UK  Pound   Sterling</t>
  </si>
  <si>
    <t>UAE  Derham</t>
  </si>
  <si>
    <t>OF THE GOVERNMENT UNDER NBR &amp; OTHERS</t>
  </si>
  <si>
    <t>Selected Tax Revenue Receipts of the Government Under NBR &amp; Others</t>
  </si>
  <si>
    <t>Number of Persons Left for Abroad on Employment &amp; Total Workers’ Remittances</t>
  </si>
  <si>
    <t>NUMBER OF PERSONS LEFT FOR ABROAD ON EMPLOYMENT  &amp;  TOTAL WORKERS'  REMITTANCES</t>
  </si>
  <si>
    <t>Selected Economic Indicators (Money &amp; Banking)</t>
  </si>
  <si>
    <t xml:space="preserve">(Money &amp; </t>
  </si>
  <si>
    <t>(Money &amp;</t>
  </si>
  <si>
    <t xml:space="preserve">            (Money &amp;</t>
  </si>
  <si>
    <t>Appendix : Weights &amp; Measures</t>
  </si>
  <si>
    <t>Weights &amp; Measures</t>
  </si>
  <si>
    <t>Note : F &amp; C indicate Fahrenheit &amp; Celsius Scale Respectively</t>
  </si>
  <si>
    <t>Statistics Department, Bangladesh Bank and EPB</t>
  </si>
  <si>
    <t>1. Upto June'12 data was complied on the basis of IMFs' BPM5 &amp; From July'12, BPM6 has been implemented</t>
  </si>
  <si>
    <t>2)  Upto May, 2016 Foreign Exchange Policy Department &amp; From June, 2016 Statistics Department, Bangladesh Bank</t>
  </si>
  <si>
    <t>Suggestions/Comments for improvement in the contents of this booklet would  highly be appreciated. Users may kindly contact the following email addresses with their suggestions/comments and queries, if any:</t>
  </si>
  <si>
    <t xml:space="preserve">Head Office, Dhaka    </t>
  </si>
  <si>
    <t>Market price (f.o.b.) of Raw Jute of Narayangonj</t>
  </si>
  <si>
    <t>iii)  9 percent of savings deposits are included in Demand Deposits with effect from July 2007</t>
  </si>
  <si>
    <t>Oct-Dec</t>
  </si>
  <si>
    <t>i)  DMBs advances to public &amp; private include balances with OFIs, NFIs, NBDCs and money at call &amp; short notice</t>
  </si>
  <si>
    <t xml:space="preserve">1. Total number of Clearing House Centres are 39 of which 8 are managed by the Bangladesh Bank &amp; the rest by the Sonali Bank Ltd </t>
  </si>
  <si>
    <t xml:space="preserve">Scheduled banks' branches exclude branches outside Bangladesh        </t>
  </si>
  <si>
    <t xml:space="preserve">2. Due to inclusion of Table IIG (column 3) figure of column 56 &amp; 57  have been dropped from July 2014 </t>
  </si>
  <si>
    <t xml:space="preserve"> rates from July 2009 &amp; onwards</t>
  </si>
  <si>
    <t>Rate of inflation (Base: 1995-96) data discontinued from August 2013 due to dropping of BBS data</t>
  </si>
  <si>
    <t>Wholesale Price Indices data discontinued from 2006-07 due to dropping of BBS data</t>
  </si>
  <si>
    <t>2. 12- month average changes in CPI indicate the average change of the last  12- month over the corresponding previous 12- month</t>
  </si>
  <si>
    <t>1. Point- to- point changes in CPI indicate the changes over the corresponding month of the previous year</t>
  </si>
  <si>
    <t>1. Export figures  include that of EPZ</t>
  </si>
  <si>
    <t>2. Weighted average exchange rate represents the inter-bank exchange rate</t>
  </si>
  <si>
    <t>1. Export Promotion Bureau (EPB) for export data    2. Statistics Department, Bangladesh Bank for import data</t>
  </si>
  <si>
    <t>3. Accounts &amp; Budgeting Department, Bangladesh Bank for foreign exchange reserves</t>
  </si>
  <si>
    <t xml:space="preserve">      deposits held in the banking system (BB &amp; DMBs)</t>
  </si>
  <si>
    <t xml:space="preserve">NBDC  =  Non-Bank Depository Corporation </t>
  </si>
  <si>
    <t xml:space="preserve">NSD =  National Savings Directorate                                                                                                                                                                           </t>
  </si>
  <si>
    <t>MICR= Magnetic Ink Character Recognition; ATM = Automated Teller Machine; POS = Point of Sale</t>
  </si>
  <si>
    <t>i) Data have been valued using the concept of the "Own Funds at Book Value (OFBV)", which may differ from market value of stocks</t>
  </si>
  <si>
    <t>ii) Inflow figures are recorded as during the period but stock figures are recorded as end period</t>
  </si>
  <si>
    <t>Export data are on fob basis</t>
  </si>
  <si>
    <t>Figures within the parentheses indicate the percentage of sectoral share to total GDP at current market price</t>
  </si>
  <si>
    <t>Figures within the parentheses indicate the percentage of sectoral share to total GDP at constant market price</t>
  </si>
  <si>
    <r>
      <t>Note</t>
    </r>
    <r>
      <rPr>
        <sz val="8"/>
        <rFont val="Times New Roman"/>
        <family val="1"/>
      </rPr>
      <t xml:space="preserve">     : Figures within parentheses represent million US dollar</t>
    </r>
  </si>
  <si>
    <t>Dhaka Stock Exchange Ltd (DSE)</t>
  </si>
  <si>
    <t>***Total expenditure includes foreign currency revaluation (loss)                        …= Not applicable/available</t>
  </si>
  <si>
    <t>Six decimal places is used for conversion of US$ to Tk</t>
  </si>
  <si>
    <t>Upto May, 2016 Foreign Exchange Policy Department &amp; From June, 2016 Statistics Department, Bangladesh Bank</t>
  </si>
  <si>
    <t>2. Exchange rates between Taka &amp; other foreign currencies (except USD) are based on their cross rates with US dollar</t>
  </si>
  <si>
    <r>
      <t>Source:</t>
    </r>
    <r>
      <rPr>
        <sz val="8"/>
        <color indexed="8"/>
        <rFont val="Times New Roman"/>
        <family val="1"/>
      </rPr>
      <t xml:space="preserve"> National Board of Revenue and Bangladesh Bureau of Statistics</t>
    </r>
  </si>
  <si>
    <t xml:space="preserve">             ... = Not available                    P = Provisional   </t>
  </si>
  <si>
    <t>Oct- Dec</t>
  </si>
  <si>
    <t>Jan- Mar</t>
  </si>
  <si>
    <t>Apr- Jun</t>
  </si>
  <si>
    <t>Jul- Sep</t>
  </si>
  <si>
    <t xml:space="preserve">Al-Arafah  Islami Bank </t>
  </si>
  <si>
    <t>Bangladesh Bank (BB) Notes</t>
  </si>
  <si>
    <t xml:space="preserve">NBDC=Non-Bank Depository Corporation                             </t>
  </si>
  <si>
    <t xml:space="preserve">1. Taka/USD exchange rate represents the mid-value of buying &amp; selling  rates of Bangladesh Bank ( up to May 30, 2003)   </t>
  </si>
  <si>
    <t>(+) indicates appreciation while (-) indicates depreciation</t>
  </si>
  <si>
    <t>07.06.17</t>
  </si>
  <si>
    <t>.07.06.19</t>
  </si>
  <si>
    <t>Banks have been subdivided into banks and financial institutions &amp; Investment has been renamed as mutual fund from January'10</t>
  </si>
  <si>
    <r>
      <t xml:space="preserve">Note     :      </t>
    </r>
    <r>
      <rPr>
        <sz val="7"/>
        <rFont val="Times New Roman"/>
        <family val="1"/>
      </rPr>
      <t xml:space="preserve">Miscellaneous includes IT-Sector, Tannery, Ceramic, Travel &amp; Corporate bond </t>
    </r>
  </si>
  <si>
    <t>P=Provisional</t>
  </si>
  <si>
    <t>5.00-5.50</t>
  </si>
  <si>
    <t>05.07.17</t>
  </si>
  <si>
    <t>05.07.19</t>
  </si>
  <si>
    <t>12.07.17</t>
  </si>
  <si>
    <t>12.07.22</t>
  </si>
  <si>
    <t>21.06.17</t>
  </si>
  <si>
    <t>21.06.27</t>
  </si>
  <si>
    <t>22.06.17</t>
  </si>
  <si>
    <t>22.06.32</t>
  </si>
  <si>
    <t>22.06.37</t>
  </si>
  <si>
    <t>19.07.17</t>
  </si>
  <si>
    <t>19.07.27</t>
  </si>
  <si>
    <t>2017-18</t>
  </si>
  <si>
    <t>4.00-9.00</t>
  </si>
  <si>
    <t>BKB</t>
  </si>
  <si>
    <t>7.00-9.00</t>
  </si>
  <si>
    <t>7.50-9.00</t>
  </si>
  <si>
    <t>8.00-9.00</t>
  </si>
  <si>
    <t>14.06.17</t>
  </si>
  <si>
    <t>14.06.22</t>
  </si>
  <si>
    <t>4.00-7.00</t>
  </si>
  <si>
    <t>2.75-3.75</t>
  </si>
  <si>
    <t>06.09.17</t>
  </si>
  <si>
    <t>06.09.19</t>
  </si>
  <si>
    <t>13.09.17</t>
  </si>
  <si>
    <t>13.09.22</t>
  </si>
  <si>
    <r>
      <t>Balances with BB</t>
    </r>
    <r>
      <rPr>
        <b/>
        <vertAlign val="superscript"/>
        <sz val="10"/>
        <rFont val="Times New Roman"/>
        <family val="1"/>
      </rPr>
      <t>1</t>
    </r>
  </si>
  <si>
    <t>2.Total credit to government (gross) by the banking system equals to total claims on government (gross) excluding government</t>
  </si>
  <si>
    <t xml:space="preserve"> currency held in BB &amp; counter entry for government currency    3. Amount in Government over-draft A/C.  is included in loans &amp; advances by Bangladesh Bank </t>
  </si>
  <si>
    <t>1.  Balance with BB excludes FC clearing A/C</t>
  </si>
  <si>
    <r>
      <t>Total Credit to Govt.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(45+46+ 47+48)</t>
    </r>
  </si>
  <si>
    <r>
      <t xml:space="preserve">Loans &amp; Advances </t>
    </r>
    <r>
      <rPr>
        <vertAlign val="superscript"/>
        <sz val="8"/>
        <rFont val="Times New Roman"/>
        <family val="1"/>
      </rPr>
      <t>3</t>
    </r>
  </si>
  <si>
    <r>
      <t>Excess Reserve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 xml:space="preserve">  (42-40)</t>
    </r>
  </si>
  <si>
    <r>
      <t>Total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 xml:space="preserve">       (4+5)</t>
    </r>
  </si>
  <si>
    <t>1.Total credit to government (net) by the banking system equals to total claims on government (gross) excluding government</t>
  </si>
  <si>
    <r>
      <t>Government (Net)</t>
    </r>
    <r>
      <rPr>
        <b/>
        <vertAlign val="superscript"/>
        <sz val="9"/>
        <color indexed="8"/>
        <rFont val="Times New Roman"/>
        <family val="1"/>
      </rPr>
      <t>1</t>
    </r>
  </si>
  <si>
    <t xml:space="preserve">Amount (Tk in Crore) </t>
  </si>
  <si>
    <t>Amount (Tk in Crore)</t>
  </si>
  <si>
    <r>
      <t>General Index/ DSE Broad Index</t>
    </r>
    <r>
      <rPr>
        <vertAlign val="superscript"/>
        <sz val="9"/>
        <rFont val="Times New Roman"/>
        <family val="1"/>
      </rPr>
      <t>1</t>
    </r>
  </si>
  <si>
    <t xml:space="preserve">    Total Issued          Capital  (Tk in crore)</t>
  </si>
  <si>
    <t xml:space="preserve">      Turn Over            (Tk in crore)                                        </t>
  </si>
  <si>
    <t>Total No. of Companies</t>
  </si>
  <si>
    <t xml:space="preserve"> Total No. of Companies</t>
  </si>
  <si>
    <t>LISTED WITH THE DHAKA STOCK EXCHANGE LTD</t>
  </si>
  <si>
    <t>UAE</t>
  </si>
  <si>
    <t>UK</t>
  </si>
  <si>
    <t>USA</t>
  </si>
  <si>
    <t>Narrow         Money         (M1) (5+8+12)</t>
  </si>
  <si>
    <t>Broad          Money       (M2)      (9+13)</t>
  </si>
  <si>
    <t>Total    Liqui-      dity     (M2) </t>
  </si>
  <si>
    <t>SURVEY ( M2)</t>
  </si>
  <si>
    <t xml:space="preserve"> Broad          Money        (M2)      (3+13)</t>
  </si>
  <si>
    <t>SURVEY ( M3)</t>
  </si>
  <si>
    <t>Broad         Money         (M3)     (4+17)</t>
  </si>
  <si>
    <r>
      <t>1. Claims on Govt.(net) reported by the banking sector in M2</t>
    </r>
    <r>
      <rPr>
        <vertAlign val="subscript"/>
        <sz val="7"/>
        <rFont val="Times New Roman"/>
        <family val="1"/>
      </rPr>
      <t xml:space="preserve"> </t>
    </r>
    <r>
      <rPr>
        <sz val="7"/>
        <rFont val="Times New Roman"/>
        <family val="1"/>
      </rPr>
      <t>differs with M3</t>
    </r>
    <r>
      <rPr>
        <vertAlign val="subscript"/>
        <sz val="7"/>
        <rFont val="Times New Roman"/>
        <family val="1"/>
      </rPr>
      <t xml:space="preserve"> </t>
    </r>
    <r>
      <rPr>
        <sz val="7"/>
        <rFont val="Times New Roman"/>
        <family val="1"/>
      </rPr>
      <t xml:space="preserve">due to exclusion of </t>
    </r>
  </si>
  <si>
    <t>TOTAL NUMBER OF COMPANIES LISTED WITH THE DHAKA STOCK EXCHANGE LTD</t>
  </si>
  <si>
    <t>EURO</t>
  </si>
  <si>
    <r>
      <t>2017-18</t>
    </r>
    <r>
      <rPr>
        <b/>
        <vertAlign val="superscript"/>
        <sz val="8"/>
        <rFont val="Times New Roman"/>
        <family val="1"/>
      </rPr>
      <t>P</t>
    </r>
  </si>
  <si>
    <r>
      <t>2017-18</t>
    </r>
    <r>
      <rPr>
        <b/>
        <vertAlign val="superscript"/>
        <sz val="8"/>
        <color indexed="8"/>
        <rFont val="Times New Roman"/>
        <family val="1"/>
      </rPr>
      <t>P</t>
    </r>
  </si>
  <si>
    <r>
      <t xml:space="preserve">  3) 5 years Wage Earners Development Bond</t>
    </r>
    <r>
      <rPr>
        <b/>
        <vertAlign val="superscript"/>
        <sz val="9"/>
        <color indexed="8"/>
        <rFont val="Times New Roman"/>
        <family val="1"/>
      </rPr>
      <t xml:space="preserve"> 1</t>
    </r>
  </si>
  <si>
    <r>
      <t xml:space="preserve">  4) 3 years USD Premium Bond</t>
    </r>
    <r>
      <rPr>
        <b/>
        <vertAlign val="superscript"/>
        <sz val="8"/>
        <color indexed="8"/>
        <rFont val="Arial Narrow"/>
        <family val="2"/>
      </rPr>
      <t xml:space="preserve"> </t>
    </r>
    <r>
      <rPr>
        <b/>
        <sz val="8"/>
        <color indexed="8"/>
        <rFont val="Arial Narrow"/>
        <family val="2"/>
      </rPr>
      <t xml:space="preserve">for non-resident Bangladeshi </t>
    </r>
    <r>
      <rPr>
        <b/>
        <vertAlign val="superscript"/>
        <sz val="8"/>
        <color indexed="8"/>
        <rFont val="Arial Narrow"/>
        <family val="2"/>
      </rPr>
      <t>2</t>
    </r>
  </si>
  <si>
    <r>
      <t xml:space="preserve">  5) 3 years USD Investment Bond for non-resident Bangladeshi </t>
    </r>
    <r>
      <rPr>
        <b/>
        <vertAlign val="superscript"/>
        <sz val="8.5"/>
        <color indexed="8"/>
        <rFont val="Arial Narrow"/>
        <family val="2"/>
      </rPr>
      <t>3</t>
    </r>
  </si>
  <si>
    <t>2. Interest is payable in BDT &amp; principal amount will be paid either in  USD or BDT as per option of the bond holder</t>
  </si>
  <si>
    <t>Habib Bank</t>
  </si>
  <si>
    <t>11.10.17</t>
  </si>
  <si>
    <t>20.09.17</t>
  </si>
  <si>
    <t>20.09.27</t>
  </si>
  <si>
    <t>26.09.17</t>
  </si>
  <si>
    <t>26.09.32</t>
  </si>
  <si>
    <t>26.09.37</t>
  </si>
  <si>
    <t>Source   :</t>
  </si>
  <si>
    <t xml:space="preserve">ii) Claims on resident sector exclude inter-bank claims      </t>
  </si>
  <si>
    <t>Source     :</t>
  </si>
  <si>
    <t>Note         :</t>
  </si>
  <si>
    <t>End of      Period</t>
  </si>
  <si>
    <t xml:space="preserve">…= Not available   </t>
  </si>
  <si>
    <t>Source      :</t>
  </si>
  <si>
    <r>
      <t xml:space="preserve">       </t>
    </r>
    <r>
      <rPr>
        <b/>
        <sz val="5.5"/>
        <rFont val="Times New Roman"/>
        <family val="1"/>
      </rPr>
      <t>Note      :</t>
    </r>
    <r>
      <rPr>
        <sz val="5.5"/>
        <rFont val="Times New Roman"/>
        <family val="1"/>
      </rPr>
      <t xml:space="preserve">  </t>
    </r>
  </si>
  <si>
    <r>
      <t xml:space="preserve">Note         </t>
    </r>
    <r>
      <rPr>
        <sz val="5.5"/>
        <rFont val="Times New Roman"/>
        <family val="1"/>
      </rPr>
      <t xml:space="preserve">: </t>
    </r>
  </si>
  <si>
    <r>
      <t>Note        :</t>
    </r>
    <r>
      <rPr>
        <sz val="6"/>
        <rFont val="Times New Roman"/>
        <family val="1"/>
      </rPr>
      <t xml:space="preserve">  </t>
    </r>
  </si>
  <si>
    <r>
      <t>Source     :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</si>
  <si>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           Note   :</t>
    </r>
    <r>
      <rPr>
        <sz val="6"/>
        <rFont val="Times New Roman"/>
        <family val="1"/>
      </rPr>
      <t xml:space="preserve">  </t>
    </r>
  </si>
  <si>
    <r>
      <t xml:space="preserve">             Source    :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</si>
  <si>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Note        :       </t>
  </si>
  <si>
    <t xml:space="preserve">ii) Claims on Resident Sector exclude BB &amp; ODCs    </t>
  </si>
  <si>
    <r>
      <t xml:space="preserve">Note           : </t>
    </r>
    <r>
      <rPr>
        <sz val="8"/>
        <rFont val="Times New Roman"/>
        <family val="1"/>
      </rPr>
      <t xml:space="preserve">     </t>
    </r>
  </si>
  <si>
    <t>1. *As per BPM6, Net Errors &amp; Ommissions= -(Current Account Balance+Capital Account (Net) - Financial Account (Net))</t>
  </si>
  <si>
    <t>2. As per BPM5, Net Errors &amp; Ommissions= -(Current Account Balance+Capital Account (Net) + Financial Account (Net))</t>
  </si>
  <si>
    <t xml:space="preserve">Note      :      </t>
  </si>
  <si>
    <t xml:space="preserve">i) Oil Products = Soya bean + Vegetable Oil (Dalda) </t>
  </si>
  <si>
    <t xml:space="preserve">ii) Fertilizer = Urea + Ammonium Sulphate + TSP + SSP + DAP </t>
  </si>
  <si>
    <t>iii) Chemicals = Caustic Soda + Liquid Chlorine + HCl + Bleaching Powder + DDT</t>
  </si>
  <si>
    <t>iv) Iron &amp; Steel = Steel Ingot + Billet 110/85 mm + Billet 50/85 mm + MS Plate (thin &amp; Heavy) + MS Rod &amp; Flat Bar</t>
  </si>
  <si>
    <t>v) Food Products = Atta, Maida &amp; Suji</t>
  </si>
  <si>
    <t>... = Not Available</t>
  </si>
  <si>
    <t xml:space="preserve">      Turn Over  (Tk in crore)                                        </t>
  </si>
  <si>
    <r>
      <t>Source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: </t>
    </r>
    <r>
      <rPr>
        <sz val="8"/>
        <rFont val="Times New Roman"/>
        <family val="1"/>
      </rPr>
      <t xml:space="preserve">           Dhaka Stock Exchange Ltd (DSE)</t>
    </r>
  </si>
  <si>
    <t>Note:                   1. DSE Broad Index has been introduced instead of General Index from August 2013</t>
  </si>
  <si>
    <t xml:space="preserve">Islami Bank BD </t>
  </si>
  <si>
    <t>ICB Islamic Bank</t>
  </si>
  <si>
    <t>Shahjalal  Islami Bank</t>
  </si>
  <si>
    <t>Union Bank</t>
  </si>
  <si>
    <t>Bank Alfalah</t>
  </si>
  <si>
    <t>EXIM Bank</t>
  </si>
  <si>
    <t xml:space="preserve">First Security Islami Bank </t>
  </si>
  <si>
    <t>MONTHLY AVERAGE CALL MONEY MARKET RATES (Weighted Average)</t>
  </si>
  <si>
    <r>
      <rPr>
        <b/>
        <sz val="6.5"/>
        <rFont val="Times New Roman"/>
        <family val="1"/>
      </rPr>
      <t xml:space="preserve">Note: </t>
    </r>
    <r>
      <rPr>
        <sz val="6.5"/>
        <rFont val="Times New Roman"/>
        <family val="1"/>
      </rPr>
      <t>Data is discontinued from June'2017 due to dropping of IFS data</t>
    </r>
  </si>
  <si>
    <t xml:space="preserve">and in the interbank market ( from May 31, 2003 &amp; onwards)   </t>
  </si>
  <si>
    <r>
      <t>Source</t>
    </r>
    <r>
      <rPr>
        <sz val="10"/>
        <rFont val="Arial"/>
        <family val="1"/>
      </rPr>
      <t xml:space="preserve">: </t>
    </r>
  </si>
  <si>
    <t>Total       Investments at Current Market Price</t>
  </si>
  <si>
    <t>Total Population (in Crore)</t>
  </si>
  <si>
    <t>18.10.17</t>
  </si>
  <si>
    <t>18.10.27</t>
  </si>
  <si>
    <t>i) BBS: Cotton Yarn, Cotton Cloth, Cigarettes, Oil Products, Food Products &amp; Matches</t>
  </si>
  <si>
    <t>ii) BCIC: Paper, Newsprint, Fertilizers, Chemicals &amp; Glass sheet</t>
  </si>
  <si>
    <t>iii) BSFIC: Sugar</t>
  </si>
  <si>
    <t>iv) BSEC: Iron &amp; Steel</t>
  </si>
  <si>
    <t>i) The resident sector has been classified according to the IMF's Monetary &amp; Financial Statistics Manual (MFSM)</t>
  </si>
  <si>
    <t>i) The resident sector has been classified according to the IMF's Monetary &amp; Financial Statistics Manual  (MFSM)</t>
  </si>
  <si>
    <t>savings certificates &amp; prize bonds for avoiding double counting</t>
  </si>
  <si>
    <t>White Middle           (Kutcha bales)                (Tk per 100 kg) </t>
  </si>
  <si>
    <t>Bangla white A           (Pucca  bales)              (Tk per 182.25 kg)</t>
  </si>
  <si>
    <t>Aman Rice               (Medium)                     (Tk per kg)</t>
  </si>
  <si>
    <t>Gold (Guinea)        (Tk per 10 gms.) </t>
  </si>
  <si>
    <t>Export of Tea                 (Average Quality)                      (Tk per kg)</t>
  </si>
  <si>
    <t>Cow Hides Raw                     (Tk per piece)</t>
  </si>
  <si>
    <t>Goat Skins                           (Tk per piece)</t>
  </si>
  <si>
    <t>1. Both interest &amp; principal amount are payable in BDT</t>
  </si>
  <si>
    <t>3. Both interest &amp; principal amount are payable in USD</t>
  </si>
  <si>
    <t>* including 0.84 %  social security premium (SSP) &amp; will be payable on completion of 3 years</t>
  </si>
  <si>
    <t>** including 0.79 %  social security premium (SSP) &amp; will be payable on completion of 3 years</t>
  </si>
  <si>
    <t>*** including 0.99 %  social security premium (SSP) &amp; will be payable on completion of 5 years</t>
  </si>
  <si>
    <t>**** including 1.25 %  social security premium (SSP) &amp; will be payable on completion of 5 years</t>
  </si>
  <si>
    <t>***** including 0.80 %  social security premium (SSP) &amp; will be payable on completion of 5 years</t>
  </si>
  <si>
    <t xml:space="preserve">Note: * From period 2011-12 the income, expenditure &amp; profitability of specialized banks (BKB &amp; RAKUB) are calculated on fiscal year basis </t>
  </si>
  <si>
    <t xml:space="preserve">** From period 2012 the income, expenditure &amp; profitability of specialized banks (BDBL &amp; BASIC) are calculated on calendar year basis </t>
  </si>
  <si>
    <t>CV</t>
  </si>
  <si>
    <t>CVI</t>
  </si>
  <si>
    <t>12.00-14.00</t>
  </si>
  <si>
    <t>06.12.17</t>
  </si>
  <si>
    <t>06.12.19</t>
  </si>
  <si>
    <t>13.12.17</t>
  </si>
  <si>
    <t>13.12.22</t>
  </si>
  <si>
    <t>Table-XXIV</t>
  </si>
  <si>
    <t>Taka in Million</t>
  </si>
  <si>
    <t>Claims on Other Sectors</t>
  </si>
  <si>
    <t>Currency in circulation</t>
  </si>
  <si>
    <t>Securities Other than Shares, included in broad money</t>
  </si>
  <si>
    <t>Loans</t>
  </si>
  <si>
    <t>Financial Derivatives</t>
  </si>
  <si>
    <t>Trade Credit &amp; advances</t>
  </si>
  <si>
    <t>Shares &amp; Other Equity</t>
  </si>
  <si>
    <t>Other items (net)</t>
  </si>
  <si>
    <t>Table-XXV</t>
  </si>
  <si>
    <t>Domestic Claims</t>
  </si>
  <si>
    <t>Net Claims on Central Govt.</t>
  </si>
  <si>
    <t>Claims on Other Sector</t>
  </si>
  <si>
    <t>Broad Money Liabilities</t>
  </si>
  <si>
    <t>Currency Outside Depository Corporations</t>
  </si>
  <si>
    <t>Other Deposits</t>
  </si>
  <si>
    <t>Other Items (net)</t>
  </si>
  <si>
    <t>Central Bank Survey</t>
  </si>
  <si>
    <t>Depository Corporation Survey</t>
  </si>
  <si>
    <t>Claims on Central Govt.(net)</t>
  </si>
  <si>
    <t>20.12.17</t>
  </si>
  <si>
    <t>20.12.27</t>
  </si>
  <si>
    <t>Monetary Base</t>
  </si>
  <si>
    <t>Total   (5+6+7+8)</t>
  </si>
  <si>
    <t>Total  (2+3)</t>
  </si>
  <si>
    <t>Total             (3-4)</t>
  </si>
  <si>
    <t>Total  (7+8+9+10)</t>
  </si>
  <si>
    <t>Liabilities to Central Govt.</t>
  </si>
  <si>
    <t>Claims on other Depository Corporations</t>
  </si>
  <si>
    <t>Claims on Central Govt.</t>
  </si>
  <si>
    <t>Trade Credit &amp; Advances</t>
  </si>
  <si>
    <t>17.00-20.00</t>
  </si>
  <si>
    <t>03.01.18</t>
  </si>
  <si>
    <t>03.01.20</t>
  </si>
  <si>
    <t>10.01.18</t>
  </si>
  <si>
    <t>10.01.23</t>
  </si>
  <si>
    <t>27.12.17</t>
  </si>
  <si>
    <t>27.12.32</t>
  </si>
  <si>
    <t>27.12.37</t>
  </si>
  <si>
    <t>5.25-5.50</t>
  </si>
  <si>
    <t>5.75-6.00</t>
  </si>
  <si>
    <t>6.25-6.50</t>
  </si>
  <si>
    <t>7.00-14.00</t>
  </si>
  <si>
    <t>9.00-9.50</t>
  </si>
  <si>
    <t>16.00-19.00</t>
  </si>
  <si>
    <t>17.01.18</t>
  </si>
  <si>
    <t>17.01.28</t>
  </si>
  <si>
    <t>24.01.18</t>
  </si>
  <si>
    <t>24.01.33</t>
  </si>
  <si>
    <t>24.01.38</t>
  </si>
  <si>
    <t>i)   5 tk is considered as Govt. Currency since June 2016 and  Demand &amp; Time Deposits under Columns 8 &amp; 9 exclude Restricted Deposits</t>
  </si>
  <si>
    <t>5.00-9.00</t>
  </si>
  <si>
    <t>6.00-7.50</t>
  </si>
  <si>
    <t>3.15-7.00</t>
  </si>
  <si>
    <t>9.00-13.00</t>
  </si>
  <si>
    <t>07.03.18</t>
  </si>
  <si>
    <t>07.03.20</t>
  </si>
  <si>
    <t>14.03.18</t>
  </si>
  <si>
    <t>14.03.23</t>
  </si>
  <si>
    <t>Note: Base :2005-06=100</t>
  </si>
  <si>
    <t>04.03.18</t>
  </si>
  <si>
    <t>04.03.20</t>
  </si>
  <si>
    <t>04.04.18</t>
  </si>
  <si>
    <t>04.04.20</t>
  </si>
  <si>
    <t>11.04.18</t>
  </si>
  <si>
    <t>11.04.23</t>
  </si>
  <si>
    <t>21.03.18</t>
  </si>
  <si>
    <t>18.04.18</t>
  </si>
  <si>
    <t>21.03.28</t>
  </si>
  <si>
    <t>18.04.28</t>
  </si>
  <si>
    <t>CVII</t>
  </si>
  <si>
    <t>28.03.18</t>
  </si>
  <si>
    <t>28.03.33</t>
  </si>
  <si>
    <t>28.03.38</t>
  </si>
  <si>
    <t>08.05.20</t>
  </si>
  <si>
    <t>25.04.18</t>
  </si>
  <si>
    <t>25.04.33</t>
  </si>
  <si>
    <t>CVIII</t>
  </si>
  <si>
    <t>25.04.38</t>
  </si>
  <si>
    <t>4.50-7.00</t>
  </si>
  <si>
    <t>6.50-7.00</t>
  </si>
  <si>
    <t>8.25-9.00</t>
  </si>
  <si>
    <t>8.00-10.00</t>
  </si>
  <si>
    <t>4.00-6.00</t>
  </si>
  <si>
    <t>0.75-8.00</t>
  </si>
  <si>
    <t>11.50-12.50</t>
  </si>
  <si>
    <t>5.75-8.75</t>
  </si>
  <si>
    <r>
      <t xml:space="preserve">Hong Kong:                                                                                 </t>
    </r>
    <r>
      <rPr>
        <sz val="8"/>
        <rFont val="Times New Roman"/>
        <family val="1"/>
      </rPr>
      <t>SAR of China</t>
    </r>
  </si>
  <si>
    <t>06.06.18</t>
  </si>
  <si>
    <t>06.06.20</t>
  </si>
  <si>
    <t>12.06.18</t>
  </si>
  <si>
    <t>23.05.18</t>
  </si>
  <si>
    <t>23.05.28</t>
  </si>
  <si>
    <t>30.05.18</t>
  </si>
  <si>
    <t>30.05.33</t>
  </si>
  <si>
    <t>30.05.38</t>
  </si>
  <si>
    <t>CIX</t>
  </si>
  <si>
    <t>4.Compilation procedure has been changed since Sep'17 &amp; CRR rate has changed from April'18</t>
  </si>
  <si>
    <t>2.  Weighted average rates of interest on deposits &amp; advances of 29 deposits taking Non Bank Financial Institutions (NBFIs) have been introduced from June 2013</t>
  </si>
  <si>
    <t xml:space="preserve">4. IMF Reserve Position amount is included in Foreign Exchange Reserve from April ,2018 &amp; onward </t>
  </si>
  <si>
    <t>PROFIT RATE STRUCTURE OF THE ISLAMIC BANKS, 2017</t>
  </si>
  <si>
    <t>Profit Rate Structure of  the Islamic Banks, 2017</t>
  </si>
  <si>
    <t xml:space="preserve">CENTRAL BANK </t>
  </si>
  <si>
    <t>SURVEY</t>
  </si>
  <si>
    <t>DEPOSITORY</t>
  </si>
  <si>
    <t>CORPORATIONS SURVEY</t>
  </si>
  <si>
    <t>Liabilities to other Depository Corporatio-ns</t>
  </si>
  <si>
    <t>5.00-5.25</t>
  </si>
  <si>
    <t>10.50-11.50</t>
  </si>
  <si>
    <t>3.50-5.50</t>
  </si>
  <si>
    <t>11.75-13.75</t>
  </si>
  <si>
    <t>04.07.18</t>
  </si>
  <si>
    <t>04.07.20</t>
  </si>
  <si>
    <t>11.07.18</t>
  </si>
  <si>
    <t>11.07.23</t>
  </si>
  <si>
    <t>20.06.18</t>
  </si>
  <si>
    <t>20.06.28</t>
  </si>
  <si>
    <t>18.07.18</t>
  </si>
  <si>
    <t>18.07.28</t>
  </si>
  <si>
    <t>27.06.18</t>
  </si>
  <si>
    <t>27.06.33</t>
  </si>
  <si>
    <t>CX</t>
  </si>
  <si>
    <t>27.06.38</t>
  </si>
  <si>
    <t>Transfe-rable Deposits</t>
  </si>
  <si>
    <t>Securities Other than Shares, Included in Broad Money</t>
  </si>
  <si>
    <t>Deposits Excluded from Broad Money</t>
  </si>
  <si>
    <t>Securities Other than Shares, excluded from Broad Money</t>
  </si>
  <si>
    <t>Deposits included in Broad Money</t>
  </si>
  <si>
    <t>Deposits excluded from Broad Money</t>
  </si>
  <si>
    <t>Securities  Other than Shares, excluded from Broad Money</t>
  </si>
  <si>
    <t xml:space="preserve">                 E-BANKING &amp; E-COMMERCE STATISTICS                   </t>
  </si>
  <si>
    <r>
      <t>2018-19</t>
    </r>
    <r>
      <rPr>
        <b/>
        <vertAlign val="superscript"/>
        <sz val="8"/>
        <rFont val="Times New Roman"/>
        <family val="1"/>
      </rPr>
      <t>P</t>
    </r>
  </si>
  <si>
    <t xml:space="preserve">     Production   (in '000' M. tons)</t>
  </si>
  <si>
    <t>2018-19</t>
  </si>
  <si>
    <r>
      <t>2018-19</t>
    </r>
    <r>
      <rPr>
        <b/>
        <vertAlign val="superscript"/>
        <sz val="9"/>
        <color theme="1"/>
        <rFont val="Times New Roman"/>
        <family val="1"/>
      </rPr>
      <t>P</t>
    </r>
  </si>
  <si>
    <t>08.08.18</t>
  </si>
  <si>
    <t>08.08.20</t>
  </si>
  <si>
    <t>25.07.18</t>
  </si>
  <si>
    <t>25.07.33</t>
  </si>
  <si>
    <t>CXI</t>
  </si>
  <si>
    <t>25.07.38</t>
  </si>
  <si>
    <t>3.00-3.50</t>
  </si>
  <si>
    <t>1.50-4.00</t>
  </si>
  <si>
    <t>4.50-6.00</t>
  </si>
  <si>
    <t>5.50-6.00</t>
  </si>
  <si>
    <t>9.00-15.50</t>
  </si>
  <si>
    <t>10.00-14.00</t>
  </si>
  <si>
    <t>18.50-21.50</t>
  </si>
  <si>
    <t>1.00-3.50</t>
  </si>
  <si>
    <t>6.50-6.75</t>
  </si>
  <si>
    <t>10.50-13.00</t>
  </si>
  <si>
    <t>6.00-25.00</t>
  </si>
  <si>
    <t>17.50-20.50</t>
  </si>
  <si>
    <t>8.00-8.25</t>
  </si>
  <si>
    <t>13.00-20.00</t>
  </si>
  <si>
    <t>9.00-19.00</t>
  </si>
  <si>
    <t>8.25-12.00</t>
  </si>
  <si>
    <t>4.00-7.50</t>
  </si>
  <si>
    <t>9.00-10.75</t>
  </si>
  <si>
    <t>6.75-9.75</t>
  </si>
  <si>
    <t>9.95-10.95</t>
  </si>
  <si>
    <t>16.08.18</t>
  </si>
  <si>
    <t>16.08.23</t>
  </si>
  <si>
    <t>7.00-7.50</t>
  </si>
  <si>
    <t>7.00-7.75</t>
  </si>
  <si>
    <t>10.00-11.50</t>
  </si>
  <si>
    <t>3.25-3.50</t>
  </si>
  <si>
    <t>2.50-4.50</t>
  </si>
  <si>
    <t>3.50-6.00</t>
  </si>
  <si>
    <t>8.50-9.00</t>
  </si>
  <si>
    <t>11.50-13.50</t>
  </si>
  <si>
    <t>14.50-15.00</t>
  </si>
  <si>
    <t>4.00-5.00</t>
  </si>
  <si>
    <t>3.00-4.50</t>
  </si>
  <si>
    <t>9.00-14.50</t>
  </si>
  <si>
    <t>11.00-16.00</t>
  </si>
  <si>
    <t>12.00-22.00</t>
  </si>
  <si>
    <t>12.00-14.50</t>
  </si>
  <si>
    <t>5.50-17.50</t>
  </si>
  <si>
    <t>2.00-5.50</t>
  </si>
  <si>
    <t>7.00-8.50</t>
  </si>
  <si>
    <t>10.50-12.00</t>
  </si>
  <si>
    <t>10.50-12.50</t>
  </si>
  <si>
    <t>11.00-12.50</t>
  </si>
  <si>
    <t>10.75-11.75</t>
  </si>
  <si>
    <t>Important Economic Indicators of Bangladesh with SAARC Countries</t>
  </si>
  <si>
    <t>Table-XXVI</t>
  </si>
  <si>
    <t>(In million Taka)</t>
  </si>
  <si>
    <t>Import**</t>
  </si>
  <si>
    <t>Service inflows</t>
  </si>
  <si>
    <t>Service outflows</t>
  </si>
  <si>
    <t>July-Sep</t>
  </si>
  <si>
    <t>Afganistan</t>
  </si>
  <si>
    <t>Bhutan</t>
  </si>
  <si>
    <t>India</t>
  </si>
  <si>
    <t>Maldives</t>
  </si>
  <si>
    <t>Nepal</t>
  </si>
  <si>
    <t>Pakistan</t>
  </si>
  <si>
    <t>Sri Lanka</t>
  </si>
  <si>
    <t>April-June</t>
  </si>
  <si>
    <t>P: Provisional</t>
  </si>
  <si>
    <t>* As per record of EPB (usually on fob basis)</t>
  </si>
  <si>
    <t>** Based on custom records calculated on c&amp;f basis</t>
  </si>
  <si>
    <t>1. Export Promotion Bureau (EPB) for Export Data   2. National Board of Revenue (NBR) for Import Data</t>
  </si>
  <si>
    <t>3. Statistics Department of Bangladesh Bank for Service Inflows, Service Outflows and Wage Earners Remittance Data</t>
  </si>
  <si>
    <t xml:space="preserve">Wage Earners Remittance
</t>
  </si>
  <si>
    <r>
      <t>Export</t>
    </r>
    <r>
      <rPr>
        <vertAlign val="superscript"/>
        <sz val="8"/>
        <color rgb="FF000000"/>
        <rFont val="Times New Roman"/>
        <family val="1"/>
      </rPr>
      <t>*</t>
    </r>
  </si>
  <si>
    <r>
      <t>2017-18</t>
    </r>
    <r>
      <rPr>
        <b/>
        <vertAlign val="superscript"/>
        <sz val="8"/>
        <color rgb="FF000000"/>
        <rFont val="Times New Roman"/>
        <family val="1"/>
      </rPr>
      <t>P</t>
    </r>
  </si>
  <si>
    <t>FDI inflows</t>
  </si>
  <si>
    <t>Portfolio investment inflows</t>
  </si>
  <si>
    <t>Export (f.o.b)</t>
  </si>
  <si>
    <t>Import (f.o.b)</t>
  </si>
  <si>
    <t>Bank credit to commercial sector</t>
  </si>
  <si>
    <t>FDI</t>
  </si>
  <si>
    <t>Foreign Exchange Reserve</t>
  </si>
  <si>
    <t>Inflation</t>
  </si>
  <si>
    <t>Exchange Rate (CY/$)</t>
  </si>
  <si>
    <t xml:space="preserve">Afganistan </t>
  </si>
  <si>
    <t>--</t>
  </si>
  <si>
    <t>Bangladesh</t>
  </si>
  <si>
    <t xml:space="preserve">Important Economic Indicators of SAARC Countries </t>
  </si>
  <si>
    <t>..</t>
  </si>
  <si>
    <t>Year</t>
  </si>
  <si>
    <t>05.09.18</t>
  </si>
  <si>
    <t>05.09.20</t>
  </si>
  <si>
    <t>12.09.18</t>
  </si>
  <si>
    <t>12.09.23</t>
  </si>
  <si>
    <t>(Million USD)</t>
  </si>
  <si>
    <t>Table XXVII</t>
  </si>
  <si>
    <t xml:space="preserve"> Year</t>
  </si>
  <si>
    <t xml:space="preserve">                    Important Economic Indicators of SAARC Countries                   </t>
  </si>
  <si>
    <t xml:space="preserve"> STATISTICAL TABLES</t>
  </si>
  <si>
    <r>
      <t>2018-19</t>
    </r>
    <r>
      <rPr>
        <b/>
        <vertAlign val="superscript"/>
        <sz val="8"/>
        <color indexed="8"/>
        <rFont val="Times New Roman"/>
        <family val="1"/>
      </rPr>
      <t>P</t>
    </r>
  </si>
  <si>
    <t>19.09.18</t>
  </si>
  <si>
    <t>19.09.28</t>
  </si>
  <si>
    <t xml:space="preserve">ii)  Deposit Money Banks (DMBs) comprise 58 Scheduled Banks &amp; BSBL </t>
  </si>
  <si>
    <t xml:space="preserve">2.  Md. Nurul Islam                              Deputy General Manager  </t>
  </si>
  <si>
    <t>26.09.18</t>
  </si>
  <si>
    <t>26.09.33</t>
  </si>
  <si>
    <t>CXII</t>
  </si>
  <si>
    <t>26.09.38</t>
  </si>
  <si>
    <t>Sonali
Bank</t>
  </si>
  <si>
    <t>Agrani
Bank</t>
  </si>
  <si>
    <t>Janata
Bank</t>
  </si>
  <si>
    <t>Rupali
Bank</t>
  </si>
  <si>
    <t>BASIC
Bank</t>
  </si>
  <si>
    <t>The City
Bank</t>
  </si>
  <si>
    <t>AB
Bank</t>
  </si>
  <si>
    <t>IFIC
Bank</t>
  </si>
  <si>
    <t>National
Bank</t>
  </si>
  <si>
    <t>Uttara
Bank</t>
  </si>
  <si>
    <t>Pubali
Bank</t>
  </si>
  <si>
    <t>Eastern
Bank</t>
  </si>
  <si>
    <t>Dhaka
Bank</t>
  </si>
  <si>
    <t>Southeast
Bank</t>
  </si>
  <si>
    <t>Prime
Bank</t>
  </si>
  <si>
    <t>Dutch-Bangla
Bank</t>
  </si>
  <si>
    <t>Modhumoti
Bank</t>
  </si>
  <si>
    <t>NRB Global
Bank</t>
  </si>
  <si>
    <t>SBAC
Bank</t>
  </si>
  <si>
    <t>Farmer's
Bank</t>
  </si>
  <si>
    <t>Mercantile
Bank</t>
  </si>
  <si>
    <t>One
Bank</t>
  </si>
  <si>
    <t>Premier
Bank</t>
  </si>
  <si>
    <t>Trust
Bank</t>
  </si>
  <si>
    <t>BRAC
Bank</t>
  </si>
  <si>
    <t>Standard
Bank</t>
  </si>
  <si>
    <t>Meghna
Bank</t>
  </si>
  <si>
    <t>Midland
Bank</t>
  </si>
  <si>
    <t>NRB
Bank</t>
  </si>
  <si>
    <t>NRB Comm.
Bank</t>
  </si>
  <si>
    <t>Mutual
Trust Bank</t>
  </si>
  <si>
    <t>Jamuna
Bank</t>
  </si>
  <si>
    <t>Shimanto
Bank</t>
  </si>
  <si>
    <t>Commercail Bank
of Ceylon</t>
  </si>
  <si>
    <t>Standard
Chartered Bank</t>
  </si>
  <si>
    <t>State Bank
of India</t>
  </si>
  <si>
    <t>National Bank
of Pakistan</t>
  </si>
  <si>
    <t>Citi Bank NA</t>
  </si>
  <si>
    <t/>
  </si>
  <si>
    <t>3.50</t>
  </si>
  <si>
    <t>4.00</t>
  </si>
  <si>
    <t>3.00-7.00</t>
  </si>
  <si>
    <t>3.00</t>
  </si>
  <si>
    <t>3.50-4.50</t>
  </si>
  <si>
    <t>2.75</t>
  </si>
  <si>
    <t>5.00</t>
  </si>
  <si>
    <t>2.50</t>
  </si>
  <si>
    <t>0.40</t>
  </si>
  <si>
    <t>3.75</t>
  </si>
  <si>
    <t>2.25</t>
  </si>
  <si>
    <t>2.00</t>
  </si>
  <si>
    <t>4.50</t>
  </si>
  <si>
    <t>1.00</t>
  </si>
  <si>
    <t>1.50</t>
  </si>
  <si>
    <t>4.25</t>
  </si>
  <si>
    <t>3.25</t>
  </si>
  <si>
    <t>0.75</t>
  </si>
  <si>
    <t>0.10</t>
  </si>
  <si>
    <t>5.25</t>
  </si>
  <si>
    <t>1.65</t>
  </si>
  <si>
    <t>5.50</t>
  </si>
  <si>
    <t>0.20</t>
  </si>
  <si>
    <t>1.75</t>
  </si>
  <si>
    <t>6.00</t>
  </si>
  <si>
    <t>1.25</t>
  </si>
  <si>
    <t>0.30</t>
  </si>
  <si>
    <t>7.50</t>
  </si>
  <si>
    <t>5.75</t>
  </si>
  <si>
    <t>1.90</t>
  </si>
  <si>
    <t>6.00-8.50</t>
  </si>
  <si>
    <t>4.00-4.50</t>
  </si>
  <si>
    <t>8.50</t>
  </si>
  <si>
    <t>2.00-6.00</t>
  </si>
  <si>
    <t>5.85</t>
  </si>
  <si>
    <t>7.00</t>
  </si>
  <si>
    <t>4.50-5.00</t>
  </si>
  <si>
    <t>8.75</t>
  </si>
  <si>
    <t>9.50</t>
  </si>
  <si>
    <t>8.00</t>
  </si>
  <si>
    <t>9.00</t>
  </si>
  <si>
    <t>6.50-8.25</t>
  </si>
  <si>
    <t>6.00-8.00</t>
  </si>
  <si>
    <t>10.00</t>
  </si>
  <si>
    <t>4.75-7.75</t>
  </si>
  <si>
    <t>7.50-10.00</t>
  </si>
  <si>
    <t>4.00-5.75</t>
  </si>
  <si>
    <t>13.00</t>
  </si>
  <si>
    <t>9.00-15.00</t>
  </si>
  <si>
    <t>15.00</t>
  </si>
  <si>
    <t>17.00-20.50</t>
  </si>
  <si>
    <t>15.50</t>
  </si>
  <si>
    <t>13.50-15.50</t>
  </si>
  <si>
    <t>14.00</t>
  </si>
  <si>
    <t>14.50</t>
  </si>
  <si>
    <t>6.75</t>
  </si>
  <si>
    <t>13.50</t>
  </si>
  <si>
    <t>12.50</t>
  </si>
  <si>
    <t>10.50-11.00</t>
  </si>
  <si>
    <t>16.00</t>
  </si>
  <si>
    <t>11.50-19.00</t>
  </si>
  <si>
    <t>12.00</t>
  </si>
  <si>
    <t>9.00-12.50</t>
  </si>
  <si>
    <t>20.50</t>
  </si>
  <si>
    <t>9.50-17.00</t>
  </si>
  <si>
    <t>12.90</t>
  </si>
  <si>
    <t xml:space="preserve">Source  :  Banking Regulation &amp; Policy Department, Bangladesh Bank                                                                                                                                 </t>
  </si>
  <si>
    <t>Email: nurul.islam130@bb.org.bd</t>
  </si>
  <si>
    <t xml:space="preserve">      Assistant Director</t>
  </si>
  <si>
    <t>5. Kamrun Nahar Mukta</t>
  </si>
  <si>
    <t xml:space="preserve">4. Asif Ahmed Mansur </t>
  </si>
  <si>
    <t xml:space="preserve">      Deputy Director</t>
  </si>
  <si>
    <t xml:space="preserve">Joint Director            </t>
  </si>
  <si>
    <t xml:space="preserve">Head Office, Dhaka          </t>
  </si>
  <si>
    <t>R=Revised</t>
  </si>
  <si>
    <t>A.K.M. Fazlul Haque Mia</t>
  </si>
  <si>
    <t>07.11.18</t>
  </si>
  <si>
    <t>07.11.20</t>
  </si>
  <si>
    <t>14.11.18</t>
  </si>
  <si>
    <t>14.11.23</t>
  </si>
  <si>
    <t>6.50</t>
  </si>
  <si>
    <t>7.00-7.25</t>
  </si>
  <si>
    <t>7.50-9.50</t>
  </si>
  <si>
    <t>11.00</t>
  </si>
  <si>
    <t>11.00-16.50</t>
  </si>
  <si>
    <t>2.00-4.00</t>
  </si>
  <si>
    <t>3.50-7.50</t>
  </si>
  <si>
    <t>5.25-7.00</t>
  </si>
  <si>
    <t>7.00-8.00</t>
  </si>
  <si>
    <t>7.50-8.25</t>
  </si>
  <si>
    <t>8.00-8.50</t>
  </si>
  <si>
    <t>7.75-8.75</t>
  </si>
  <si>
    <t>8.50-8.75</t>
  </si>
  <si>
    <t>8.75-9.00</t>
  </si>
  <si>
    <t>9.00-9.25</t>
  </si>
  <si>
    <t>2.25-6.00</t>
  </si>
  <si>
    <t>4.00-6.50</t>
  </si>
  <si>
    <t>7.99-10.50</t>
  </si>
  <si>
    <t>7.00-16.00</t>
  </si>
  <si>
    <t>Bank-wise Announced Interest Rate Structure in Bangladesh (Except Islamic Banks), November 2018</t>
  </si>
  <si>
    <t>December 2018</t>
  </si>
  <si>
    <t>1. Birendra Chandra Das                     General Manager</t>
  </si>
  <si>
    <t xml:space="preserve">3. Mohammad Sadek                                 Joint Director      </t>
  </si>
  <si>
    <t>Email:  mohammad.sadek@bb.org.bd</t>
  </si>
  <si>
    <t>05.12.18</t>
  </si>
  <si>
    <t>05.12.20</t>
  </si>
  <si>
    <t>12.12.18</t>
  </si>
  <si>
    <t>12.12.23</t>
  </si>
  <si>
    <t>22.11.18</t>
  </si>
  <si>
    <t>22.11.28</t>
  </si>
  <si>
    <t>28.11.18</t>
  </si>
  <si>
    <t>28.11.33</t>
  </si>
  <si>
    <t>CXIII</t>
  </si>
  <si>
    <t>28.11.38</t>
  </si>
  <si>
    <r>
      <t>October</t>
    </r>
    <r>
      <rPr>
        <vertAlign val="superscript"/>
        <sz val="7.5"/>
        <color indexed="8"/>
        <rFont val="Times New Roman"/>
        <family val="1"/>
      </rPr>
      <t>R</t>
    </r>
  </si>
  <si>
    <t>5.50-7.00</t>
  </si>
  <si>
    <t>4.50-7.50</t>
  </si>
  <si>
    <t>5.75-7.00</t>
  </si>
  <si>
    <t>5.75-6.50</t>
  </si>
  <si>
    <t>11.50</t>
  </si>
  <si>
    <t>12.50-12.75</t>
  </si>
  <si>
    <t>13.00-17.00</t>
  </si>
  <si>
    <t>4.00-9.30</t>
  </si>
  <si>
    <t>7.50-8.00</t>
  </si>
  <si>
    <t>7.18</t>
  </si>
  <si>
    <t>11.30-14.00</t>
  </si>
  <si>
    <t>11.30</t>
  </si>
  <si>
    <t>1.00-5.00</t>
  </si>
  <si>
    <t>4.00-8.00</t>
  </si>
  <si>
    <t>5.00-8.50</t>
  </si>
  <si>
    <t>0.90</t>
  </si>
  <si>
    <t>1.25-1.50</t>
  </si>
  <si>
    <t>1.00-8.00</t>
  </si>
  <si>
    <t>6.25-8.50</t>
  </si>
  <si>
    <t>1.00-8.50</t>
  </si>
  <si>
    <t>6.50-7.50</t>
  </si>
  <si>
    <t>IN BANGLADESH (EXCEPT ISLAMIC BANKS), November 2018</t>
  </si>
  <si>
    <t xml:space="preserve">       Executive Director (Statistics)</t>
  </si>
  <si>
    <t xml:space="preserve">Import data are on C&amp;F/CIF basis upto June 2014 and fob basis from July 2014 &amp; onwards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</si>
</sst>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20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\(0.00\)"/>
    <numFmt numFmtId="168" formatCode="0.00;[Red]0.00"/>
    <numFmt numFmtId="169" formatCode="00000"/>
    <numFmt numFmtId="170" formatCode="0.0;[Red]0.0"/>
    <numFmt numFmtId="171" formatCode="0;[Red]0"/>
    <numFmt numFmtId="172" formatCode="\(0\)"/>
    <numFmt numFmtId="173" formatCode="0_);\(0\)"/>
    <numFmt numFmtId="174" formatCode="dd/mm/yyyy;@"/>
    <numFmt numFmtId="175" formatCode="d\.m\.yy;@"/>
    <numFmt numFmtId="176" formatCode="B1mmm/yy"/>
    <numFmt numFmtId="177" formatCode="#,##0.000000000000"/>
    <numFmt numFmtId="178" formatCode="0.0000000000000_);\(0.0000000000000\)"/>
    <numFmt numFmtId="179" formatCode="0.000000000000_);\(0.000000000000\)"/>
    <numFmt numFmtId="180" formatCode="0.00000000000"/>
    <numFmt numFmtId="181" formatCode="dd\.mm\.yy;@"/>
    <numFmt numFmtId="182" formatCode="dd\.mm\.yyyy;@"/>
  </numFmts>
  <fonts count="19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8"/>
      <color indexed="8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6"/>
      <color indexed="8"/>
      <name val="Times New Roman"/>
      <family val="1"/>
    </font>
    <font>
      <sz val="7"/>
      <color indexed="8"/>
      <name val="Times New Roman"/>
      <family val="1"/>
    </font>
    <font>
      <b/>
      <sz val="7"/>
      <color indexed="8"/>
      <name val="Times New Roman"/>
      <family val="1"/>
    </font>
    <font>
      <b/>
      <sz val="12"/>
      <name val="Times New Roman"/>
      <family val="1"/>
    </font>
    <font>
      <b/>
      <sz val="10"/>
      <color indexed="18"/>
      <name val="Times New Roman"/>
      <family val="1"/>
    </font>
    <font>
      <b/>
      <sz val="8"/>
      <name val="Times New Roman"/>
      <family val="1"/>
    </font>
    <font>
      <b/>
      <sz val="6.5"/>
      <name val="Times New Roman"/>
      <family val="1"/>
    </font>
    <font>
      <sz val="6.5"/>
      <name val="Times New Roman"/>
      <family val="1"/>
    </font>
    <font>
      <b/>
      <sz val="6.5"/>
      <color indexed="8"/>
      <name val="Times New Roman"/>
      <family val="1"/>
    </font>
    <font>
      <sz val="6.5"/>
      <color indexed="8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8.5"/>
      <color indexed="8"/>
      <name val="Times New Roman"/>
      <family val="1"/>
    </font>
    <font>
      <sz val="12"/>
      <name val="Times New Roman"/>
      <family val="1"/>
    </font>
    <font>
      <sz val="6"/>
      <name val="Times New Roman"/>
      <family val="1"/>
    </font>
    <font>
      <b/>
      <sz val="7"/>
      <name val="Times New Roman"/>
      <family val="1"/>
    </font>
    <font>
      <vertAlign val="subscript"/>
      <sz val="7"/>
      <name val="Times New Roman"/>
      <family val="1"/>
    </font>
    <font>
      <b/>
      <sz val="10.5"/>
      <color indexed="8"/>
      <name val="Times New Roman"/>
      <family val="1"/>
    </font>
    <font>
      <sz val="10.5"/>
      <color indexed="8"/>
      <name val="Times New Roman"/>
      <family val="1"/>
    </font>
    <font>
      <sz val="7.5"/>
      <name val="Times New Roman"/>
      <family val="1"/>
    </font>
    <font>
      <b/>
      <sz val="7.5"/>
      <name val="Times New Roman"/>
      <family val="1"/>
    </font>
    <font>
      <sz val="8"/>
      <color indexed="10"/>
      <name val="Times New Roman"/>
      <family val="1"/>
    </font>
    <font>
      <sz val="7.5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name val="Arial"/>
      <family val="2"/>
    </font>
    <font>
      <b/>
      <sz val="8"/>
      <color indexed="18"/>
      <name val="Times New Roman"/>
      <family val="1"/>
    </font>
    <font>
      <sz val="8"/>
      <color indexed="18"/>
      <name val="Times New Roman"/>
      <family val="1"/>
    </font>
    <font>
      <b/>
      <sz val="11"/>
      <name val="Times New Roman"/>
      <family val="1"/>
    </font>
    <font>
      <sz val="8.5"/>
      <name val="Times New Roman"/>
      <family val="1"/>
    </font>
    <font>
      <b/>
      <sz val="6"/>
      <name val="Times New Roman"/>
      <family val="1"/>
    </font>
    <font>
      <vertAlign val="superscript"/>
      <sz val="6.5"/>
      <color indexed="8"/>
      <name val="Times New Roman"/>
      <family val="1"/>
    </font>
    <font>
      <b/>
      <sz val="7.5"/>
      <name val="Arial Narrow"/>
      <family val="2"/>
    </font>
    <font>
      <sz val="10"/>
      <name val="Arial"/>
      <family val="2"/>
    </font>
    <font>
      <b/>
      <sz val="12"/>
      <color indexed="8"/>
      <name val="Calibri"/>
      <family val="2"/>
    </font>
    <font>
      <sz val="8.5"/>
      <color indexed="8"/>
      <name val="Times New Roman"/>
      <family val="1"/>
    </font>
    <font>
      <sz val="8"/>
      <name val="Arial"/>
      <family val="2"/>
    </font>
    <font>
      <sz val="9"/>
      <color indexed="8"/>
      <name val="Arial Narrow"/>
      <family val="2"/>
    </font>
    <font>
      <vertAlign val="superscript"/>
      <sz val="9"/>
      <color indexed="8"/>
      <name val="Times New Roman"/>
      <family val="1"/>
    </font>
    <font>
      <sz val="5"/>
      <color indexed="8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b/>
      <sz val="6"/>
      <color indexed="8"/>
      <name val="Times New Roman"/>
      <family val="1"/>
    </font>
    <font>
      <sz val="5"/>
      <name val="Times New Roman"/>
      <family val="1"/>
    </font>
    <font>
      <b/>
      <sz val="16"/>
      <name val="Arial"/>
      <family val="2"/>
    </font>
    <font>
      <sz val="11"/>
      <name val="Arial"/>
      <family val="2"/>
    </font>
    <font>
      <sz val="52"/>
      <name val="Arial"/>
      <family val="2"/>
    </font>
    <font>
      <sz val="7"/>
      <name val="Arial"/>
      <family val="2"/>
    </font>
    <font>
      <b/>
      <sz val="7.5"/>
      <color indexed="8"/>
      <name val="Times New Roman"/>
      <family val="1"/>
    </font>
    <font>
      <b/>
      <sz val="20"/>
      <name val="Times New Roman"/>
      <family val="1"/>
    </font>
    <font>
      <sz val="16"/>
      <name val="Arial"/>
      <family val="2"/>
    </font>
    <font>
      <sz val="22"/>
      <name val="Times New Roman"/>
      <family val="1"/>
    </font>
    <font>
      <b/>
      <sz val="10"/>
      <name val="Arial"/>
      <family val="2"/>
    </font>
    <font>
      <b/>
      <sz val="18"/>
      <name val="Times New Roman"/>
      <family val="1"/>
    </font>
    <font>
      <sz val="8"/>
      <color indexed="8"/>
      <name val="Arial Narrow"/>
      <family val="2"/>
    </font>
    <font>
      <sz val="7"/>
      <name val="Arial Narrow"/>
      <family val="2"/>
    </font>
    <font>
      <sz val="8"/>
      <name val="Arial Narrow"/>
      <family val="2"/>
    </font>
    <font>
      <b/>
      <sz val="9"/>
      <color indexed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7.5"/>
      <color indexed="8"/>
      <name val="Arial Narrow"/>
      <family val="2"/>
    </font>
    <font>
      <b/>
      <sz val="10.5"/>
      <color indexed="8"/>
      <name val="Arial Narrow"/>
      <family val="2"/>
    </font>
    <font>
      <b/>
      <sz val="6.5"/>
      <name val="Arial Narrow"/>
      <family val="2"/>
    </font>
    <font>
      <sz val="6.5"/>
      <name val="Arial Narrow"/>
      <family val="2"/>
    </font>
    <font>
      <b/>
      <sz val="8"/>
      <color indexed="8"/>
      <name val="Arial Narrow"/>
      <family val="2"/>
    </font>
    <font>
      <sz val="5.5"/>
      <name val="Times New Roman"/>
      <family val="1"/>
    </font>
    <font>
      <b/>
      <sz val="5.5"/>
      <name val="Times New Roman"/>
      <family val="1"/>
    </font>
    <font>
      <sz val="7"/>
      <color indexed="8"/>
      <name val="Arial Narrow"/>
      <family val="2"/>
    </font>
    <font>
      <b/>
      <vertAlign val="superscript"/>
      <sz val="9"/>
      <color indexed="8"/>
      <name val="Times New Roman"/>
      <family val="1"/>
    </font>
    <font>
      <b/>
      <sz val="8.5"/>
      <color indexed="8"/>
      <name val="Arial Narrow"/>
      <family val="2"/>
    </font>
    <font>
      <b/>
      <vertAlign val="superscript"/>
      <sz val="8.5"/>
      <color indexed="8"/>
      <name val="Arial Narrow"/>
      <family val="2"/>
    </font>
    <font>
      <b/>
      <sz val="9.5"/>
      <color indexed="8"/>
      <name val="Arial Narrow"/>
      <family val="2"/>
    </font>
    <font>
      <b/>
      <vertAlign val="superscript"/>
      <sz val="8"/>
      <color indexed="8"/>
      <name val="Times New Roman"/>
      <family val="1"/>
    </font>
    <font>
      <b/>
      <sz val="8.25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u/>
      <sz val="8"/>
      <color rgb="FF800080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u/>
      <sz val="8"/>
      <color rgb="FF0000FF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7"/>
      <color rgb="FF000000"/>
      <name val="Times New Roman"/>
      <family val="1"/>
    </font>
    <font>
      <sz val="8"/>
      <color theme="1"/>
      <name val="Times New Roman"/>
      <family val="1"/>
    </font>
    <font>
      <sz val="11"/>
      <name val="Calibri"/>
      <family val="2"/>
      <scheme val="minor"/>
    </font>
    <font>
      <b/>
      <sz val="16"/>
      <color theme="0"/>
      <name val="Arial"/>
      <family val="2"/>
    </font>
    <font>
      <sz val="8"/>
      <color rgb="FFFF0000"/>
      <name val="Times New Roman"/>
      <family val="1"/>
    </font>
    <font>
      <sz val="7"/>
      <color rgb="FFFF0000"/>
      <name val="Times New Roman"/>
      <family val="1"/>
    </font>
    <font>
      <sz val="7.5"/>
      <color rgb="FFFF0000"/>
      <name val="Times New Roman"/>
      <family val="1"/>
    </font>
    <font>
      <sz val="6.25"/>
      <color rgb="FFFF0000"/>
      <name val="Arial Narrow"/>
      <family val="2"/>
    </font>
    <font>
      <sz val="6"/>
      <color rgb="FFFF0000"/>
      <name val="Arial Narrow"/>
      <family val="2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6.5"/>
      <color theme="1"/>
      <name val="Times New Roman"/>
      <family val="1"/>
    </font>
    <font>
      <sz val="6"/>
      <color theme="1"/>
      <name val="Times New Roman"/>
      <family val="1"/>
    </font>
    <font>
      <sz val="7.5"/>
      <color theme="1"/>
      <name val="Times New Roman"/>
      <family val="1"/>
    </font>
    <font>
      <b/>
      <sz val="7"/>
      <color theme="1"/>
      <name val="Arial Narrow"/>
      <family val="2"/>
    </font>
    <font>
      <b/>
      <sz val="6"/>
      <color theme="1"/>
      <name val="Arial Narrow"/>
      <family val="2"/>
    </font>
    <font>
      <sz val="7"/>
      <color theme="1"/>
      <name val="Arial Narrow"/>
      <family val="2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Arial"/>
      <family val="2"/>
    </font>
    <font>
      <sz val="8"/>
      <color rgb="FF000066"/>
      <name val="Times New Roman"/>
      <family val="1"/>
    </font>
    <font>
      <b/>
      <sz val="7.5"/>
      <color theme="1"/>
      <name val="Times New Roman"/>
      <family val="1"/>
    </font>
    <font>
      <b/>
      <sz val="52"/>
      <color theme="0"/>
      <name val="Arial"/>
      <family val="2"/>
    </font>
    <font>
      <b/>
      <sz val="36"/>
      <color theme="0"/>
      <name val="Arial Narrow"/>
      <family val="2"/>
    </font>
    <font>
      <sz val="6"/>
      <color rgb="FF000000"/>
      <name val="Times New Roman"/>
      <family val="1"/>
    </font>
    <font>
      <b/>
      <sz val="7.5"/>
      <color theme="1"/>
      <name val="Arial Narrow"/>
      <family val="2"/>
    </font>
    <font>
      <sz val="8.5"/>
      <color theme="1"/>
      <name val="Times New Roman"/>
      <family val="1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6.5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8"/>
      <name val="Times New Roman"/>
      <family val="1"/>
    </font>
    <font>
      <b/>
      <vertAlign val="superscript"/>
      <sz val="8"/>
      <name val="Times New Roman"/>
      <family val="1"/>
    </font>
    <font>
      <b/>
      <vertAlign val="superscript"/>
      <sz val="8"/>
      <color indexed="8"/>
      <name val="Arial Narrow"/>
      <family val="2"/>
    </font>
    <font>
      <b/>
      <sz val="14"/>
      <name val="Sylfaen"/>
      <family val="1"/>
    </font>
    <font>
      <sz val="10"/>
      <name val="Sylfaen"/>
      <family val="1"/>
    </font>
    <font>
      <sz val="12"/>
      <name val="Sylfaen"/>
      <family val="1"/>
    </font>
    <font>
      <b/>
      <sz val="12"/>
      <name val="Sylfaen"/>
      <family val="1"/>
    </font>
    <font>
      <sz val="14"/>
      <name val="Sylfaen"/>
      <family val="1"/>
    </font>
    <font>
      <b/>
      <sz val="18"/>
      <name val="Arial"/>
      <family val="2"/>
    </font>
    <font>
      <sz val="16"/>
      <name val="Sylfaen"/>
      <family val="1"/>
    </font>
    <font>
      <b/>
      <sz val="16"/>
      <name val="Sylfaen"/>
      <family val="1"/>
    </font>
    <font>
      <b/>
      <sz val="13"/>
      <name val="Sylfaen"/>
      <family val="1"/>
    </font>
    <font>
      <sz val="13"/>
      <name val="Sylfaen"/>
      <family val="1"/>
    </font>
    <font>
      <sz val="18"/>
      <name val="Sylfaen"/>
      <family val="1"/>
    </font>
    <font>
      <b/>
      <sz val="18"/>
      <name val="Sylfae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1"/>
    </font>
    <font>
      <sz val="6"/>
      <name val="Times New Roman"/>
      <family val="1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6"/>
      <color indexed="8"/>
      <name val="Calibri"/>
      <family val="2"/>
      <scheme val="minor"/>
    </font>
    <font>
      <b/>
      <sz val="8.5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8"/>
      <color rgb="FFFF0000"/>
      <name val="Arial"/>
      <family val="2"/>
    </font>
    <font>
      <vertAlign val="superscript"/>
      <sz val="8"/>
      <color rgb="FF000000"/>
      <name val="Times New Roman"/>
      <family val="1"/>
    </font>
    <font>
      <b/>
      <vertAlign val="superscript"/>
      <sz val="8"/>
      <color rgb="FF000000"/>
      <name val="Times New Roman"/>
      <family val="1"/>
    </font>
    <font>
      <sz val="9"/>
      <color rgb="FF000000"/>
      <name val="Times New Roman"/>
      <family val="1"/>
    </font>
    <font>
      <vertAlign val="superscript"/>
      <sz val="7.5"/>
      <color indexed="8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7D7D7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33">
    <xf numFmtId="0" fontId="0" fillId="0" borderId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4" borderId="0" applyNumberFormat="0" applyBorder="0" applyAlignment="0" applyProtection="0"/>
    <xf numFmtId="0" fontId="96" fillId="4" borderId="0" applyNumberFormat="0" applyBorder="0" applyAlignment="0" applyProtection="0"/>
    <xf numFmtId="0" fontId="96" fillId="4" borderId="0" applyNumberFormat="0" applyBorder="0" applyAlignment="0" applyProtection="0"/>
    <xf numFmtId="0" fontId="96" fillId="4" borderId="0" applyNumberFormat="0" applyBorder="0" applyAlignment="0" applyProtection="0"/>
    <xf numFmtId="0" fontId="96" fillId="4" borderId="0" applyNumberFormat="0" applyBorder="0" applyAlignment="0" applyProtection="0"/>
    <xf numFmtId="0" fontId="96" fillId="5" borderId="0" applyNumberFormat="0" applyBorder="0" applyAlignment="0" applyProtection="0"/>
    <xf numFmtId="0" fontId="96" fillId="5" borderId="0" applyNumberFormat="0" applyBorder="0" applyAlignment="0" applyProtection="0"/>
    <xf numFmtId="0" fontId="96" fillId="5" borderId="0" applyNumberFormat="0" applyBorder="0" applyAlignment="0" applyProtection="0"/>
    <xf numFmtId="0" fontId="96" fillId="5" borderId="0" applyNumberFormat="0" applyBorder="0" applyAlignment="0" applyProtection="0"/>
    <xf numFmtId="0" fontId="96" fillId="5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7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6" fillId="14" borderId="0" applyNumberFormat="0" applyBorder="0" applyAlignment="0" applyProtection="0"/>
    <xf numFmtId="0" fontId="97" fillId="15" borderId="0" applyNumberFormat="0" applyBorder="0" applyAlignment="0" applyProtection="0"/>
    <xf numFmtId="0" fontId="97" fillId="15" borderId="0" applyNumberFormat="0" applyBorder="0" applyAlignment="0" applyProtection="0"/>
    <xf numFmtId="0" fontId="97" fillId="15" borderId="0" applyNumberFormat="0" applyBorder="0" applyAlignment="0" applyProtection="0"/>
    <xf numFmtId="0" fontId="97" fillId="15" borderId="0" applyNumberFormat="0" applyBorder="0" applyAlignment="0" applyProtection="0"/>
    <xf numFmtId="0" fontId="97" fillId="15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7" borderId="0" applyNumberFormat="0" applyBorder="0" applyAlignment="0" applyProtection="0"/>
    <xf numFmtId="0" fontId="97" fillId="17" borderId="0" applyNumberFormat="0" applyBorder="0" applyAlignment="0" applyProtection="0"/>
    <xf numFmtId="0" fontId="97" fillId="17" borderId="0" applyNumberFormat="0" applyBorder="0" applyAlignment="0" applyProtection="0"/>
    <xf numFmtId="0" fontId="97" fillId="17" borderId="0" applyNumberFormat="0" applyBorder="0" applyAlignment="0" applyProtection="0"/>
    <xf numFmtId="0" fontId="97" fillId="17" borderId="0" applyNumberFormat="0" applyBorder="0" applyAlignment="0" applyProtection="0"/>
    <xf numFmtId="0" fontId="97" fillId="18" borderId="0" applyNumberFormat="0" applyBorder="0" applyAlignment="0" applyProtection="0"/>
    <xf numFmtId="0" fontId="97" fillId="18" borderId="0" applyNumberFormat="0" applyBorder="0" applyAlignment="0" applyProtection="0"/>
    <xf numFmtId="0" fontId="97" fillId="18" borderId="0" applyNumberFormat="0" applyBorder="0" applyAlignment="0" applyProtection="0"/>
    <xf numFmtId="0" fontId="97" fillId="18" borderId="0" applyNumberFormat="0" applyBorder="0" applyAlignment="0" applyProtection="0"/>
    <xf numFmtId="0" fontId="97" fillId="18" borderId="0" applyNumberFormat="0" applyBorder="0" applyAlignment="0" applyProtection="0"/>
    <xf numFmtId="0" fontId="97" fillId="19" borderId="0" applyNumberFormat="0" applyBorder="0" applyAlignment="0" applyProtection="0"/>
    <xf numFmtId="0" fontId="97" fillId="19" borderId="0" applyNumberFormat="0" applyBorder="0" applyAlignment="0" applyProtection="0"/>
    <xf numFmtId="0" fontId="97" fillId="19" borderId="0" applyNumberFormat="0" applyBorder="0" applyAlignment="0" applyProtection="0"/>
    <xf numFmtId="0" fontId="97" fillId="19" borderId="0" applyNumberFormat="0" applyBorder="0" applyAlignment="0" applyProtection="0"/>
    <xf numFmtId="0" fontId="97" fillId="19" borderId="0" applyNumberFormat="0" applyBorder="0" applyAlignment="0" applyProtection="0"/>
    <xf numFmtId="0" fontId="97" fillId="20" borderId="0" applyNumberFormat="0" applyBorder="0" applyAlignment="0" applyProtection="0"/>
    <xf numFmtId="0" fontId="97" fillId="20" borderId="0" applyNumberFormat="0" applyBorder="0" applyAlignment="0" applyProtection="0"/>
    <xf numFmtId="0" fontId="97" fillId="20" borderId="0" applyNumberFormat="0" applyBorder="0" applyAlignment="0" applyProtection="0"/>
    <xf numFmtId="0" fontId="97" fillId="20" borderId="0" applyNumberFormat="0" applyBorder="0" applyAlignment="0" applyProtection="0"/>
    <xf numFmtId="0" fontId="97" fillId="20" borderId="0" applyNumberFormat="0" applyBorder="0" applyAlignment="0" applyProtection="0"/>
    <xf numFmtId="0" fontId="97" fillId="21" borderId="0" applyNumberFormat="0" applyBorder="0" applyAlignment="0" applyProtection="0"/>
    <xf numFmtId="0" fontId="97" fillId="21" borderId="0" applyNumberFormat="0" applyBorder="0" applyAlignment="0" applyProtection="0"/>
    <xf numFmtId="0" fontId="97" fillId="21" borderId="0" applyNumberFormat="0" applyBorder="0" applyAlignment="0" applyProtection="0"/>
    <xf numFmtId="0" fontId="97" fillId="21" borderId="0" applyNumberFormat="0" applyBorder="0" applyAlignment="0" applyProtection="0"/>
    <xf numFmtId="0" fontId="97" fillId="21" borderId="0" applyNumberFormat="0" applyBorder="0" applyAlignment="0" applyProtection="0"/>
    <xf numFmtId="0" fontId="97" fillId="22" borderId="0" applyNumberFormat="0" applyBorder="0" applyAlignment="0" applyProtection="0"/>
    <xf numFmtId="0" fontId="97" fillId="22" borderId="0" applyNumberFormat="0" applyBorder="0" applyAlignment="0" applyProtection="0"/>
    <xf numFmtId="0" fontId="97" fillId="22" borderId="0" applyNumberFormat="0" applyBorder="0" applyAlignment="0" applyProtection="0"/>
    <xf numFmtId="0" fontId="97" fillId="22" borderId="0" applyNumberFormat="0" applyBorder="0" applyAlignment="0" applyProtection="0"/>
    <xf numFmtId="0" fontId="97" fillId="22" borderId="0" applyNumberFormat="0" applyBorder="0" applyAlignment="0" applyProtection="0"/>
    <xf numFmtId="0" fontId="97" fillId="23" borderId="0" applyNumberFormat="0" applyBorder="0" applyAlignment="0" applyProtection="0"/>
    <xf numFmtId="0" fontId="97" fillId="23" borderId="0" applyNumberFormat="0" applyBorder="0" applyAlignment="0" applyProtection="0"/>
    <xf numFmtId="0" fontId="97" fillId="23" borderId="0" applyNumberFormat="0" applyBorder="0" applyAlignment="0" applyProtection="0"/>
    <xf numFmtId="0" fontId="97" fillId="23" borderId="0" applyNumberFormat="0" applyBorder="0" applyAlignment="0" applyProtection="0"/>
    <xf numFmtId="0" fontId="97" fillId="23" borderId="0" applyNumberFormat="0" applyBorder="0" applyAlignment="0" applyProtection="0"/>
    <xf numFmtId="0" fontId="97" fillId="24" borderId="0" applyNumberFormat="0" applyBorder="0" applyAlignment="0" applyProtection="0"/>
    <xf numFmtId="0" fontId="97" fillId="24" borderId="0" applyNumberFormat="0" applyBorder="0" applyAlignment="0" applyProtection="0"/>
    <xf numFmtId="0" fontId="97" fillId="24" borderId="0" applyNumberFormat="0" applyBorder="0" applyAlignment="0" applyProtection="0"/>
    <xf numFmtId="0" fontId="97" fillId="24" borderId="0" applyNumberFormat="0" applyBorder="0" applyAlignment="0" applyProtection="0"/>
    <xf numFmtId="0" fontId="97" fillId="24" borderId="0" applyNumberFormat="0" applyBorder="0" applyAlignment="0" applyProtection="0"/>
    <xf numFmtId="0" fontId="97" fillId="25" borderId="0" applyNumberFormat="0" applyBorder="0" applyAlignment="0" applyProtection="0"/>
    <xf numFmtId="0" fontId="97" fillId="25" borderId="0" applyNumberFormat="0" applyBorder="0" applyAlignment="0" applyProtection="0"/>
    <xf numFmtId="0" fontId="97" fillId="25" borderId="0" applyNumberFormat="0" applyBorder="0" applyAlignment="0" applyProtection="0"/>
    <xf numFmtId="0" fontId="97" fillId="25" borderId="0" applyNumberFormat="0" applyBorder="0" applyAlignment="0" applyProtection="0"/>
    <xf numFmtId="0" fontId="97" fillId="25" borderId="0" applyNumberFormat="0" applyBorder="0" applyAlignment="0" applyProtection="0"/>
    <xf numFmtId="0" fontId="97" fillId="26" borderId="0" applyNumberFormat="0" applyBorder="0" applyAlignment="0" applyProtection="0"/>
    <xf numFmtId="0" fontId="97" fillId="26" borderId="0" applyNumberFormat="0" applyBorder="0" applyAlignment="0" applyProtection="0"/>
    <xf numFmtId="0" fontId="97" fillId="26" borderId="0" applyNumberFormat="0" applyBorder="0" applyAlignment="0" applyProtection="0"/>
    <xf numFmtId="0" fontId="97" fillId="26" borderId="0" applyNumberFormat="0" applyBorder="0" applyAlignment="0" applyProtection="0"/>
    <xf numFmtId="0" fontId="97" fillId="26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99" fillId="28" borderId="39" applyNumberFormat="0" applyAlignment="0" applyProtection="0"/>
    <xf numFmtId="0" fontId="99" fillId="28" borderId="39" applyNumberFormat="0" applyAlignment="0" applyProtection="0"/>
    <xf numFmtId="0" fontId="99" fillId="28" borderId="39" applyNumberFormat="0" applyAlignment="0" applyProtection="0"/>
    <xf numFmtId="0" fontId="99" fillId="28" borderId="39" applyNumberFormat="0" applyAlignment="0" applyProtection="0"/>
    <xf numFmtId="0" fontId="99" fillId="28" borderId="39" applyNumberFormat="0" applyAlignment="0" applyProtection="0"/>
    <xf numFmtId="0" fontId="100" fillId="29" borderId="40" applyNumberFormat="0" applyAlignment="0" applyProtection="0"/>
    <xf numFmtId="0" fontId="100" fillId="29" borderId="40" applyNumberFormat="0" applyAlignment="0" applyProtection="0"/>
    <xf numFmtId="0" fontId="100" fillId="29" borderId="40" applyNumberFormat="0" applyAlignment="0" applyProtection="0"/>
    <xf numFmtId="0" fontId="100" fillId="29" borderId="40" applyNumberFormat="0" applyAlignment="0" applyProtection="0"/>
    <xf numFmtId="0" fontId="100" fillId="29" borderId="40" applyNumberFormat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30" borderId="0" applyNumberFormat="0" applyBorder="0" applyAlignment="0" applyProtection="0"/>
    <xf numFmtId="0" fontId="103" fillId="30" borderId="0" applyNumberFormat="0" applyBorder="0" applyAlignment="0" applyProtection="0"/>
    <xf numFmtId="0" fontId="103" fillId="30" borderId="0" applyNumberFormat="0" applyBorder="0" applyAlignment="0" applyProtection="0"/>
    <xf numFmtId="0" fontId="103" fillId="30" borderId="0" applyNumberFormat="0" applyBorder="0" applyAlignment="0" applyProtection="0"/>
    <xf numFmtId="0" fontId="103" fillId="30" borderId="0" applyNumberFormat="0" applyBorder="0" applyAlignment="0" applyProtection="0"/>
    <xf numFmtId="0" fontId="104" fillId="0" borderId="41" applyNumberFormat="0" applyFill="0" applyAlignment="0" applyProtection="0"/>
    <xf numFmtId="0" fontId="104" fillId="0" borderId="41" applyNumberFormat="0" applyFill="0" applyAlignment="0" applyProtection="0"/>
    <xf numFmtId="0" fontId="104" fillId="0" borderId="41" applyNumberFormat="0" applyFill="0" applyAlignment="0" applyProtection="0"/>
    <xf numFmtId="0" fontId="104" fillId="0" borderId="41" applyNumberFormat="0" applyFill="0" applyAlignment="0" applyProtection="0"/>
    <xf numFmtId="0" fontId="104" fillId="0" borderId="41" applyNumberFormat="0" applyFill="0" applyAlignment="0" applyProtection="0"/>
    <xf numFmtId="0" fontId="105" fillId="0" borderId="42" applyNumberFormat="0" applyFill="0" applyAlignment="0" applyProtection="0"/>
    <xf numFmtId="0" fontId="105" fillId="0" borderId="42" applyNumberFormat="0" applyFill="0" applyAlignment="0" applyProtection="0"/>
    <xf numFmtId="0" fontId="105" fillId="0" borderId="42" applyNumberFormat="0" applyFill="0" applyAlignment="0" applyProtection="0"/>
    <xf numFmtId="0" fontId="105" fillId="0" borderId="42" applyNumberFormat="0" applyFill="0" applyAlignment="0" applyProtection="0"/>
    <xf numFmtId="0" fontId="105" fillId="0" borderId="42" applyNumberFormat="0" applyFill="0" applyAlignment="0" applyProtection="0"/>
    <xf numFmtId="0" fontId="106" fillId="0" borderId="43" applyNumberFormat="0" applyFill="0" applyAlignment="0" applyProtection="0"/>
    <xf numFmtId="0" fontId="106" fillId="0" borderId="43" applyNumberFormat="0" applyFill="0" applyAlignment="0" applyProtection="0"/>
    <xf numFmtId="0" fontId="106" fillId="0" borderId="43" applyNumberFormat="0" applyFill="0" applyAlignment="0" applyProtection="0"/>
    <xf numFmtId="0" fontId="106" fillId="0" borderId="43" applyNumberFormat="0" applyFill="0" applyAlignment="0" applyProtection="0"/>
    <xf numFmtId="0" fontId="106" fillId="0" borderId="43" applyNumberFormat="0" applyFill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31" borderId="39" applyNumberFormat="0" applyAlignment="0" applyProtection="0"/>
    <xf numFmtId="0" fontId="108" fillId="31" borderId="39" applyNumberFormat="0" applyAlignment="0" applyProtection="0"/>
    <xf numFmtId="0" fontId="108" fillId="31" borderId="39" applyNumberFormat="0" applyAlignment="0" applyProtection="0"/>
    <xf numFmtId="0" fontId="108" fillId="31" borderId="39" applyNumberFormat="0" applyAlignment="0" applyProtection="0"/>
    <xf numFmtId="0" fontId="108" fillId="31" borderId="39" applyNumberFormat="0" applyAlignment="0" applyProtection="0"/>
    <xf numFmtId="0" fontId="109" fillId="0" borderId="44" applyNumberFormat="0" applyFill="0" applyAlignment="0" applyProtection="0"/>
    <xf numFmtId="0" fontId="109" fillId="0" borderId="44" applyNumberFormat="0" applyFill="0" applyAlignment="0" applyProtection="0"/>
    <xf numFmtId="0" fontId="109" fillId="0" borderId="44" applyNumberFormat="0" applyFill="0" applyAlignment="0" applyProtection="0"/>
    <xf numFmtId="0" fontId="109" fillId="0" borderId="44" applyNumberFormat="0" applyFill="0" applyAlignment="0" applyProtection="0"/>
    <xf numFmtId="0" fontId="109" fillId="0" borderId="44" applyNumberFormat="0" applyFill="0" applyAlignment="0" applyProtection="0"/>
    <xf numFmtId="0" fontId="110" fillId="32" borderId="0" applyNumberFormat="0" applyBorder="0" applyAlignment="0" applyProtection="0"/>
    <xf numFmtId="0" fontId="110" fillId="32" borderId="0" applyNumberFormat="0" applyBorder="0" applyAlignment="0" applyProtection="0"/>
    <xf numFmtId="0" fontId="110" fillId="32" borderId="0" applyNumberFormat="0" applyBorder="0" applyAlignment="0" applyProtection="0"/>
    <xf numFmtId="0" fontId="110" fillId="32" borderId="0" applyNumberFormat="0" applyBorder="0" applyAlignment="0" applyProtection="0"/>
    <xf numFmtId="0" fontId="110" fillId="32" borderId="0" applyNumberFormat="0" applyBorder="0" applyAlignment="0" applyProtection="0"/>
    <xf numFmtId="0" fontId="95" fillId="0" borderId="0"/>
    <xf numFmtId="0" fontId="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6" fillId="33" borderId="45" applyNumberFormat="0" applyFont="0" applyAlignment="0" applyProtection="0"/>
    <xf numFmtId="0" fontId="96" fillId="33" borderId="45" applyNumberFormat="0" applyFont="0" applyAlignment="0" applyProtection="0"/>
    <xf numFmtId="0" fontId="96" fillId="33" borderId="45" applyNumberFormat="0" applyFont="0" applyAlignment="0" applyProtection="0"/>
    <xf numFmtId="0" fontId="96" fillId="33" borderId="45" applyNumberFormat="0" applyFont="0" applyAlignment="0" applyProtection="0"/>
    <xf numFmtId="0" fontId="96" fillId="33" borderId="45" applyNumberFormat="0" applyFont="0" applyAlignment="0" applyProtection="0"/>
    <xf numFmtId="0" fontId="111" fillId="28" borderId="46" applyNumberFormat="0" applyAlignment="0" applyProtection="0"/>
    <xf numFmtId="0" fontId="111" fillId="28" borderId="46" applyNumberFormat="0" applyAlignment="0" applyProtection="0"/>
    <xf numFmtId="0" fontId="111" fillId="28" borderId="46" applyNumberFormat="0" applyAlignment="0" applyProtection="0"/>
    <xf numFmtId="0" fontId="111" fillId="28" borderId="46" applyNumberFormat="0" applyAlignment="0" applyProtection="0"/>
    <xf numFmtId="0" fontId="111" fillId="28" borderId="46" applyNumberFormat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47" applyNumberFormat="0" applyFill="0" applyAlignment="0" applyProtection="0"/>
    <xf numFmtId="0" fontId="113" fillId="0" borderId="47" applyNumberFormat="0" applyFill="0" applyAlignment="0" applyProtection="0"/>
    <xf numFmtId="0" fontId="113" fillId="0" borderId="47" applyNumberFormat="0" applyFill="0" applyAlignment="0" applyProtection="0"/>
    <xf numFmtId="0" fontId="113" fillId="0" borderId="47" applyNumberFormat="0" applyFill="0" applyAlignment="0" applyProtection="0"/>
    <xf numFmtId="0" fontId="113" fillId="0" borderId="47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" fillId="0" borderId="0"/>
  </cellStyleXfs>
  <cellXfs count="2241">
    <xf numFmtId="0" fontId="0" fillId="0" borderId="0" xfId="0"/>
    <xf numFmtId="0" fontId="4" fillId="0" borderId="0" xfId="0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2" fontId="14" fillId="0" borderId="0" xfId="0" applyNumberFormat="1" applyFont="1" applyBorder="1"/>
    <xf numFmtId="0" fontId="15" fillId="0" borderId="0" xfId="0" applyFont="1" applyBorder="1" applyAlignment="1"/>
    <xf numFmtId="0" fontId="15" fillId="0" borderId="0" xfId="0" applyFont="1" applyBorder="1" applyAlignment="1">
      <alignment horizontal="left"/>
    </xf>
    <xf numFmtId="0" fontId="14" fillId="0" borderId="0" xfId="0" applyFont="1" applyAlignment="1"/>
    <xf numFmtId="0" fontId="15" fillId="0" borderId="0" xfId="0" applyFont="1"/>
    <xf numFmtId="0" fontId="15" fillId="0" borderId="0" xfId="0" applyFont="1" applyBorder="1"/>
    <xf numFmtId="0" fontId="13" fillId="0" borderId="0" xfId="0" applyFont="1" applyBorder="1" applyAlignment="1">
      <alignment horizontal="left" wrapText="1"/>
    </xf>
    <xf numFmtId="0" fontId="18" fillId="0" borderId="0" xfId="0" applyFont="1" applyBorder="1" applyAlignment="1">
      <alignment horizontal="left" wrapText="1"/>
    </xf>
    <xf numFmtId="0" fontId="13" fillId="0" borderId="0" xfId="0" applyFont="1" applyAlignment="1">
      <alignment wrapText="1"/>
    </xf>
    <xf numFmtId="0" fontId="16" fillId="0" borderId="1" xfId="0" applyFont="1" applyBorder="1" applyAlignment="1">
      <alignment wrapText="1"/>
    </xf>
    <xf numFmtId="0" fontId="23" fillId="0" borderId="0" xfId="0" applyFont="1"/>
    <xf numFmtId="0" fontId="27" fillId="0" borderId="0" xfId="0" applyFont="1" applyAlignment="1">
      <alignment horizontal="left" wrapText="1"/>
    </xf>
    <xf numFmtId="0" fontId="25" fillId="0" borderId="0" xfId="0" applyFont="1"/>
    <xf numFmtId="2" fontId="13" fillId="0" borderId="0" xfId="0" applyNumberFormat="1" applyFont="1" applyBorder="1" applyAlignment="1">
      <alignment horizontal="center" wrapText="1"/>
    </xf>
    <xf numFmtId="2" fontId="13" fillId="0" borderId="0" xfId="0" applyNumberFormat="1" applyFont="1" applyFill="1" applyBorder="1" applyAlignment="1">
      <alignment horizontal="center" wrapText="1"/>
    </xf>
    <xf numFmtId="2" fontId="15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wrapText="1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/>
    <xf numFmtId="0" fontId="29" fillId="0" borderId="0" xfId="0" applyFont="1" applyBorder="1" applyAlignment="1">
      <alignment horizontal="center" wrapText="1"/>
    </xf>
    <xf numFmtId="0" fontId="31" fillId="0" borderId="0" xfId="0" applyFont="1"/>
    <xf numFmtId="0" fontId="32" fillId="0" borderId="0" xfId="0" applyFont="1"/>
    <xf numFmtId="0" fontId="31" fillId="0" borderId="0" xfId="0" applyFont="1" applyAlignment="1">
      <alignment wrapText="1"/>
    </xf>
    <xf numFmtId="164" fontId="15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164" fontId="15" fillId="0" borderId="0" xfId="0" applyNumberFormat="1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0" xfId="0" applyFont="1" applyFill="1" applyBorder="1" applyAlignment="1">
      <alignment horizontal="center"/>
    </xf>
    <xf numFmtId="2" fontId="15" fillId="0" borderId="0" xfId="0" applyNumberFormat="1" applyFont="1" applyFill="1" applyBorder="1" applyAlignment="1">
      <alignment horizontal="center"/>
    </xf>
    <xf numFmtId="1" fontId="15" fillId="0" borderId="0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27" fillId="0" borderId="0" xfId="0" applyFont="1"/>
    <xf numFmtId="0" fontId="14" fillId="0" borderId="0" xfId="0" applyFont="1"/>
    <xf numFmtId="0" fontId="19" fillId="0" borderId="0" xfId="0" applyFont="1" applyBorder="1" applyAlignment="1">
      <alignment wrapText="1"/>
    </xf>
    <xf numFmtId="0" fontId="15" fillId="0" borderId="0" xfId="0" applyFont="1" applyBorder="1" applyAlignment="1">
      <alignment horizontal="center" wrapText="1"/>
    </xf>
    <xf numFmtId="0" fontId="34" fillId="0" borderId="0" xfId="0" applyFont="1"/>
    <xf numFmtId="0" fontId="34" fillId="0" borderId="0" xfId="0" applyFont="1" applyBorder="1"/>
    <xf numFmtId="0" fontId="15" fillId="0" borderId="2" xfId="0" applyFont="1" applyBorder="1" applyAlignment="1">
      <alignment horizontal="center"/>
    </xf>
    <xf numFmtId="0" fontId="15" fillId="0" borderId="0" xfId="0" applyFont="1" applyBorder="1" applyAlignment="1">
      <alignment horizontal="right"/>
    </xf>
    <xf numFmtId="0" fontId="35" fillId="0" borderId="0" xfId="0" applyFont="1" applyAlignment="1"/>
    <xf numFmtId="0" fontId="35" fillId="0" borderId="0" xfId="0" applyFont="1"/>
    <xf numFmtId="164" fontId="15" fillId="0" borderId="0" xfId="0" applyNumberFormat="1" applyFont="1"/>
    <xf numFmtId="0" fontId="30" fillId="0" borderId="0" xfId="0" applyFont="1"/>
    <xf numFmtId="0" fontId="30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left" wrapText="1"/>
    </xf>
    <xf numFmtId="0" fontId="21" fillId="0" borderId="0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Border="1" applyAlignment="1">
      <alignment horizontal="right" wrapText="1"/>
    </xf>
    <xf numFmtId="0" fontId="35" fillId="0" borderId="0" xfId="0" applyFont="1" applyBorder="1"/>
    <xf numFmtId="49" fontId="35" fillId="0" borderId="0" xfId="0" applyNumberFormat="1" applyFont="1" applyAlignment="1"/>
    <xf numFmtId="0" fontId="13" fillId="0" borderId="0" xfId="0" applyFont="1" applyBorder="1"/>
    <xf numFmtId="0" fontId="15" fillId="0" borderId="0" xfId="0" applyFont="1" applyAlignment="1">
      <alignment horizontal="right" wrapText="1"/>
    </xf>
    <xf numFmtId="0" fontId="23" fillId="0" borderId="2" xfId="0" applyFont="1" applyBorder="1" applyAlignment="1">
      <alignment horizontal="center" wrapText="1"/>
    </xf>
    <xf numFmtId="0" fontId="15" fillId="0" borderId="0" xfId="0" applyFont="1" applyBorder="1" applyAlignment="1">
      <alignment horizontal="justify" wrapText="1"/>
    </xf>
    <xf numFmtId="0" fontId="36" fillId="0" borderId="0" xfId="0" applyFont="1" applyBorder="1" applyAlignment="1">
      <alignment wrapText="1"/>
    </xf>
    <xf numFmtId="0" fontId="35" fillId="0" borderId="0" xfId="0" applyFont="1" applyBorder="1" applyAlignment="1">
      <alignment wrapText="1"/>
    </xf>
    <xf numFmtId="0" fontId="23" fillId="0" borderId="0" xfId="0" applyFont="1" applyAlignment="1">
      <alignment horizontal="center"/>
    </xf>
    <xf numFmtId="49" fontId="15" fillId="0" borderId="0" xfId="0" applyNumberFormat="1" applyFont="1" applyBorder="1" applyAlignment="1">
      <alignment horizontal="center"/>
    </xf>
    <xf numFmtId="0" fontId="30" fillId="0" borderId="0" xfId="0" applyFont="1" applyAlignment="1">
      <alignment vertical="center"/>
    </xf>
    <xf numFmtId="49" fontId="15" fillId="0" borderId="0" xfId="0" applyNumberFormat="1" applyFont="1"/>
    <xf numFmtId="0" fontId="31" fillId="0" borderId="0" xfId="0" applyFont="1" applyBorder="1" applyAlignment="1">
      <alignment wrapText="1"/>
    </xf>
    <xf numFmtId="0" fontId="14" fillId="0" borderId="0" xfId="0" applyFont="1" applyBorder="1" applyAlignment="1">
      <alignment horizontal="center"/>
    </xf>
    <xf numFmtId="0" fontId="19" fillId="0" borderId="0" xfId="0" applyFont="1" applyBorder="1"/>
    <xf numFmtId="0" fontId="20" fillId="0" borderId="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7" fillId="0" borderId="0" xfId="0" applyFont="1" applyBorder="1"/>
    <xf numFmtId="0" fontId="14" fillId="0" borderId="0" xfId="0" applyFont="1" applyBorder="1" applyAlignment="1"/>
    <xf numFmtId="164" fontId="15" fillId="0" borderId="0" xfId="0" applyNumberFormat="1" applyFont="1" applyFill="1" applyBorder="1" applyAlignment="1">
      <alignment horizontal="center"/>
    </xf>
    <xf numFmtId="0" fontId="30" fillId="0" borderId="2" xfId="0" applyFont="1" applyBorder="1" applyAlignment="1">
      <alignment horizontal="center" vertical="center" wrapText="1"/>
    </xf>
    <xf numFmtId="0" fontId="15" fillId="0" borderId="0" xfId="0" applyFont="1" applyAlignment="1"/>
    <xf numFmtId="0" fontId="30" fillId="0" borderId="0" xfId="0" applyFont="1" applyBorder="1"/>
    <xf numFmtId="0" fontId="19" fillId="0" borderId="2" xfId="0" applyFont="1" applyBorder="1" applyAlignment="1">
      <alignment horizontal="center" vertical="center" wrapText="1"/>
    </xf>
    <xf numFmtId="0" fontId="31" fillId="0" borderId="0" xfId="0" applyFont="1" applyBorder="1" applyAlignment="1"/>
    <xf numFmtId="0" fontId="29" fillId="0" borderId="0" xfId="0" applyFont="1" applyBorder="1" applyAlignment="1">
      <alignment horizontal="center"/>
    </xf>
    <xf numFmtId="0" fontId="29" fillId="0" borderId="0" xfId="0" applyFont="1" applyBorder="1" applyAlignment="1"/>
    <xf numFmtId="0" fontId="16" fillId="0" borderId="0" xfId="0" applyFont="1" applyBorder="1"/>
    <xf numFmtId="0" fontId="13" fillId="0" borderId="0" xfId="0" applyFont="1" applyBorder="1" applyAlignment="1">
      <alignment horizontal="left"/>
    </xf>
    <xf numFmtId="0" fontId="19" fillId="0" borderId="0" xfId="0" applyFont="1" applyAlignment="1">
      <alignment vertical="center"/>
    </xf>
    <xf numFmtId="0" fontId="19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4" fillId="0" borderId="0" xfId="0" applyFont="1" applyBorder="1"/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>
      <alignment wrapText="1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 wrapText="1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29" fillId="0" borderId="0" xfId="0" applyFont="1" applyBorder="1" applyAlignment="1">
      <alignment wrapText="1"/>
    </xf>
    <xf numFmtId="0" fontId="29" fillId="0" borderId="0" xfId="0" applyFont="1" applyAlignment="1">
      <alignment wrapText="1"/>
    </xf>
    <xf numFmtId="0" fontId="13" fillId="0" borderId="1" xfId="0" applyFont="1" applyBorder="1" applyAlignment="1">
      <alignment horizontal="right" wrapText="1"/>
    </xf>
    <xf numFmtId="0" fontId="10" fillId="0" borderId="0" xfId="0" applyFont="1" applyAlignment="1">
      <alignment horizontal="center" vertical="center"/>
    </xf>
    <xf numFmtId="0" fontId="39" fillId="0" borderId="0" xfId="0" applyFont="1"/>
    <xf numFmtId="0" fontId="17" fillId="0" borderId="0" xfId="0" applyFont="1" applyBorder="1" applyAlignment="1">
      <alignment wrapText="1"/>
    </xf>
    <xf numFmtId="0" fontId="13" fillId="0" borderId="0" xfId="0" applyFont="1" applyAlignment="1">
      <alignment vertical="center"/>
    </xf>
    <xf numFmtId="0" fontId="16" fillId="0" borderId="0" xfId="0" applyFont="1" applyBorder="1" applyAlignment="1">
      <alignment horizontal="left" wrapText="1"/>
    </xf>
    <xf numFmtId="0" fontId="16" fillId="0" borderId="0" xfId="0" applyFont="1" applyBorder="1" applyAlignment="1">
      <alignment vertical="center"/>
    </xf>
    <xf numFmtId="0" fontId="17" fillId="0" borderId="0" xfId="0" applyFont="1"/>
    <xf numFmtId="0" fontId="30" fillId="0" borderId="2" xfId="0" applyFont="1" applyFill="1" applyBorder="1" applyAlignment="1">
      <alignment horizontal="center" vertical="center" wrapText="1"/>
    </xf>
    <xf numFmtId="0" fontId="40" fillId="0" borderId="0" xfId="0" applyFont="1"/>
    <xf numFmtId="0" fontId="14" fillId="0" borderId="0" xfId="0" applyFont="1" applyAlignment="1">
      <alignment horizontal="center"/>
    </xf>
    <xf numFmtId="0" fontId="19" fillId="0" borderId="0" xfId="0" applyFont="1" applyAlignment="1">
      <alignment wrapText="1"/>
    </xf>
    <xf numFmtId="0" fontId="13" fillId="0" borderId="2" xfId="0" applyFont="1" applyBorder="1" applyAlignment="1">
      <alignment wrapText="1"/>
    </xf>
    <xf numFmtId="2" fontId="15" fillId="0" borderId="0" xfId="0" applyNumberFormat="1" applyFont="1"/>
    <xf numFmtId="0" fontId="9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Border="1" applyAlignment="1"/>
    <xf numFmtId="49" fontId="15" fillId="0" borderId="0" xfId="0" applyNumberFormat="1" applyFont="1" applyBorder="1"/>
    <xf numFmtId="0" fontId="16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6" fillId="0" borderId="0" xfId="0" applyFont="1" applyBorder="1" applyAlignment="1">
      <alignment wrapText="1"/>
    </xf>
    <xf numFmtId="0" fontId="16" fillId="0" borderId="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17" fillId="0" borderId="0" xfId="0" applyFont="1" applyAlignment="1">
      <alignment wrapText="1"/>
    </xf>
    <xf numFmtId="49" fontId="30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right" wrapText="1"/>
    </xf>
    <xf numFmtId="0" fontId="10" fillId="0" borderId="0" xfId="0" applyFont="1" applyBorder="1" applyAlignment="1">
      <alignment horizontal="right"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49" fontId="14" fillId="0" borderId="0" xfId="0" applyNumberFormat="1" applyFont="1" applyBorder="1" applyAlignment="1">
      <alignment horizontal="center"/>
    </xf>
    <xf numFmtId="2" fontId="14" fillId="0" borderId="0" xfId="0" applyNumberFormat="1" applyFont="1" applyBorder="1" applyAlignment="1">
      <alignment horizontal="center"/>
    </xf>
    <xf numFmtId="0" fontId="36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49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14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0" fontId="45" fillId="0" borderId="0" xfId="0" applyFont="1"/>
    <xf numFmtId="0" fontId="30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16" fillId="0" borderId="1" xfId="0" applyFont="1" applyBorder="1" applyAlignment="1">
      <alignment vertical="top" wrapText="1"/>
    </xf>
    <xf numFmtId="2" fontId="19" fillId="0" borderId="0" xfId="0" applyNumberFormat="1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0" xfId="0" applyFont="1" applyBorder="1" applyAlignment="1">
      <alignment horizontal="right" wrapText="1"/>
    </xf>
    <xf numFmtId="0" fontId="35" fillId="0" borderId="0" xfId="0" applyFont="1" applyAlignment="1">
      <alignment horizontal="center"/>
    </xf>
    <xf numFmtId="2" fontId="18" fillId="0" borderId="0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20" fillId="0" borderId="0" xfId="0" applyFont="1" applyBorder="1" applyAlignment="1">
      <alignment horizontal="left" wrapText="1"/>
    </xf>
    <xf numFmtId="0" fontId="9" fillId="0" borderId="1" xfId="0" applyFont="1" applyBorder="1" applyAlignment="1"/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top" wrapText="1"/>
    </xf>
    <xf numFmtId="2" fontId="13" fillId="0" borderId="0" xfId="0" applyNumberFormat="1" applyFont="1" applyBorder="1" applyAlignment="1">
      <alignment horizontal="center" vertical="top" wrapText="1"/>
    </xf>
    <xf numFmtId="0" fontId="13" fillId="0" borderId="0" xfId="0" applyFont="1" applyBorder="1" applyAlignment="1">
      <alignment vertical="top" wrapText="1"/>
    </xf>
    <xf numFmtId="0" fontId="47" fillId="0" borderId="0" xfId="0" applyFont="1" applyBorder="1" applyAlignment="1">
      <alignment wrapText="1"/>
    </xf>
    <xf numFmtId="0" fontId="13" fillId="0" borderId="0" xfId="0" applyFont="1" applyBorder="1" applyAlignment="1">
      <alignment horizontal="center" vertical="top" wrapText="1"/>
    </xf>
    <xf numFmtId="0" fontId="17" fillId="0" borderId="0" xfId="0" applyFont="1" applyBorder="1" applyAlignment="1"/>
    <xf numFmtId="0" fontId="19" fillId="0" borderId="0" xfId="0" applyFont="1" applyBorder="1" applyAlignment="1">
      <alignment horizontal="center" vertical="top" wrapText="1"/>
    </xf>
    <xf numFmtId="0" fontId="13" fillId="0" borderId="0" xfId="0" applyFont="1" applyAlignment="1"/>
    <xf numFmtId="0" fontId="32" fillId="0" borderId="0" xfId="0" applyFont="1" applyBorder="1"/>
    <xf numFmtId="0" fontId="13" fillId="0" borderId="1" xfId="0" applyFont="1" applyBorder="1" applyAlignment="1">
      <alignment wrapText="1"/>
    </xf>
    <xf numFmtId="0" fontId="48" fillId="0" borderId="0" xfId="0" applyFont="1" applyBorder="1" applyAlignment="1">
      <alignment wrapText="1"/>
    </xf>
    <xf numFmtId="0" fontId="29" fillId="0" borderId="0" xfId="0" applyFont="1" applyBorder="1" applyAlignment="1">
      <alignment vertical="center"/>
    </xf>
    <xf numFmtId="0" fontId="34" fillId="0" borderId="0" xfId="0" applyFont="1" applyBorder="1" applyAlignment="1">
      <alignment horizontal="right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right" vertical="center" wrapText="1" indent="1"/>
    </xf>
    <xf numFmtId="0" fontId="30" fillId="0" borderId="0" xfId="0" applyFont="1" applyBorder="1" applyAlignment="1">
      <alignment horizontal="right" vertic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 wrapText="1"/>
    </xf>
    <xf numFmtId="0" fontId="19" fillId="0" borderId="0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wrapText="1"/>
    </xf>
    <xf numFmtId="0" fontId="32" fillId="0" borderId="0" xfId="0" applyFont="1" applyAlignment="1">
      <alignment horizontal="center" vertical="center"/>
    </xf>
    <xf numFmtId="0" fontId="31" fillId="0" borderId="0" xfId="0" applyFont="1" applyBorder="1"/>
    <xf numFmtId="0" fontId="29" fillId="0" borderId="0" xfId="0" applyFont="1" applyBorder="1" applyAlignment="1">
      <alignment horizontal="center" vertical="center"/>
    </xf>
    <xf numFmtId="0" fontId="20" fillId="0" borderId="0" xfId="0" applyFont="1" applyBorder="1"/>
    <xf numFmtId="0" fontId="36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2" fontId="33" fillId="0" borderId="0" xfId="0" applyNumberFormat="1" applyFont="1" applyBorder="1" applyAlignment="1">
      <alignment horizontal="center" wrapText="1"/>
    </xf>
    <xf numFmtId="0" fontId="51" fillId="0" borderId="0" xfId="0" applyFont="1" applyBorder="1" applyAlignment="1">
      <alignment wrapText="1"/>
    </xf>
    <xf numFmtId="49" fontId="35" fillId="0" borderId="0" xfId="0" applyNumberFormat="1" applyFont="1" applyBorder="1" applyAlignment="1">
      <alignment wrapText="1"/>
    </xf>
    <xf numFmtId="0" fontId="50" fillId="0" borderId="0" xfId="0" applyFont="1" applyBorder="1"/>
    <xf numFmtId="0" fontId="27" fillId="0" borderId="0" xfId="0" applyFont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vertical="center"/>
    </xf>
    <xf numFmtId="2" fontId="16" fillId="0" borderId="0" xfId="0" applyNumberFormat="1" applyFont="1" applyBorder="1" applyAlignment="1">
      <alignment horizontal="center" wrapText="1"/>
    </xf>
    <xf numFmtId="2" fontId="30" fillId="0" borderId="0" xfId="0" applyNumberFormat="1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left"/>
    </xf>
    <xf numFmtId="2" fontId="23" fillId="0" borderId="0" xfId="0" applyNumberFormat="1" applyFont="1" applyFill="1" applyBorder="1" applyAlignment="1">
      <alignment horizontal="center"/>
    </xf>
    <xf numFmtId="164" fontId="15" fillId="0" borderId="0" xfId="0" applyNumberFormat="1" applyFont="1" applyBorder="1"/>
    <xf numFmtId="1" fontId="16" fillId="0" borderId="0" xfId="0" applyNumberFormat="1" applyFont="1" applyBorder="1" applyAlignment="1">
      <alignment horizontal="center" wrapText="1"/>
    </xf>
    <xf numFmtId="2" fontId="15" fillId="0" borderId="0" xfId="0" applyNumberFormat="1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5" fillId="0" borderId="0" xfId="0" applyFont="1" applyBorder="1" applyAlignment="1">
      <alignment vertical="center" wrapText="1"/>
    </xf>
    <xf numFmtId="0" fontId="21" fillId="0" borderId="0" xfId="196" applyFont="1" applyAlignment="1">
      <alignment wrapText="1"/>
    </xf>
    <xf numFmtId="0" fontId="21" fillId="0" borderId="0" xfId="196" applyFont="1" applyAlignment="1">
      <alignment horizontal="right"/>
    </xf>
    <xf numFmtId="0" fontId="7" fillId="0" borderId="1" xfId="196" applyFont="1" applyBorder="1" applyAlignment="1">
      <alignment horizontal="left"/>
    </xf>
    <xf numFmtId="0" fontId="7" fillId="0" borderId="1" xfId="196" applyFont="1" applyBorder="1"/>
    <xf numFmtId="0" fontId="54" fillId="0" borderId="0" xfId="196" applyFont="1"/>
    <xf numFmtId="0" fontId="55" fillId="0" borderId="0" xfId="0" applyFont="1"/>
    <xf numFmtId="0" fontId="28" fillId="0" borderId="5" xfId="196" applyFont="1" applyBorder="1" applyAlignment="1">
      <alignment horizontal="center" vertical="center" wrapText="1"/>
    </xf>
    <xf numFmtId="0" fontId="56" fillId="0" borderId="0" xfId="0" applyFont="1"/>
    <xf numFmtId="0" fontId="43" fillId="0" borderId="0" xfId="0" applyFont="1" applyBorder="1" applyAlignment="1">
      <alignment horizontal="left" wrapText="1"/>
    </xf>
    <xf numFmtId="0" fontId="23" fillId="0" borderId="0" xfId="196" applyFont="1" applyBorder="1" applyAlignment="1">
      <alignment horizontal="left"/>
    </xf>
    <xf numFmtId="2" fontId="23" fillId="0" borderId="0" xfId="196" applyNumberFormat="1" applyFont="1" applyBorder="1" applyAlignment="1">
      <alignment horizontal="center"/>
    </xf>
    <xf numFmtId="0" fontId="15" fillId="0" borderId="0" xfId="196" applyFont="1" applyBorder="1" applyAlignment="1">
      <alignment horizontal="left"/>
    </xf>
    <xf numFmtId="2" fontId="15" fillId="0" borderId="0" xfId="196" applyNumberFormat="1" applyFont="1" applyBorder="1" applyAlignment="1">
      <alignment horizontal="center"/>
    </xf>
    <xf numFmtId="2" fontId="15" fillId="0" borderId="0" xfId="196" applyNumberFormat="1" applyFont="1" applyAlignment="1">
      <alignment horizontal="center"/>
    </xf>
    <xf numFmtId="2" fontId="23" fillId="0" borderId="0" xfId="196" applyNumberFormat="1" applyFont="1" applyAlignment="1">
      <alignment horizontal="center"/>
    </xf>
    <xf numFmtId="2" fontId="23" fillId="0" borderId="0" xfId="196" applyNumberFormat="1" applyFont="1" applyFill="1" applyAlignment="1">
      <alignment horizontal="center"/>
    </xf>
    <xf numFmtId="2" fontId="17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5" fillId="0" borderId="0" xfId="196" applyNumberFormat="1" applyFont="1" applyFill="1" applyAlignment="1">
      <alignment horizontal="center"/>
    </xf>
    <xf numFmtId="0" fontId="43" fillId="0" borderId="0" xfId="0" applyFont="1" applyBorder="1" applyAlignment="1">
      <alignment horizontal="center" wrapText="1"/>
    </xf>
    <xf numFmtId="2" fontId="43" fillId="0" borderId="0" xfId="0" applyNumberFormat="1" applyFont="1" applyBorder="1" applyAlignment="1">
      <alignment horizontal="center" wrapText="1"/>
    </xf>
    <xf numFmtId="0" fontId="43" fillId="0" borderId="0" xfId="0" applyFont="1" applyBorder="1" applyAlignment="1">
      <alignment horizontal="right" wrapText="1"/>
    </xf>
    <xf numFmtId="0" fontId="40" fillId="0" borderId="0" xfId="0" applyFont="1" applyBorder="1"/>
    <xf numFmtId="2" fontId="13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2" fontId="15" fillId="0" borderId="0" xfId="0" applyNumberFormat="1" applyFont="1" applyBorder="1"/>
    <xf numFmtId="0" fontId="35" fillId="0" borderId="0" xfId="0" applyFont="1" applyBorder="1" applyAlignment="1">
      <alignment horizontal="left" wrapText="1"/>
    </xf>
    <xf numFmtId="0" fontId="51" fillId="0" borderId="0" xfId="0" applyFont="1" applyBorder="1" applyAlignment="1">
      <alignment horizontal="center" wrapText="1"/>
    </xf>
    <xf numFmtId="0" fontId="7" fillId="0" borderId="0" xfId="0" applyFont="1" applyAlignment="1">
      <alignment horizontal="left"/>
    </xf>
    <xf numFmtId="0" fontId="27" fillId="0" borderId="0" xfId="0" applyFont="1" applyFill="1" applyBorder="1" applyAlignment="1">
      <alignment wrapText="1"/>
    </xf>
    <xf numFmtId="0" fontId="30" fillId="0" borderId="5" xfId="0" applyFont="1" applyFill="1" applyBorder="1" applyAlignment="1">
      <alignment horizontal="center" vertical="center" wrapText="1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/>
    <xf numFmtId="0" fontId="21" fillId="0" borderId="0" xfId="0" applyFont="1" applyFill="1" applyBorder="1" applyAlignment="1">
      <alignment horizontal="right" wrapText="1"/>
    </xf>
    <xf numFmtId="0" fontId="21" fillId="0" borderId="0" xfId="0" applyFont="1" applyFill="1" applyBorder="1" applyAlignment="1">
      <alignment wrapText="1"/>
    </xf>
    <xf numFmtId="0" fontId="34" fillId="0" borderId="0" xfId="0" applyFont="1" applyFill="1"/>
    <xf numFmtId="0" fontId="28" fillId="0" borderId="0" xfId="0" applyFont="1" applyFill="1" applyBorder="1" applyAlignment="1">
      <alignment horizontal="center" wrapText="1"/>
    </xf>
    <xf numFmtId="0" fontId="28" fillId="0" borderId="0" xfId="0" applyFont="1" applyFill="1" applyBorder="1" applyAlignment="1">
      <alignment wrapText="1"/>
    </xf>
    <xf numFmtId="0" fontId="30" fillId="0" borderId="0" xfId="0" applyFont="1" applyFill="1"/>
    <xf numFmtId="0" fontId="30" fillId="0" borderId="1" xfId="0" applyFont="1" applyFill="1" applyBorder="1" applyAlignment="1">
      <alignment vertical="top" wrapText="1"/>
    </xf>
    <xf numFmtId="0" fontId="30" fillId="0" borderId="0" xfId="0" applyFont="1" applyFill="1" applyBorder="1"/>
    <xf numFmtId="0" fontId="30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23" fillId="0" borderId="0" xfId="0" applyFont="1" applyFill="1" applyBorder="1" applyAlignment="1">
      <alignment horizontal="left" wrapText="1"/>
    </xf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right" wrapText="1"/>
    </xf>
    <xf numFmtId="0" fontId="14" fillId="0" borderId="0" xfId="0" applyFont="1" applyFill="1" applyBorder="1" applyAlignment="1">
      <alignment horizontal="left" wrapText="1"/>
    </xf>
    <xf numFmtId="0" fontId="14" fillId="0" borderId="0" xfId="0" applyFont="1" applyFill="1" applyBorder="1"/>
    <xf numFmtId="164" fontId="15" fillId="0" borderId="0" xfId="0" applyNumberFormat="1" applyFont="1" applyFill="1"/>
    <xf numFmtId="0" fontId="6" fillId="0" borderId="0" xfId="0" applyFont="1" applyFill="1"/>
    <xf numFmtId="2" fontId="15" fillId="0" borderId="0" xfId="0" applyNumberFormat="1" applyFont="1" applyBorder="1" applyAlignment="1"/>
    <xf numFmtId="0" fontId="30" fillId="0" borderId="0" xfId="0" applyFont="1" applyAlignment="1">
      <alignment vertical="center" wrapText="1"/>
    </xf>
    <xf numFmtId="2" fontId="7" fillId="0" borderId="0" xfId="0" applyNumberFormat="1" applyFont="1" applyBorder="1" applyAlignment="1">
      <alignment horizontal="center"/>
    </xf>
    <xf numFmtId="0" fontId="2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left" vertical="justify" wrapText="1"/>
    </xf>
    <xf numFmtId="0" fontId="16" fillId="0" borderId="0" xfId="0" applyFont="1" applyAlignment="1">
      <alignment vertical="justify" wrapText="1"/>
    </xf>
    <xf numFmtId="0" fontId="7" fillId="0" borderId="0" xfId="0" applyFont="1" applyAlignment="1">
      <alignment vertical="justify"/>
    </xf>
    <xf numFmtId="0" fontId="16" fillId="0" borderId="0" xfId="0" applyFont="1" applyFill="1" applyAlignment="1">
      <alignment vertical="justify" wrapText="1"/>
    </xf>
    <xf numFmtId="0" fontId="0" fillId="0" borderId="0" xfId="0" applyFill="1"/>
    <xf numFmtId="0" fontId="0" fillId="0" borderId="0" xfId="0" applyFill="1" applyBorder="1"/>
    <xf numFmtId="0" fontId="30" fillId="0" borderId="0" xfId="0" applyFont="1" applyAlignment="1"/>
    <xf numFmtId="0" fontId="7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62" fillId="0" borderId="0" xfId="0" applyFont="1" applyAlignment="1"/>
    <xf numFmtId="0" fontId="23" fillId="0" borderId="0" xfId="0" applyFont="1" applyFill="1"/>
    <xf numFmtId="0" fontId="23" fillId="0" borderId="0" xfId="0" applyFont="1" applyFill="1" applyBorder="1"/>
    <xf numFmtId="0" fontId="61" fillId="0" borderId="0" xfId="0" applyFont="1" applyAlignment="1"/>
    <xf numFmtId="0" fontId="3" fillId="0" borderId="0" xfId="173" applyAlignment="1" applyProtection="1"/>
    <xf numFmtId="0" fontId="0" fillId="2" borderId="0" xfId="0" applyFill="1"/>
    <xf numFmtId="0" fontId="0" fillId="2" borderId="0" xfId="0" applyFill="1" applyBorder="1"/>
    <xf numFmtId="0" fontId="31" fillId="0" borderId="0" xfId="0" applyFont="1" applyBorder="1" applyAlignment="1">
      <alignment horizontal="left"/>
    </xf>
    <xf numFmtId="0" fontId="115" fillId="0" borderId="0" xfId="0" applyFont="1"/>
    <xf numFmtId="0" fontId="0" fillId="0" borderId="0" xfId="0" applyBorder="1"/>
    <xf numFmtId="0" fontId="19" fillId="0" borderId="2" xfId="0" applyFont="1" applyBorder="1" applyAlignment="1">
      <alignment vertical="center" wrapText="1"/>
    </xf>
    <xf numFmtId="0" fontId="63" fillId="0" borderId="0" xfId="0" applyFont="1" applyBorder="1" applyAlignment="1">
      <alignment horizontal="left" wrapText="1"/>
    </xf>
    <xf numFmtId="0" fontId="35" fillId="0" borderId="0" xfId="0" applyFont="1" applyBorder="1" applyAlignment="1">
      <alignment horizontal="center"/>
    </xf>
    <xf numFmtId="0" fontId="63" fillId="0" borderId="0" xfId="0" applyFont="1" applyBorder="1" applyAlignment="1">
      <alignment horizontal="center" wrapText="1"/>
    </xf>
    <xf numFmtId="0" fontId="18" fillId="0" borderId="0" xfId="0" applyFont="1"/>
    <xf numFmtId="0" fontId="18" fillId="0" borderId="0" xfId="0" applyFont="1" applyBorder="1" applyAlignment="1">
      <alignment wrapText="1"/>
    </xf>
    <xf numFmtId="0" fontId="64" fillId="0" borderId="0" xfId="0" applyFont="1"/>
    <xf numFmtId="0" fontId="60" fillId="0" borderId="0" xfId="0" applyFont="1" applyBorder="1" applyAlignment="1">
      <alignment wrapText="1"/>
    </xf>
    <xf numFmtId="0" fontId="35" fillId="0" borderId="0" xfId="0" applyFont="1" applyAlignment="1">
      <alignment vertical="center"/>
    </xf>
    <xf numFmtId="0" fontId="35" fillId="0" borderId="0" xfId="0" applyFont="1" applyBorder="1" applyAlignment="1">
      <alignment vertical="center"/>
    </xf>
    <xf numFmtId="0" fontId="19" fillId="0" borderId="0" xfId="0" applyFont="1" applyAlignment="1"/>
    <xf numFmtId="0" fontId="51" fillId="0" borderId="0" xfId="0" applyFont="1" applyBorder="1" applyAlignment="1">
      <alignment horizontal="left"/>
    </xf>
    <xf numFmtId="0" fontId="51" fillId="0" borderId="0" xfId="0" applyFont="1" applyBorder="1" applyAlignment="1">
      <alignment horizontal="center"/>
    </xf>
    <xf numFmtId="0" fontId="18" fillId="0" borderId="0" xfId="0" applyFont="1" applyBorder="1"/>
    <xf numFmtId="49" fontId="18" fillId="0" borderId="0" xfId="0" applyNumberFormat="1" applyFont="1" applyBorder="1" applyAlignment="1"/>
    <xf numFmtId="0" fontId="26" fillId="0" borderId="0" xfId="0" applyFont="1" applyBorder="1" applyAlignment="1">
      <alignment horizontal="center" wrapText="1"/>
    </xf>
    <xf numFmtId="0" fontId="27" fillId="0" borderId="0" xfId="0" applyFont="1" applyBorder="1" applyAlignment="1">
      <alignment horizontal="left"/>
    </xf>
    <xf numFmtId="0" fontId="64" fillId="0" borderId="0" xfId="0" applyFont="1" applyAlignment="1">
      <alignment vertical="center"/>
    </xf>
    <xf numFmtId="0" fontId="24" fillId="0" borderId="0" xfId="0" applyFont="1" applyAlignment="1">
      <alignment horizontal="right"/>
    </xf>
    <xf numFmtId="0" fontId="15" fillId="0" borderId="0" xfId="0" applyFont="1" applyFill="1" applyBorder="1" applyAlignment="1">
      <alignment horizontal="right"/>
    </xf>
    <xf numFmtId="0" fontId="5" fillId="0" borderId="0" xfId="0" applyFont="1" applyFill="1" applyBorder="1"/>
    <xf numFmtId="0" fontId="5" fillId="2" borderId="0" xfId="0" applyFont="1" applyFill="1"/>
    <xf numFmtId="0" fontId="5" fillId="2" borderId="0" xfId="0" applyFont="1" applyFill="1" applyBorder="1"/>
    <xf numFmtId="0" fontId="5" fillId="0" borderId="0" xfId="0" applyFont="1"/>
    <xf numFmtId="2" fontId="116" fillId="0" borderId="0" xfId="0" applyNumberFormat="1" applyFont="1" applyFill="1" applyBorder="1" applyAlignment="1">
      <alignment horizontal="center"/>
    </xf>
    <xf numFmtId="0" fontId="34" fillId="2" borderId="0" xfId="0" applyFont="1" applyFill="1" applyBorder="1" applyAlignment="1">
      <alignment horizontal="right"/>
    </xf>
    <xf numFmtId="0" fontId="21" fillId="0" borderId="0" xfId="0" applyFont="1"/>
    <xf numFmtId="0" fontId="21" fillId="0" borderId="0" xfId="0" applyFont="1" applyAlignment="1">
      <alignment horizontal="center" wrapText="1"/>
    </xf>
    <xf numFmtId="0" fontId="21" fillId="0" borderId="0" xfId="0" applyFont="1" applyBorder="1" applyAlignment="1">
      <alignment horizontal="center" wrapText="1"/>
    </xf>
    <xf numFmtId="0" fontId="21" fillId="0" borderId="0" xfId="0" applyNumberFormat="1" applyFont="1" applyBorder="1" applyAlignment="1">
      <alignment horizontal="center" wrapText="1"/>
    </xf>
    <xf numFmtId="0" fontId="28" fillId="0" borderId="0" xfId="0" applyFont="1" applyBorder="1" applyAlignment="1">
      <alignment horizontal="right" wrapText="1"/>
    </xf>
    <xf numFmtId="0" fontId="28" fillId="0" borderId="0" xfId="0" applyFont="1" applyAlignment="1">
      <alignment horizontal="center" wrapText="1"/>
    </xf>
    <xf numFmtId="0" fontId="28" fillId="0" borderId="0" xfId="0" applyFont="1" applyBorder="1" applyAlignment="1">
      <alignment horizontal="center" wrapText="1"/>
    </xf>
    <xf numFmtId="0" fontId="30" fillId="0" borderId="0" xfId="0" applyFont="1" applyAlignment="1">
      <alignment horizontal="left" wrapText="1"/>
    </xf>
    <xf numFmtId="0" fontId="20" fillId="0" borderId="0" xfId="0" applyFont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/>
    </xf>
    <xf numFmtId="46" fontId="15" fillId="0" borderId="0" xfId="0" applyNumberFormat="1" applyFont="1" applyFill="1" applyBorder="1" applyAlignment="1">
      <alignment horizontal="center"/>
    </xf>
    <xf numFmtId="0" fontId="23" fillId="0" borderId="0" xfId="0" applyFont="1" applyFill="1" applyAlignment="1">
      <alignment horizontal="right" vertical="center"/>
    </xf>
    <xf numFmtId="0" fontId="14" fillId="0" borderId="0" xfId="0" applyFont="1" applyFill="1"/>
    <xf numFmtId="0" fontId="15" fillId="0" borderId="0" xfId="0" applyNumberFormat="1" applyFont="1" applyBorder="1" applyAlignment="1">
      <alignment horizontal="center"/>
    </xf>
    <xf numFmtId="0" fontId="56" fillId="0" borderId="0" xfId="0" applyFont="1" applyBorder="1"/>
    <xf numFmtId="164" fontId="15" fillId="0" borderId="0" xfId="0" applyNumberFormat="1" applyFont="1" applyBorder="1" applyAlignment="1">
      <alignment horizontal="center" vertical="center" wrapText="1"/>
    </xf>
    <xf numFmtId="164" fontId="15" fillId="0" borderId="0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64" fontId="15" fillId="0" borderId="0" xfId="0" applyNumberFormat="1" applyFont="1" applyFill="1" applyBorder="1" applyAlignment="1">
      <alignment horizontal="left" vertical="center" wrapText="1"/>
    </xf>
    <xf numFmtId="164" fontId="15" fillId="0" borderId="0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2" fontId="15" fillId="0" borderId="0" xfId="0" applyNumberFormat="1" applyFont="1" applyFill="1" applyAlignment="1">
      <alignment horizontal="center" vertical="center"/>
    </xf>
    <xf numFmtId="164" fontId="15" fillId="0" borderId="0" xfId="0" applyNumberFormat="1" applyFont="1" applyBorder="1" applyAlignment="1">
      <alignment horizontal="left" wrapText="1"/>
    </xf>
    <xf numFmtId="2" fontId="15" fillId="0" borderId="0" xfId="0" applyNumberFormat="1" applyFont="1" applyBorder="1" applyAlignment="1">
      <alignment horizontal="center" wrapText="1"/>
    </xf>
    <xf numFmtId="164" fontId="15" fillId="0" borderId="0" xfId="0" applyNumberFormat="1" applyFont="1" applyFill="1" applyBorder="1" applyAlignment="1">
      <alignment horizontal="center" wrapText="1"/>
    </xf>
    <xf numFmtId="0" fontId="23" fillId="0" borderId="0" xfId="0" applyFont="1" applyFill="1" applyBorder="1" applyAlignment="1">
      <alignment wrapText="1"/>
    </xf>
    <xf numFmtId="2" fontId="23" fillId="0" borderId="0" xfId="196" applyNumberFormat="1" applyFont="1" applyFill="1" applyBorder="1" applyAlignment="1">
      <alignment horizontal="center"/>
    </xf>
    <xf numFmtId="0" fontId="68" fillId="0" borderId="0" xfId="0" applyFont="1"/>
    <xf numFmtId="0" fontId="23" fillId="0" borderId="0" xfId="196" applyFont="1" applyFill="1" applyBorder="1" applyAlignment="1">
      <alignment horizontal="left"/>
    </xf>
    <xf numFmtId="0" fontId="15" fillId="0" borderId="0" xfId="196" applyFont="1" applyFill="1" applyBorder="1" applyAlignment="1">
      <alignment horizontal="left" vertical="center"/>
    </xf>
    <xf numFmtId="0" fontId="15" fillId="0" borderId="0" xfId="0" applyFont="1" applyFill="1" applyBorder="1" applyAlignment="1"/>
    <xf numFmtId="0" fontId="13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right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NumberFormat="1" applyFont="1" applyBorder="1" applyAlignment="1" applyProtection="1">
      <alignment horizontal="center"/>
      <protection locked="0"/>
    </xf>
    <xf numFmtId="49" fontId="15" fillId="0" borderId="0" xfId="0" applyNumberFormat="1" applyFont="1" applyAlignment="1">
      <alignment horizontal="center"/>
    </xf>
    <xf numFmtId="173" fontId="15" fillId="0" borderId="0" xfId="0" applyNumberFormat="1" applyFont="1" applyBorder="1" applyAlignment="1">
      <alignment horizontal="center"/>
    </xf>
    <xf numFmtId="49" fontId="15" fillId="0" borderId="0" xfId="0" applyNumberFormat="1" applyFont="1" applyAlignment="1"/>
    <xf numFmtId="2" fontId="15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2" fontId="15" fillId="0" borderId="0" xfId="0" applyNumberFormat="1" applyFont="1" applyAlignment="1"/>
    <xf numFmtId="0" fontId="15" fillId="0" borderId="0" xfId="0" applyFont="1" applyBorder="1" applyAlignment="1">
      <alignment vertical="top"/>
    </xf>
    <xf numFmtId="0" fontId="15" fillId="0" borderId="0" xfId="0" applyNumberFormat="1" applyFont="1" applyBorder="1" applyAlignment="1"/>
    <xf numFmtId="49" fontId="15" fillId="0" borderId="0" xfId="0" applyNumberFormat="1" applyFont="1" applyBorder="1" applyAlignment="1">
      <alignment vertical="top"/>
    </xf>
    <xf numFmtId="0" fontId="27" fillId="0" borderId="0" xfId="0" applyFont="1" applyFill="1" applyBorder="1" applyAlignment="1">
      <alignment horizontal="left" wrapText="1"/>
    </xf>
    <xf numFmtId="0" fontId="13" fillId="0" borderId="0" xfId="0" applyFont="1" applyBorder="1" applyAlignment="1">
      <alignment horizontal="left" vertical="center" wrapText="1"/>
    </xf>
    <xf numFmtId="2" fontId="13" fillId="0" borderId="0" xfId="0" applyNumberFormat="1" applyFont="1" applyBorder="1" applyAlignment="1">
      <alignment horizontal="left" wrapText="1"/>
    </xf>
    <xf numFmtId="0" fontId="42" fillId="0" borderId="0" xfId="0" applyFont="1"/>
    <xf numFmtId="2" fontId="15" fillId="0" borderId="0" xfId="0" applyNumberFormat="1" applyFont="1" applyFill="1" applyBorder="1"/>
    <xf numFmtId="0" fontId="13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wrapText="1"/>
    </xf>
    <xf numFmtId="0" fontId="20" fillId="0" borderId="2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2" fontId="13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vertical="center"/>
    </xf>
    <xf numFmtId="37" fontId="14" fillId="0" borderId="0" xfId="0" applyNumberFormat="1" applyFont="1" applyFill="1" applyBorder="1" applyAlignment="1">
      <alignment wrapText="1"/>
    </xf>
    <xf numFmtId="0" fontId="15" fillId="0" borderId="0" xfId="0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right" vertical="center" wrapText="1"/>
    </xf>
    <xf numFmtId="0" fontId="19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17" fillId="0" borderId="0" xfId="0" applyFont="1" applyFill="1" applyBorder="1" applyAlignment="1">
      <alignment vertical="center" wrapText="1"/>
    </xf>
    <xf numFmtId="21" fontId="13" fillId="0" borderId="0" xfId="0" applyNumberFormat="1" applyFont="1" applyFill="1" applyBorder="1" applyAlignment="1">
      <alignment horizontal="center" vertical="center" wrapText="1"/>
    </xf>
    <xf numFmtId="46" fontId="13" fillId="0" borderId="0" xfId="0" applyNumberFormat="1" applyFont="1" applyFill="1" applyBorder="1" applyAlignment="1">
      <alignment horizontal="center" wrapText="1"/>
    </xf>
    <xf numFmtId="0" fontId="14" fillId="0" borderId="0" xfId="0" applyFont="1" applyFill="1" applyBorder="1" applyAlignment="1"/>
    <xf numFmtId="0" fontId="14" fillId="0" borderId="0" xfId="0" applyFont="1" applyFill="1" applyAlignment="1"/>
    <xf numFmtId="0" fontId="35" fillId="0" borderId="0" xfId="0" applyFont="1" applyFill="1"/>
    <xf numFmtId="0" fontId="15" fillId="0" borderId="0" xfId="0" applyFont="1" applyFill="1" applyAlignment="1"/>
    <xf numFmtId="0" fontId="35" fillId="0" borderId="0" xfId="0" applyFont="1" applyFill="1" applyAlignment="1">
      <alignment vertical="center"/>
    </xf>
    <xf numFmtId="0" fontId="64" fillId="0" borderId="0" xfId="0" applyFont="1" applyFill="1"/>
    <xf numFmtId="0" fontId="64" fillId="0" borderId="0" xfId="0" applyFont="1" applyFill="1" applyAlignment="1"/>
    <xf numFmtId="0" fontId="35" fillId="0" borderId="0" xfId="0" applyFont="1" applyFill="1" applyAlignment="1"/>
    <xf numFmtId="0" fontId="35" fillId="0" borderId="0" xfId="0" applyFont="1" applyFill="1" applyBorder="1" applyAlignment="1">
      <alignment vertical="center"/>
    </xf>
    <xf numFmtId="0" fontId="35" fillId="0" borderId="0" xfId="0" applyFont="1" applyFill="1" applyBorder="1" applyAlignment="1"/>
    <xf numFmtId="0" fontId="60" fillId="0" borderId="0" xfId="0" applyFont="1" applyFill="1" applyBorder="1" applyAlignment="1">
      <alignment horizontal="center" wrapText="1"/>
    </xf>
    <xf numFmtId="0" fontId="60" fillId="0" borderId="0" xfId="0" applyFont="1" applyFill="1" applyBorder="1" applyAlignment="1">
      <alignment horizontal="left" wrapText="1"/>
    </xf>
    <xf numFmtId="0" fontId="40" fillId="0" borderId="0" xfId="0" applyFont="1" applyFill="1"/>
    <xf numFmtId="0" fontId="40" fillId="0" borderId="0" xfId="0" applyFont="1" applyFill="1" applyAlignment="1"/>
    <xf numFmtId="0" fontId="40" fillId="0" borderId="0" xfId="0" applyFont="1" applyFill="1" applyBorder="1"/>
    <xf numFmtId="0" fontId="40" fillId="0" borderId="0" xfId="0" applyFont="1" applyFill="1" applyBorder="1" applyAlignment="1"/>
    <xf numFmtId="0" fontId="35" fillId="0" borderId="0" xfId="0" applyFont="1" applyFill="1" applyBorder="1"/>
    <xf numFmtId="0" fontId="14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center" wrapText="1"/>
    </xf>
    <xf numFmtId="2" fontId="19" fillId="0" borderId="0" xfId="0" applyNumberFormat="1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right" wrapText="1"/>
    </xf>
    <xf numFmtId="0" fontId="14" fillId="0" borderId="0" xfId="0" applyFont="1" applyFill="1" applyAlignment="1">
      <alignment horizontal="center"/>
    </xf>
    <xf numFmtId="2" fontId="14" fillId="0" borderId="0" xfId="0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0" applyFont="1" applyFill="1" applyAlignment="1"/>
    <xf numFmtId="0" fontId="18" fillId="0" borderId="0" xfId="0" applyFont="1" applyFill="1" applyBorder="1" applyAlignment="1">
      <alignment horizontal="left" wrapText="1"/>
    </xf>
    <xf numFmtId="0" fontId="35" fillId="0" borderId="0" xfId="0" applyFont="1" applyFill="1" applyAlignment="1">
      <alignment horizontal="center"/>
    </xf>
    <xf numFmtId="2" fontId="35" fillId="0" borderId="0" xfId="0" applyNumberFormat="1" applyFont="1" applyFill="1" applyAlignment="1">
      <alignment horizontal="center"/>
    </xf>
    <xf numFmtId="164" fontId="15" fillId="34" borderId="0" xfId="0" applyNumberFormat="1" applyFont="1" applyFill="1" applyBorder="1" applyAlignment="1">
      <alignment horizontal="left" vertical="center" wrapText="1"/>
    </xf>
    <xf numFmtId="164" fontId="15" fillId="34" borderId="0" xfId="0" applyNumberFormat="1" applyFont="1" applyFill="1" applyBorder="1" applyAlignment="1">
      <alignment horizontal="center" vertical="center" wrapText="1"/>
    </xf>
    <xf numFmtId="164" fontId="15" fillId="34" borderId="0" xfId="0" applyNumberFormat="1" applyFont="1" applyFill="1" applyBorder="1" applyAlignment="1">
      <alignment horizontal="center" vertical="center"/>
    </xf>
    <xf numFmtId="2" fontId="15" fillId="34" borderId="0" xfId="0" applyNumberFormat="1" applyFont="1" applyFill="1" applyBorder="1" applyAlignment="1">
      <alignment horizontal="center" vertical="center" wrapText="1"/>
    </xf>
    <xf numFmtId="1" fontId="15" fillId="34" borderId="0" xfId="0" applyNumberFormat="1" applyFont="1" applyFill="1" applyBorder="1" applyAlignment="1">
      <alignment horizontal="center" vertical="center" wrapText="1"/>
    </xf>
    <xf numFmtId="0" fontId="15" fillId="34" borderId="0" xfId="0" applyFont="1" applyFill="1" applyBorder="1" applyAlignment="1">
      <alignment horizontal="center" vertical="center" wrapText="1"/>
    </xf>
    <xf numFmtId="2" fontId="15" fillId="34" borderId="0" xfId="0" applyNumberFormat="1" applyFont="1" applyFill="1" applyAlignment="1">
      <alignment horizontal="center" vertical="center"/>
    </xf>
    <xf numFmtId="164" fontId="15" fillId="34" borderId="0" xfId="0" applyNumberFormat="1" applyFont="1" applyFill="1" applyBorder="1" applyAlignment="1">
      <alignment horizontal="center"/>
    </xf>
    <xf numFmtId="0" fontId="15" fillId="34" borderId="0" xfId="0" applyFont="1" applyFill="1" applyBorder="1" applyAlignment="1">
      <alignment horizontal="center" vertical="center"/>
    </xf>
    <xf numFmtId="2" fontId="15" fillId="34" borderId="0" xfId="0" applyNumberFormat="1" applyFont="1" applyFill="1" applyBorder="1" applyAlignment="1">
      <alignment horizontal="center" vertical="center"/>
    </xf>
    <xf numFmtId="1" fontId="15" fillId="34" borderId="0" xfId="0" applyNumberFormat="1" applyFont="1" applyFill="1" applyBorder="1" applyAlignment="1">
      <alignment horizontal="center" vertical="center"/>
    </xf>
    <xf numFmtId="164" fontId="15" fillId="34" borderId="0" xfId="0" applyNumberFormat="1" applyFont="1" applyFill="1" applyBorder="1" applyAlignment="1">
      <alignment horizontal="left" wrapText="1"/>
    </xf>
    <xf numFmtId="0" fontId="15" fillId="34" borderId="0" xfId="0" applyFont="1" applyFill="1" applyBorder="1" applyAlignment="1">
      <alignment horizontal="center"/>
    </xf>
    <xf numFmtId="164" fontId="15" fillId="34" borderId="0" xfId="0" applyNumberFormat="1" applyFont="1" applyFill="1" applyBorder="1" applyAlignment="1">
      <alignment horizontal="center" wrapText="1"/>
    </xf>
    <xf numFmtId="2" fontId="15" fillId="34" borderId="0" xfId="0" applyNumberFormat="1" applyFont="1" applyFill="1" applyBorder="1" applyAlignment="1">
      <alignment horizontal="center" wrapText="1"/>
    </xf>
    <xf numFmtId="2" fontId="15" fillId="34" borderId="0" xfId="0" applyNumberFormat="1" applyFont="1" applyFill="1" applyBorder="1" applyAlignment="1">
      <alignment horizontal="center"/>
    </xf>
    <xf numFmtId="1" fontId="15" fillId="34" borderId="0" xfId="0" applyNumberFormat="1" applyFont="1" applyFill="1" applyBorder="1" applyAlignment="1">
      <alignment horizontal="center"/>
    </xf>
    <xf numFmtId="0" fontId="15" fillId="34" borderId="0" xfId="0" applyFont="1" applyFill="1" applyBorder="1" applyAlignment="1">
      <alignment horizontal="center" wrapText="1"/>
    </xf>
    <xf numFmtId="2" fontId="15" fillId="34" borderId="0" xfId="0" applyNumberFormat="1" applyFont="1" applyFill="1" applyAlignment="1">
      <alignment horizontal="center"/>
    </xf>
    <xf numFmtId="164" fontId="23" fillId="34" borderId="0" xfId="0" applyNumberFormat="1" applyFont="1" applyFill="1" applyBorder="1" applyAlignment="1">
      <alignment horizontal="center"/>
    </xf>
    <xf numFmtId="2" fontId="23" fillId="34" borderId="0" xfId="0" applyNumberFormat="1" applyFont="1" applyFill="1" applyBorder="1" applyAlignment="1">
      <alignment horizontal="center"/>
    </xf>
    <xf numFmtId="0" fontId="15" fillId="34" borderId="0" xfId="0" applyFont="1" applyFill="1" applyBorder="1"/>
    <xf numFmtId="0" fontId="15" fillId="34" borderId="0" xfId="0" applyFont="1" applyFill="1" applyBorder="1" applyAlignment="1">
      <alignment horizontal="right"/>
    </xf>
    <xf numFmtId="0" fontId="23" fillId="34" borderId="0" xfId="0" applyFont="1" applyFill="1" applyBorder="1"/>
    <xf numFmtId="0" fontId="23" fillId="34" borderId="0" xfId="0" applyFont="1" applyFill="1" applyBorder="1" applyAlignment="1">
      <alignment horizontal="right"/>
    </xf>
    <xf numFmtId="0" fontId="15" fillId="34" borderId="0" xfId="0" applyFont="1" applyFill="1" applyBorder="1" applyAlignment="1">
      <alignment horizontal="justify" wrapText="1"/>
    </xf>
    <xf numFmtId="0" fontId="15" fillId="34" borderId="0" xfId="0" applyFont="1" applyFill="1" applyBorder="1" applyAlignment="1">
      <alignment horizontal="right" wrapText="1"/>
    </xf>
    <xf numFmtId="0" fontId="15" fillId="34" borderId="0" xfId="0" applyFont="1" applyFill="1" applyAlignment="1">
      <alignment horizontal="center"/>
    </xf>
    <xf numFmtId="49" fontId="15" fillId="34" borderId="0" xfId="0" applyNumberFormat="1" applyFont="1" applyFill="1" applyBorder="1" applyAlignment="1">
      <alignment horizontal="center"/>
    </xf>
    <xf numFmtId="0" fontId="13" fillId="34" borderId="0" xfId="0" applyFont="1" applyFill="1" applyBorder="1" applyAlignment="1">
      <alignment horizontal="left" wrapText="1"/>
    </xf>
    <xf numFmtId="0" fontId="13" fillId="34" borderId="0" xfId="0" applyFont="1" applyFill="1" applyBorder="1" applyAlignment="1">
      <alignment horizontal="right" wrapText="1"/>
    </xf>
    <xf numFmtId="0" fontId="15" fillId="34" borderId="0" xfId="0" applyFont="1" applyFill="1" applyBorder="1" applyAlignment="1">
      <alignment horizontal="left"/>
    </xf>
    <xf numFmtId="0" fontId="15" fillId="34" borderId="0" xfId="0" applyFont="1" applyFill="1" applyBorder="1" applyAlignment="1">
      <alignment horizontal="left" wrapText="1"/>
    </xf>
    <xf numFmtId="0" fontId="23" fillId="34" borderId="0" xfId="0" applyFont="1" applyFill="1" applyBorder="1" applyAlignment="1">
      <alignment horizontal="left" wrapText="1"/>
    </xf>
    <xf numFmtId="0" fontId="23" fillId="34" borderId="0" xfId="196" applyFont="1" applyFill="1" applyBorder="1" applyAlignment="1">
      <alignment horizontal="left"/>
    </xf>
    <xf numFmtId="2" fontId="23" fillId="34" borderId="0" xfId="196" applyNumberFormat="1" applyFont="1" applyFill="1" applyBorder="1" applyAlignment="1">
      <alignment horizontal="center"/>
    </xf>
    <xf numFmtId="2" fontId="23" fillId="34" borderId="0" xfId="196" applyNumberFormat="1" applyFont="1" applyFill="1" applyAlignment="1">
      <alignment horizontal="center"/>
    </xf>
    <xf numFmtId="0" fontId="15" fillId="34" borderId="0" xfId="196" applyFont="1" applyFill="1" applyBorder="1" applyAlignment="1">
      <alignment horizontal="left"/>
    </xf>
    <xf numFmtId="2" fontId="15" fillId="34" borderId="0" xfId="196" applyNumberFormat="1" applyFont="1" applyFill="1" applyBorder="1" applyAlignment="1">
      <alignment horizontal="center"/>
    </xf>
    <xf numFmtId="2" fontId="15" fillId="34" borderId="0" xfId="196" applyNumberFormat="1" applyFont="1" applyFill="1" applyAlignment="1">
      <alignment horizontal="center"/>
    </xf>
    <xf numFmtId="2" fontId="17" fillId="34" borderId="0" xfId="0" applyNumberFormat="1" applyFont="1" applyFill="1" applyAlignment="1">
      <alignment horizontal="center"/>
    </xf>
    <xf numFmtId="2" fontId="13" fillId="34" borderId="0" xfId="0" applyNumberFormat="1" applyFont="1" applyFill="1" applyAlignment="1">
      <alignment horizontal="center"/>
    </xf>
    <xf numFmtId="2" fontId="17" fillId="34" borderId="0" xfId="196" applyNumberFormat="1" applyFont="1" applyFill="1" applyBorder="1" applyAlignment="1">
      <alignment horizontal="center" wrapText="1"/>
    </xf>
    <xf numFmtId="2" fontId="13" fillId="34" borderId="0" xfId="0" applyNumberFormat="1" applyFont="1" applyFill="1" applyBorder="1" applyAlignment="1">
      <alignment horizontal="center"/>
    </xf>
    <xf numFmtId="1" fontId="13" fillId="34" borderId="0" xfId="0" applyNumberFormat="1" applyFont="1" applyFill="1" applyBorder="1" applyAlignment="1">
      <alignment horizontal="left" wrapText="1"/>
    </xf>
    <xf numFmtId="1" fontId="13" fillId="34" borderId="0" xfId="0" applyNumberFormat="1" applyFont="1" applyFill="1" applyBorder="1" applyAlignment="1">
      <alignment horizontal="center" wrapText="1"/>
    </xf>
    <xf numFmtId="1" fontId="13" fillId="34" borderId="0" xfId="0" applyNumberFormat="1" applyFont="1" applyFill="1" applyBorder="1" applyAlignment="1">
      <alignment horizontal="right" wrapText="1"/>
    </xf>
    <xf numFmtId="0" fontId="13" fillId="34" borderId="0" xfId="0" applyFont="1" applyFill="1" applyBorder="1" applyAlignment="1">
      <alignment horizontal="center" wrapText="1"/>
    </xf>
    <xf numFmtId="0" fontId="13" fillId="34" borderId="0" xfId="0" applyFont="1" applyFill="1" applyBorder="1" applyAlignment="1">
      <alignment horizontal="left"/>
    </xf>
    <xf numFmtId="2" fontId="13" fillId="34" borderId="0" xfId="0" applyNumberFormat="1" applyFont="1" applyFill="1" applyBorder="1" applyAlignment="1">
      <alignment horizontal="center" vertical="center" wrapText="1"/>
    </xf>
    <xf numFmtId="2" fontId="13" fillId="34" borderId="0" xfId="0" applyNumberFormat="1" applyFont="1" applyFill="1" applyBorder="1" applyAlignment="1">
      <alignment horizontal="center" wrapText="1"/>
    </xf>
    <xf numFmtId="0" fontId="13" fillId="34" borderId="0" xfId="0" applyFont="1" applyFill="1" applyBorder="1" applyAlignment="1">
      <alignment wrapText="1"/>
    </xf>
    <xf numFmtId="0" fontId="15" fillId="34" borderId="0" xfId="0" applyFont="1" applyFill="1" applyBorder="1" applyAlignment="1">
      <alignment horizontal="left" vertical="center" wrapText="1"/>
    </xf>
    <xf numFmtId="0" fontId="15" fillId="35" borderId="0" xfId="0" applyFont="1" applyFill="1" applyBorder="1" applyAlignment="1">
      <alignment horizontal="center"/>
    </xf>
    <xf numFmtId="0" fontId="15" fillId="34" borderId="0" xfId="0" applyNumberFormat="1" applyFont="1" applyFill="1" applyBorder="1" applyAlignment="1">
      <alignment horizontal="center"/>
    </xf>
    <xf numFmtId="167" fontId="15" fillId="34" borderId="0" xfId="0" applyNumberFormat="1" applyFont="1" applyFill="1" applyBorder="1" applyAlignment="1">
      <alignment horizontal="center"/>
    </xf>
    <xf numFmtId="49" fontId="15" fillId="34" borderId="0" xfId="0" applyNumberFormat="1" applyFont="1" applyFill="1" applyBorder="1"/>
    <xf numFmtId="0" fontId="15" fillId="35" borderId="0" xfId="0" applyFont="1" applyFill="1" applyBorder="1" applyAlignment="1">
      <alignment horizontal="left"/>
    </xf>
    <xf numFmtId="0" fontId="15" fillId="35" borderId="0" xfId="0" applyFont="1" applyFill="1" applyBorder="1" applyAlignment="1">
      <alignment horizontal="right"/>
    </xf>
    <xf numFmtId="0" fontId="15" fillId="34" borderId="0" xfId="0" applyFont="1" applyFill="1" applyBorder="1" applyAlignment="1">
      <alignment horizontal="left" vertical="top"/>
    </xf>
    <xf numFmtId="0" fontId="15" fillId="34" borderId="0" xfId="0" applyFont="1" applyFill="1" applyBorder="1" applyAlignment="1">
      <alignment horizontal="right" vertical="top"/>
    </xf>
    <xf numFmtId="0" fontId="15" fillId="34" borderId="0" xfId="0" applyFont="1" applyFill="1" applyBorder="1" applyAlignment="1">
      <alignment vertical="top"/>
    </xf>
    <xf numFmtId="0" fontId="15" fillId="34" borderId="0" xfId="0" applyNumberFormat="1" applyFont="1" applyFill="1" applyBorder="1" applyAlignment="1">
      <alignment vertical="top"/>
    </xf>
    <xf numFmtId="168" fontId="13" fillId="34" borderId="0" xfId="0" applyNumberFormat="1" applyFont="1" applyFill="1" applyBorder="1" applyAlignment="1">
      <alignment horizontal="center" wrapText="1"/>
    </xf>
    <xf numFmtId="0" fontId="13" fillId="34" borderId="0" xfId="0" applyFont="1" applyFill="1"/>
    <xf numFmtId="0" fontId="13" fillId="34" borderId="0" xfId="0" applyFont="1" applyFill="1" applyAlignment="1">
      <alignment horizontal="right"/>
    </xf>
    <xf numFmtId="0" fontId="27" fillId="34" borderId="0" xfId="0" applyFont="1" applyFill="1" applyBorder="1" applyAlignment="1">
      <alignment horizontal="left" wrapText="1"/>
    </xf>
    <xf numFmtId="0" fontId="13" fillId="34" borderId="0" xfId="0" applyFont="1" applyFill="1" applyBorder="1" applyAlignment="1">
      <alignment horizontal="right" vertical="center" wrapText="1"/>
    </xf>
    <xf numFmtId="0" fontId="15" fillId="34" borderId="0" xfId="0" applyFont="1" applyFill="1" applyBorder="1" applyAlignment="1">
      <alignment vertical="center"/>
    </xf>
    <xf numFmtId="0" fontId="19" fillId="34" borderId="0" xfId="0" applyFont="1" applyFill="1" applyBorder="1" applyAlignment="1">
      <alignment horizontal="left" wrapText="1"/>
    </xf>
    <xf numFmtId="0" fontId="20" fillId="34" borderId="0" xfId="0" applyFont="1" applyFill="1" applyBorder="1" applyAlignment="1">
      <alignment horizontal="left" wrapText="1"/>
    </xf>
    <xf numFmtId="0" fontId="19" fillId="34" borderId="0" xfId="0" applyFont="1" applyFill="1" applyBorder="1" applyAlignment="1">
      <alignment horizontal="left" vertical="top" wrapText="1"/>
    </xf>
    <xf numFmtId="0" fontId="13" fillId="34" borderId="0" xfId="0" applyFont="1" applyFill="1" applyBorder="1" applyAlignment="1">
      <alignment horizontal="left" vertical="top" wrapText="1"/>
    </xf>
    <xf numFmtId="2" fontId="13" fillId="34" borderId="0" xfId="0" applyNumberFormat="1" applyFont="1" applyFill="1" applyBorder="1" applyAlignment="1">
      <alignment horizontal="center" vertical="top" wrapText="1"/>
    </xf>
    <xf numFmtId="0" fontId="13" fillId="34" borderId="0" xfId="0" applyFont="1" applyFill="1" applyBorder="1" applyAlignment="1">
      <alignment horizontal="left" vertical="center" wrapText="1"/>
    </xf>
    <xf numFmtId="0" fontId="16" fillId="34" borderId="0" xfId="0" applyFont="1" applyFill="1" applyBorder="1" applyAlignment="1">
      <alignment horizontal="center" wrapText="1"/>
    </xf>
    <xf numFmtId="2" fontId="16" fillId="34" borderId="0" xfId="0" applyNumberFormat="1" applyFont="1" applyFill="1" applyBorder="1" applyAlignment="1">
      <alignment horizontal="center" wrapText="1"/>
    </xf>
    <xf numFmtId="0" fontId="16" fillId="34" borderId="0" xfId="0" applyFont="1" applyFill="1" applyBorder="1" applyAlignment="1">
      <alignment horizontal="left" wrapText="1"/>
    </xf>
    <xf numFmtId="0" fontId="30" fillId="34" borderId="0" xfId="0" applyFont="1" applyFill="1" applyBorder="1"/>
    <xf numFmtId="0" fontId="30" fillId="34" borderId="0" xfId="0" applyFont="1" applyFill="1" applyBorder="1" applyAlignment="1">
      <alignment horizontal="center"/>
    </xf>
    <xf numFmtId="2" fontId="30" fillId="34" borderId="0" xfId="0" applyNumberFormat="1" applyFont="1" applyFill="1" applyBorder="1" applyAlignment="1">
      <alignment horizontal="center"/>
    </xf>
    <xf numFmtId="2" fontId="30" fillId="34" borderId="0" xfId="0" applyNumberFormat="1" applyFont="1" applyFill="1" applyBorder="1" applyAlignment="1">
      <alignment horizontal="center" wrapText="1"/>
    </xf>
    <xf numFmtId="1" fontId="16" fillId="34" borderId="0" xfId="0" applyNumberFormat="1" applyFont="1" applyFill="1" applyBorder="1" applyAlignment="1">
      <alignment horizontal="center" wrapText="1"/>
    </xf>
    <xf numFmtId="2" fontId="13" fillId="34" borderId="0" xfId="0" applyNumberFormat="1" applyFont="1" applyFill="1" applyBorder="1" applyAlignment="1">
      <alignment horizontal="left" wrapText="1"/>
    </xf>
    <xf numFmtId="2" fontId="116" fillId="0" borderId="0" xfId="0" applyNumberFormat="1" applyFont="1" applyFill="1" applyBorder="1" applyAlignment="1">
      <alignment horizontal="center" wrapText="1"/>
    </xf>
    <xf numFmtId="164" fontId="23" fillId="34" borderId="0" xfId="0" applyNumberFormat="1" applyFont="1" applyFill="1" applyBorder="1" applyAlignment="1">
      <alignment horizontal="left" vertical="center" wrapText="1"/>
    </xf>
    <xf numFmtId="164" fontId="23" fillId="34" borderId="0" xfId="0" applyNumberFormat="1" applyFont="1" applyFill="1" applyBorder="1" applyAlignment="1">
      <alignment horizontal="center" vertical="center"/>
    </xf>
    <xf numFmtId="2" fontId="23" fillId="34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Border="1" applyAlignment="1">
      <alignment horizontal="center" vertical="center"/>
    </xf>
    <xf numFmtId="0" fontId="15" fillId="34" borderId="12" xfId="0" applyFont="1" applyFill="1" applyBorder="1"/>
    <xf numFmtId="0" fontId="15" fillId="34" borderId="12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 vertical="center" wrapText="1"/>
    </xf>
    <xf numFmtId="2" fontId="13" fillId="34" borderId="12" xfId="0" applyNumberFormat="1" applyFont="1" applyFill="1" applyBorder="1" applyAlignment="1">
      <alignment horizontal="center" vertical="center" wrapText="1"/>
    </xf>
    <xf numFmtId="167" fontId="15" fillId="34" borderId="12" xfId="0" applyNumberFormat="1" applyFont="1" applyFill="1" applyBorder="1" applyAlignment="1">
      <alignment horizontal="center"/>
    </xf>
    <xf numFmtId="49" fontId="15" fillId="34" borderId="12" xfId="0" applyNumberFormat="1" applyFont="1" applyFill="1" applyBorder="1"/>
    <xf numFmtId="0" fontId="16" fillId="0" borderId="12" xfId="0" applyFont="1" applyBorder="1" applyAlignment="1">
      <alignment wrapText="1"/>
    </xf>
    <xf numFmtId="0" fontId="16" fillId="0" borderId="12" xfId="0" applyFont="1" applyBorder="1" applyAlignment="1">
      <alignment vertical="justify" wrapText="1"/>
    </xf>
    <xf numFmtId="0" fontId="13" fillId="0" borderId="0" xfId="0" applyFont="1" applyFill="1" applyBorder="1" applyAlignment="1">
      <alignment horizontal="left" vertical="top" wrapText="1"/>
    </xf>
    <xf numFmtId="2" fontId="13" fillId="0" borderId="0" xfId="0" applyNumberFormat="1" applyFont="1" applyFill="1" applyBorder="1" applyAlignment="1">
      <alignment horizontal="center" vertical="top" wrapText="1"/>
    </xf>
    <xf numFmtId="164" fontId="23" fillId="0" borderId="0" xfId="0" applyNumberFormat="1" applyFont="1" applyFill="1" applyBorder="1" applyAlignment="1">
      <alignment horizontal="center" vertical="center"/>
    </xf>
    <xf numFmtId="2" fontId="23" fillId="0" borderId="0" xfId="0" applyNumberFormat="1" applyFont="1" applyFill="1" applyBorder="1" applyAlignment="1">
      <alignment horizontal="center" vertical="center"/>
    </xf>
    <xf numFmtId="1" fontId="23" fillId="0" borderId="0" xfId="0" applyNumberFormat="1" applyFont="1" applyFill="1" applyBorder="1" applyAlignment="1">
      <alignment horizontal="center" vertical="center"/>
    </xf>
    <xf numFmtId="0" fontId="39" fillId="0" borderId="0" xfId="0" applyFont="1" applyBorder="1"/>
    <xf numFmtId="0" fontId="13" fillId="0" borderId="0" xfId="0" applyFont="1" applyFill="1" applyBorder="1" applyAlignment="1">
      <alignment horizontal="left"/>
    </xf>
    <xf numFmtId="0" fontId="31" fillId="0" borderId="0" xfId="0" applyFont="1" applyAlignment="1">
      <alignment vertical="center" wrapText="1"/>
    </xf>
    <xf numFmtId="2" fontId="13" fillId="0" borderId="0" xfId="0" applyNumberFormat="1" applyFont="1" applyBorder="1" applyAlignment="1">
      <alignment horizontal="left" vertical="center" wrapText="1"/>
    </xf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40" fillId="0" borderId="0" xfId="0" applyFont="1" applyFill="1" applyBorder="1" applyAlignment="1">
      <alignment vertical="center"/>
    </xf>
    <xf numFmtId="0" fontId="43" fillId="0" borderId="0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vertical="center"/>
    </xf>
    <xf numFmtId="21" fontId="15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66" fontId="15" fillId="34" borderId="0" xfId="0" applyNumberFormat="1" applyFont="1" applyFill="1" applyBorder="1" applyAlignment="1">
      <alignment horizontal="center" vertical="center"/>
    </xf>
    <xf numFmtId="0" fontId="15" fillId="34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66" fillId="0" borderId="0" xfId="0" applyFont="1" applyFill="1" applyBorder="1"/>
    <xf numFmtId="0" fontId="117" fillId="0" borderId="0" xfId="0" applyFont="1" applyFill="1" applyBorder="1"/>
    <xf numFmtId="0" fontId="67" fillId="0" borderId="0" xfId="0" applyFont="1" applyFill="1" applyBorder="1"/>
    <xf numFmtId="0" fontId="5" fillId="0" borderId="0" xfId="0" applyFont="1" applyBorder="1"/>
    <xf numFmtId="0" fontId="118" fillId="0" borderId="0" xfId="0" applyFont="1" applyFill="1" applyBorder="1" applyAlignment="1">
      <alignment vertical="center" textRotation="180"/>
    </xf>
    <xf numFmtId="0" fontId="38" fillId="0" borderId="0" xfId="0" applyFont="1" applyBorder="1" applyAlignment="1">
      <alignment horizontal="right" wrapText="1"/>
    </xf>
    <xf numFmtId="0" fontId="15" fillId="0" borderId="0" xfId="0" applyFont="1" applyBorder="1" applyAlignment="1">
      <alignment horizontal="right" vertical="center"/>
    </xf>
    <xf numFmtId="166" fontId="15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34" borderId="0" xfId="0" applyFont="1" applyFill="1" applyBorder="1" applyAlignment="1">
      <alignment vertical="center"/>
    </xf>
    <xf numFmtId="0" fontId="23" fillId="34" borderId="0" xfId="0" applyFont="1" applyFill="1" applyBorder="1" applyAlignment="1">
      <alignment horizontal="right" vertical="center"/>
    </xf>
    <xf numFmtId="0" fontId="23" fillId="0" borderId="0" xfId="0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right" vertical="center"/>
    </xf>
    <xf numFmtId="0" fontId="51" fillId="0" borderId="0" xfId="0" applyFont="1" applyBorder="1" applyAlignment="1">
      <alignment horizontal="left" vertical="center" wrapText="1"/>
    </xf>
    <xf numFmtId="0" fontId="51" fillId="0" borderId="0" xfId="0" applyFont="1" applyBorder="1" applyAlignment="1">
      <alignment horizontal="center" vertical="center" wrapText="1"/>
    </xf>
    <xf numFmtId="2" fontId="116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30" fillId="0" borderId="0" xfId="0" applyFont="1" applyFill="1" applyBorder="1" applyAlignment="1">
      <alignment horizontal="center"/>
    </xf>
    <xf numFmtId="0" fontId="72" fillId="0" borderId="0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2" xfId="0" applyFill="1" applyBorder="1"/>
    <xf numFmtId="0" fontId="0" fillId="2" borderId="19" xfId="0" applyFill="1" applyBorder="1"/>
    <xf numFmtId="0" fontId="72" fillId="2" borderId="0" xfId="0" applyFont="1" applyFill="1" applyBorder="1"/>
    <xf numFmtId="0" fontId="72" fillId="0" borderId="0" xfId="0" applyFont="1" applyFill="1" applyBorder="1" applyAlignment="1"/>
    <xf numFmtId="176" fontId="72" fillId="0" borderId="0" xfId="0" applyNumberFormat="1" applyFont="1" applyFill="1" applyBorder="1" applyAlignment="1"/>
    <xf numFmtId="49" fontId="72" fillId="0" borderId="0" xfId="0" applyNumberFormat="1" applyFont="1" applyFill="1" applyBorder="1" applyAlignment="1"/>
    <xf numFmtId="0" fontId="72" fillId="2" borderId="0" xfId="0" applyFont="1" applyFill="1" applyBorder="1" applyAlignment="1"/>
    <xf numFmtId="2" fontId="116" fillId="34" borderId="0" xfId="0" applyNumberFormat="1" applyFont="1" applyFill="1" applyBorder="1" applyAlignment="1">
      <alignment horizontal="center" vertical="center" wrapText="1"/>
    </xf>
    <xf numFmtId="2" fontId="116" fillId="34" borderId="0" xfId="0" applyNumberFormat="1" applyFont="1" applyFill="1" applyBorder="1" applyAlignment="1">
      <alignment horizontal="center"/>
    </xf>
    <xf numFmtId="164" fontId="15" fillId="34" borderId="0" xfId="0" applyNumberFormat="1" applyFont="1" applyFill="1" applyBorder="1" applyAlignment="1">
      <alignment horizontal="right" vertical="center" wrapText="1"/>
    </xf>
    <xf numFmtId="0" fontId="15" fillId="0" borderId="0" xfId="0" applyFont="1" applyFill="1" applyBorder="1" applyAlignment="1">
      <alignment horizontal="right" vertical="center"/>
    </xf>
    <xf numFmtId="1" fontId="13" fillId="0" borderId="0" xfId="0" applyNumberFormat="1" applyFont="1" applyFill="1" applyBorder="1" applyAlignment="1">
      <alignment horizontal="left" vertical="center" wrapText="1"/>
    </xf>
    <xf numFmtId="1" fontId="13" fillId="0" borderId="0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 vertical="center"/>
    </xf>
    <xf numFmtId="2" fontId="30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left" vertical="center"/>
    </xf>
    <xf numFmtId="0" fontId="30" fillId="0" borderId="0" xfId="0" applyFont="1" applyFill="1" applyAlignment="1">
      <alignment vertical="center"/>
    </xf>
    <xf numFmtId="0" fontId="30" fillId="0" borderId="0" xfId="0" applyFont="1" applyFill="1" applyAlignment="1">
      <alignment vertical="justify"/>
    </xf>
    <xf numFmtId="2" fontId="16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right" vertical="center" wrapText="1"/>
    </xf>
    <xf numFmtId="2" fontId="30" fillId="0" borderId="0" xfId="0" applyNumberFormat="1" applyFont="1" applyFill="1" applyAlignment="1">
      <alignment horizontal="center" vertical="center"/>
    </xf>
    <xf numFmtId="2" fontId="30" fillId="0" borderId="0" xfId="0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center"/>
    </xf>
    <xf numFmtId="2" fontId="16" fillId="34" borderId="0" xfId="0" applyNumberFormat="1" applyFont="1" applyFill="1" applyBorder="1" applyAlignment="1">
      <alignment horizontal="center" vertical="center" wrapText="1"/>
    </xf>
    <xf numFmtId="0" fontId="16" fillId="34" borderId="0" xfId="0" applyFont="1" applyFill="1" applyBorder="1" applyAlignment="1">
      <alignment horizontal="right" vertical="center" wrapText="1"/>
    </xf>
    <xf numFmtId="2" fontId="30" fillId="34" borderId="0" xfId="0" applyNumberFormat="1" applyFont="1" applyFill="1" applyBorder="1" applyAlignment="1">
      <alignment horizontal="center" vertical="center"/>
    </xf>
    <xf numFmtId="0" fontId="30" fillId="34" borderId="0" xfId="0" applyFont="1" applyFill="1"/>
    <xf numFmtId="0" fontId="65" fillId="0" borderId="0" xfId="0" applyFont="1" applyFill="1" applyBorder="1" applyAlignment="1">
      <alignment vertical="center" textRotation="180"/>
    </xf>
    <xf numFmtId="0" fontId="71" fillId="0" borderId="0" xfId="0" applyFont="1" applyFill="1" applyBorder="1" applyAlignment="1">
      <alignment vertical="center" textRotation="180"/>
    </xf>
    <xf numFmtId="0" fontId="15" fillId="34" borderId="0" xfId="0" applyFont="1" applyFill="1" applyBorder="1" applyAlignment="1">
      <alignment horizontal="left" vertical="center"/>
    </xf>
    <xf numFmtId="0" fontId="13" fillId="0" borderId="0" xfId="0" applyFont="1" applyFill="1" applyBorder="1"/>
    <xf numFmtId="164" fontId="13" fillId="0" borderId="0" xfId="0" applyNumberFormat="1" applyFont="1" applyFill="1" applyBorder="1" applyAlignment="1">
      <alignment horizontal="center" wrapText="1"/>
    </xf>
    <xf numFmtId="164" fontId="15" fillId="0" borderId="0" xfId="0" applyNumberFormat="1" applyFont="1" applyFill="1" applyBorder="1" applyAlignment="1">
      <alignment horizontal="right" vertical="center" wrapText="1"/>
    </xf>
    <xf numFmtId="1" fontId="13" fillId="34" borderId="0" xfId="0" applyNumberFormat="1" applyFont="1" applyFill="1" applyBorder="1" applyAlignment="1">
      <alignment horizontal="center" vertical="center" wrapText="1"/>
    </xf>
    <xf numFmtId="21" fontId="119" fillId="0" borderId="0" xfId="0" applyNumberFormat="1" applyFont="1" applyFill="1" applyBorder="1" applyAlignment="1">
      <alignment horizontal="center" vertical="center" wrapText="1"/>
    </xf>
    <xf numFmtId="2" fontId="119" fillId="0" borderId="0" xfId="0" applyNumberFormat="1" applyFont="1" applyFill="1" applyBorder="1" applyAlignment="1">
      <alignment horizontal="center" vertical="center"/>
    </xf>
    <xf numFmtId="0" fontId="119" fillId="0" borderId="0" xfId="0" applyFont="1" applyFill="1" applyBorder="1" applyAlignment="1">
      <alignment horizontal="center" vertical="center" wrapText="1"/>
    </xf>
    <xf numFmtId="0" fontId="120" fillId="0" borderId="0" xfId="0" applyFont="1" applyFill="1" applyBorder="1" applyAlignment="1">
      <alignment horizontal="center" vertical="center" wrapText="1"/>
    </xf>
    <xf numFmtId="0" fontId="119" fillId="0" borderId="0" xfId="0" applyFont="1" applyFill="1" applyBorder="1" applyAlignment="1">
      <alignment vertical="center" wrapText="1"/>
    </xf>
    <xf numFmtId="0" fontId="119" fillId="0" borderId="0" xfId="0" applyFont="1" applyFill="1" applyBorder="1"/>
    <xf numFmtId="0" fontId="121" fillId="0" borderId="0" xfId="0" applyFont="1" applyFill="1" applyBorder="1" applyAlignment="1">
      <alignment horizontal="left" vertical="center" wrapText="1"/>
    </xf>
    <xf numFmtId="0" fontId="120" fillId="0" borderId="0" xfId="0" applyFont="1" applyFill="1" applyBorder="1" applyAlignment="1">
      <alignment horizontal="left"/>
    </xf>
    <xf numFmtId="0" fontId="122" fillId="0" borderId="0" xfId="0" applyFont="1" applyFill="1" applyBorder="1" applyAlignment="1">
      <alignment horizontal="left" vertical="center" wrapText="1"/>
    </xf>
    <xf numFmtId="0" fontId="119" fillId="0" borderId="0" xfId="0" applyFont="1" applyFill="1" applyBorder="1" applyAlignment="1">
      <alignment vertical="center"/>
    </xf>
    <xf numFmtId="0" fontId="123" fillId="0" borderId="0" xfId="0" applyFont="1" applyFill="1" applyBorder="1" applyAlignment="1">
      <alignment horizontal="left" vertical="center" wrapText="1"/>
    </xf>
    <xf numFmtId="0" fontId="119" fillId="0" borderId="0" xfId="0" applyFont="1" applyFill="1" applyBorder="1" applyAlignment="1">
      <alignment horizontal="center" vertical="center"/>
    </xf>
    <xf numFmtId="0" fontId="119" fillId="0" borderId="0" xfId="0" applyFont="1" applyBorder="1"/>
    <xf numFmtId="2" fontId="119" fillId="0" borderId="0" xfId="0" applyNumberFormat="1" applyFont="1" applyBorder="1" applyAlignment="1">
      <alignment horizontal="center"/>
    </xf>
    <xf numFmtId="0" fontId="76" fillId="34" borderId="0" xfId="0" applyFont="1" applyFill="1" applyAlignment="1">
      <alignment horizontal="center" vertical="center"/>
    </xf>
    <xf numFmtId="0" fontId="76" fillId="34" borderId="0" xfId="0" applyFont="1" applyFill="1" applyBorder="1" applyAlignment="1">
      <alignment vertical="center"/>
    </xf>
    <xf numFmtId="0" fontId="78" fillId="34" borderId="0" xfId="0" applyFont="1" applyFill="1" applyBorder="1" applyAlignment="1">
      <alignment horizontal="left" vertical="center" wrapText="1"/>
    </xf>
    <xf numFmtId="0" fontId="78" fillId="0" borderId="0" xfId="0" applyFont="1" applyFill="1" applyBorder="1" applyAlignment="1">
      <alignment horizontal="left" vertical="top" wrapText="1"/>
    </xf>
    <xf numFmtId="0" fontId="58" fillId="34" borderId="0" xfId="0" applyFont="1" applyFill="1" applyBorder="1" applyAlignment="1">
      <alignment horizontal="left" vertical="center" wrapText="1"/>
    </xf>
    <xf numFmtId="0" fontId="58" fillId="0" borderId="0" xfId="0" applyFont="1" applyFill="1" applyBorder="1" applyAlignment="1">
      <alignment horizontal="left" vertical="center" wrapText="1"/>
    </xf>
    <xf numFmtId="0" fontId="79" fillId="34" borderId="0" xfId="0" applyFont="1" applyFill="1" applyBorder="1" applyAlignment="1">
      <alignment horizontal="left" vertical="top" wrapText="1"/>
    </xf>
    <xf numFmtId="0" fontId="79" fillId="0" borderId="0" xfId="0" applyFont="1" applyFill="1" applyBorder="1" applyAlignment="1">
      <alignment horizontal="left" vertical="top" wrapText="1"/>
    </xf>
    <xf numFmtId="0" fontId="80" fillId="34" borderId="0" xfId="0" applyFont="1" applyFill="1" applyAlignment="1">
      <alignment horizontal="left"/>
    </xf>
    <xf numFmtId="0" fontId="77" fillId="0" borderId="0" xfId="0" applyFont="1" applyAlignment="1">
      <alignment horizontal="left"/>
    </xf>
    <xf numFmtId="0" fontId="30" fillId="0" borderId="0" xfId="0" applyFont="1" applyFill="1" applyAlignment="1">
      <alignment horizontal="center"/>
    </xf>
    <xf numFmtId="0" fontId="76" fillId="0" borderId="0" xfId="0" applyFont="1" applyFill="1" applyAlignment="1">
      <alignment horizontal="center" vertical="center"/>
    </xf>
    <xf numFmtId="0" fontId="80" fillId="0" borderId="0" xfId="0" applyFont="1" applyFill="1" applyAlignment="1">
      <alignment horizontal="left"/>
    </xf>
    <xf numFmtId="0" fontId="58" fillId="34" borderId="0" xfId="0" applyFont="1" applyFill="1" applyBorder="1" applyAlignment="1">
      <alignment horizontal="left" vertical="justify" wrapText="1"/>
    </xf>
    <xf numFmtId="2" fontId="16" fillId="34" borderId="0" xfId="0" applyNumberFormat="1" applyFont="1" applyFill="1" applyBorder="1" applyAlignment="1">
      <alignment horizontal="center" vertical="justify" wrapText="1"/>
    </xf>
    <xf numFmtId="0" fontId="30" fillId="34" borderId="0" xfId="0" applyFont="1" applyFill="1" applyAlignment="1">
      <alignment vertical="center"/>
    </xf>
    <xf numFmtId="0" fontId="78" fillId="34" borderId="0" xfId="0" applyFont="1" applyFill="1" applyBorder="1" applyAlignment="1">
      <alignment horizontal="left" vertical="justify" wrapText="1"/>
    </xf>
    <xf numFmtId="2" fontId="30" fillId="34" borderId="0" xfId="0" applyNumberFormat="1" applyFont="1" applyFill="1" applyAlignment="1">
      <alignment horizontal="center" vertical="justify"/>
    </xf>
    <xf numFmtId="0" fontId="58" fillId="34" borderId="12" xfId="0" applyFont="1" applyFill="1" applyBorder="1" applyAlignment="1">
      <alignment horizontal="left" vertical="center" wrapText="1"/>
    </xf>
    <xf numFmtId="2" fontId="16" fillId="34" borderId="12" xfId="0" applyNumberFormat="1" applyFont="1" applyFill="1" applyBorder="1" applyAlignment="1">
      <alignment horizontal="center" vertical="center" wrapText="1"/>
    </xf>
    <xf numFmtId="0" fontId="83" fillId="0" borderId="0" xfId="0" applyFont="1" applyAlignment="1">
      <alignment vertical="center"/>
    </xf>
    <xf numFmtId="0" fontId="83" fillId="0" borderId="0" xfId="0" applyFont="1" applyFill="1"/>
    <xf numFmtId="49" fontId="27" fillId="0" borderId="0" xfId="0" applyNumberFormat="1" applyFont="1" applyFill="1" applyBorder="1" applyAlignment="1">
      <alignment vertical="center" wrapText="1"/>
    </xf>
    <xf numFmtId="0" fontId="84" fillId="0" borderId="0" xfId="0" applyFont="1" applyAlignment="1">
      <alignment horizontal="left"/>
    </xf>
    <xf numFmtId="0" fontId="25" fillId="0" borderId="0" xfId="0" applyFont="1" applyAlignment="1">
      <alignment horizontal="left" vertical="center"/>
    </xf>
    <xf numFmtId="2" fontId="15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right"/>
    </xf>
    <xf numFmtId="0" fontId="15" fillId="0" borderId="0" xfId="0" applyFont="1" applyFill="1" applyAlignment="1">
      <alignment horizontal="right"/>
    </xf>
    <xf numFmtId="0" fontId="7" fillId="0" borderId="0" xfId="0" applyFont="1" applyFill="1"/>
    <xf numFmtId="0" fontId="41" fillId="0" borderId="0" xfId="0" applyFont="1" applyBorder="1" applyAlignment="1">
      <alignment wrapText="1"/>
    </xf>
    <xf numFmtId="1" fontId="13" fillId="34" borderId="0" xfId="0" applyNumberFormat="1" applyFont="1" applyFill="1" applyBorder="1" applyAlignment="1">
      <alignment horizontal="left" vertical="center" wrapText="1"/>
    </xf>
    <xf numFmtId="0" fontId="13" fillId="34" borderId="0" xfId="0" applyFont="1" applyFill="1" applyAlignment="1">
      <alignment vertical="center"/>
    </xf>
    <xf numFmtId="168" fontId="13" fillId="34" borderId="0" xfId="0" applyNumberFormat="1" applyFont="1" applyFill="1" applyBorder="1" applyAlignment="1">
      <alignment horizontal="center" vertical="center" wrapText="1"/>
    </xf>
    <xf numFmtId="0" fontId="13" fillId="34" borderId="0" xfId="0" applyFont="1" applyFill="1" applyAlignment="1">
      <alignment horizontal="right" vertical="center"/>
    </xf>
    <xf numFmtId="0" fontId="17" fillId="0" borderId="0" xfId="0" applyFont="1" applyFill="1" applyBorder="1" applyAlignment="1">
      <alignment horizontal="left" vertical="center" wrapText="1"/>
    </xf>
    <xf numFmtId="0" fontId="124" fillId="34" borderId="0" xfId="0" applyFont="1" applyFill="1" applyBorder="1" applyAlignment="1">
      <alignment horizontal="center" vertical="center" wrapText="1"/>
    </xf>
    <xf numFmtId="0" fontId="36" fillId="0" borderId="0" xfId="0" applyFont="1" applyFill="1" applyAlignment="1"/>
    <xf numFmtId="0" fontId="36" fillId="0" borderId="0" xfId="0" applyFont="1" applyFill="1" applyBorder="1" applyAlignment="1">
      <alignment horizontal="right" wrapText="1"/>
    </xf>
    <xf numFmtId="2" fontId="124" fillId="34" borderId="0" xfId="0" applyNumberFormat="1" applyFont="1" applyFill="1" applyBorder="1" applyAlignment="1">
      <alignment horizontal="center" vertical="center" wrapText="1"/>
    </xf>
    <xf numFmtId="164" fontId="116" fillId="0" borderId="0" xfId="0" applyNumberFormat="1" applyFont="1" applyFill="1" applyBorder="1" applyAlignment="1">
      <alignment horizontal="center" vertical="center"/>
    </xf>
    <xf numFmtId="0" fontId="116" fillId="0" borderId="0" xfId="0" applyFont="1" applyFill="1" applyBorder="1" applyAlignment="1">
      <alignment horizontal="center" vertical="center"/>
    </xf>
    <xf numFmtId="0" fontId="86" fillId="0" borderId="0" xfId="0" applyFont="1" applyBorder="1"/>
    <xf numFmtId="0" fontId="87" fillId="0" borderId="0" xfId="0" applyFont="1" applyBorder="1" applyAlignment="1">
      <alignment wrapText="1"/>
    </xf>
    <xf numFmtId="0" fontId="86" fillId="0" borderId="0" xfId="0" applyFont="1" applyBorder="1" applyAlignment="1"/>
    <xf numFmtId="0" fontId="86" fillId="0" borderId="0" xfId="0" applyFont="1" applyBorder="1" applyAlignment="1">
      <alignment horizontal="left" wrapText="1"/>
    </xf>
    <xf numFmtId="0" fontId="87" fillId="0" borderId="0" xfId="0" applyFont="1" applyBorder="1" applyAlignment="1">
      <alignment horizontal="left" wrapText="1"/>
    </xf>
    <xf numFmtId="49" fontId="87" fillId="0" borderId="0" xfId="0" applyNumberFormat="1" applyFont="1" applyBorder="1" applyAlignment="1">
      <alignment horizontal="left" wrapText="1"/>
    </xf>
    <xf numFmtId="164" fontId="86" fillId="0" borderId="0" xfId="0" applyNumberFormat="1" applyFont="1" applyBorder="1" applyAlignment="1">
      <alignment horizontal="left" wrapText="1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wrapText="1"/>
    </xf>
    <xf numFmtId="0" fontId="87" fillId="0" borderId="0" xfId="0" applyFont="1" applyBorder="1" applyAlignment="1">
      <alignment horizontal="center"/>
    </xf>
    <xf numFmtId="0" fontId="86" fillId="0" borderId="0" xfId="0" applyFont="1"/>
    <xf numFmtId="0" fontId="86" fillId="0" borderId="0" xfId="0" applyFont="1" applyAlignment="1">
      <alignment wrapText="1"/>
    </xf>
    <xf numFmtId="0" fontId="86" fillId="0" borderId="0" xfId="0" applyFont="1" applyAlignment="1">
      <alignment horizontal="left" wrapText="1"/>
    </xf>
    <xf numFmtId="0" fontId="86" fillId="0" borderId="0" xfId="0" applyFont="1" applyBorder="1" applyAlignment="1">
      <alignment horizontal="center" wrapText="1"/>
    </xf>
    <xf numFmtId="164" fontId="86" fillId="0" borderId="0" xfId="0" applyNumberFormat="1" applyFont="1" applyBorder="1" applyAlignment="1">
      <alignment horizontal="center"/>
    </xf>
    <xf numFmtId="0" fontId="86" fillId="0" borderId="0" xfId="0" applyFont="1" applyAlignment="1"/>
    <xf numFmtId="0" fontId="15" fillId="35" borderId="0" xfId="0" applyFont="1" applyFill="1" applyBorder="1"/>
    <xf numFmtId="164" fontId="124" fillId="34" borderId="0" xfId="0" applyNumberFormat="1" applyFont="1" applyFill="1" applyBorder="1" applyAlignment="1">
      <alignment horizontal="center" vertical="center" wrapText="1"/>
    </xf>
    <xf numFmtId="164" fontId="124" fillId="0" borderId="0" xfId="0" applyNumberFormat="1" applyFont="1" applyFill="1" applyBorder="1" applyAlignment="1">
      <alignment horizontal="center" wrapText="1"/>
    </xf>
    <xf numFmtId="164" fontId="124" fillId="34" borderId="0" xfId="0" applyNumberFormat="1" applyFont="1" applyFill="1" applyBorder="1" applyAlignment="1">
      <alignment horizontal="center" wrapText="1"/>
    </xf>
    <xf numFmtId="0" fontId="15" fillId="0" borderId="12" xfId="0" applyFont="1" applyFill="1" applyBorder="1" applyAlignment="1">
      <alignment horizontal="center" vertical="center"/>
    </xf>
    <xf numFmtId="164" fontId="116" fillId="34" borderId="0" xfId="0" applyNumberFormat="1" applyFont="1" applyFill="1" applyBorder="1" applyAlignment="1">
      <alignment horizontal="center" vertical="center" wrapText="1"/>
    </xf>
    <xf numFmtId="164" fontId="116" fillId="34" borderId="0" xfId="0" applyNumberFormat="1" applyFont="1" applyFill="1" applyBorder="1" applyAlignment="1">
      <alignment horizontal="center" vertical="center"/>
    </xf>
    <xf numFmtId="164" fontId="124" fillId="0" borderId="0" xfId="0" applyNumberFormat="1" applyFont="1" applyFill="1" applyBorder="1" applyAlignment="1">
      <alignment horizontal="center" vertical="center" wrapText="1"/>
    </xf>
    <xf numFmtId="0" fontId="124" fillId="0" borderId="0" xfId="0" applyFont="1" applyFill="1" applyBorder="1" applyAlignment="1">
      <alignment horizontal="center" wrapText="1"/>
    </xf>
    <xf numFmtId="164" fontId="23" fillId="0" borderId="0" xfId="0" applyNumberFormat="1" applyFont="1" applyFill="1" applyBorder="1" applyAlignment="1">
      <alignment horizontal="center"/>
    </xf>
    <xf numFmtId="0" fontId="124" fillId="34" borderId="0" xfId="0" applyFont="1" applyFill="1" applyBorder="1" applyAlignment="1">
      <alignment horizontal="center" wrapText="1"/>
    </xf>
    <xf numFmtId="0" fontId="124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 vertical="center" wrapText="1"/>
    </xf>
    <xf numFmtId="0" fontId="70" fillId="0" borderId="0" xfId="0" applyFont="1" applyAlignment="1">
      <alignment vertical="center"/>
    </xf>
    <xf numFmtId="49" fontId="15" fillId="0" borderId="0" xfId="0" applyNumberFormat="1" applyFont="1" applyFill="1"/>
    <xf numFmtId="0" fontId="21" fillId="0" borderId="0" xfId="0" applyFont="1" applyFill="1" applyBorder="1" applyAlignment="1"/>
    <xf numFmtId="0" fontId="34" fillId="0" borderId="0" xfId="0" applyFont="1" applyFill="1" applyBorder="1"/>
    <xf numFmtId="0" fontId="30" fillId="0" borderId="0" xfId="0" applyFont="1" applyFill="1" applyAlignment="1">
      <alignment horizontal="right"/>
    </xf>
    <xf numFmtId="0" fontId="30" fillId="0" borderId="2" xfId="0" quotePrefix="1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right"/>
    </xf>
    <xf numFmtId="0" fontId="24" fillId="0" borderId="0" xfId="0" applyFont="1" applyFill="1"/>
    <xf numFmtId="0" fontId="24" fillId="0" borderId="0" xfId="0" applyFont="1" applyFill="1" applyBorder="1"/>
    <xf numFmtId="0" fontId="27" fillId="0" borderId="0" xfId="0" applyFont="1" applyFill="1" applyAlignment="1">
      <alignment wrapText="1"/>
    </xf>
    <xf numFmtId="0" fontId="43" fillId="0" borderId="0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 wrapText="1"/>
    </xf>
    <xf numFmtId="21" fontId="15" fillId="0" borderId="0" xfId="0" applyNumberFormat="1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left" vertical="center" wrapText="1"/>
    </xf>
    <xf numFmtId="2" fontId="13" fillId="0" borderId="12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justify" wrapText="1"/>
    </xf>
    <xf numFmtId="2" fontId="13" fillId="0" borderId="0" xfId="0" applyNumberFormat="1" applyFont="1" applyFill="1" applyBorder="1" applyAlignment="1">
      <alignment horizontal="center" vertical="justify" wrapText="1"/>
    </xf>
    <xf numFmtId="0" fontId="15" fillId="0" borderId="0" xfId="0" applyFont="1" applyFill="1" applyAlignment="1">
      <alignment horizontal="center" vertical="justify"/>
    </xf>
    <xf numFmtId="0" fontId="14" fillId="0" borderId="0" xfId="0" applyFont="1" applyFill="1" applyAlignment="1">
      <alignment vertical="center"/>
    </xf>
    <xf numFmtId="164" fontId="116" fillId="0" borderId="0" xfId="0" applyNumberFormat="1" applyFont="1" applyFill="1" applyBorder="1" applyAlignment="1">
      <alignment horizontal="center" vertical="center" wrapText="1"/>
    </xf>
    <xf numFmtId="164" fontId="116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left" vertical="center" wrapText="1"/>
    </xf>
    <xf numFmtId="2" fontId="4" fillId="0" borderId="0" xfId="0" applyNumberFormat="1" applyFont="1"/>
    <xf numFmtId="2" fontId="15" fillId="34" borderId="12" xfId="0" applyNumberFormat="1" applyFont="1" applyFill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49" fontId="27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/>
    <xf numFmtId="2" fontId="17" fillId="34" borderId="0" xfId="0" applyNumberFormat="1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 wrapText="1"/>
    </xf>
    <xf numFmtId="2" fontId="13" fillId="34" borderId="0" xfId="0" applyNumberFormat="1" applyFont="1" applyFill="1" applyBorder="1" applyAlignment="1">
      <alignment horizontal="center" vertical="justify" wrapText="1"/>
    </xf>
    <xf numFmtId="2" fontId="15" fillId="0" borderId="0" xfId="0" quotePrefix="1" applyNumberFormat="1" applyFont="1" applyFill="1" applyBorder="1" applyAlignment="1">
      <alignment horizontal="center" vertical="center" wrapText="1"/>
    </xf>
    <xf numFmtId="2" fontId="15" fillId="34" borderId="0" xfId="0" quotePrefix="1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/>
    <xf numFmtId="2" fontId="15" fillId="34" borderId="0" xfId="0" applyNumberFormat="1" applyFont="1" applyFill="1" applyAlignment="1">
      <alignment horizontal="right"/>
    </xf>
    <xf numFmtId="2" fontId="15" fillId="0" borderId="0" xfId="0" applyNumberFormat="1" applyFont="1" applyFill="1" applyAlignment="1">
      <alignment horizontal="right"/>
    </xf>
    <xf numFmtId="2" fontId="15" fillId="34" borderId="0" xfId="0" applyNumberFormat="1" applyFont="1" applyFill="1" applyBorder="1"/>
    <xf numFmtId="1" fontId="23" fillId="34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wrapText="1"/>
    </xf>
    <xf numFmtId="1" fontId="13" fillId="0" borderId="0" xfId="0" applyNumberFormat="1" applyFont="1" applyFill="1" applyBorder="1" applyAlignment="1">
      <alignment horizontal="left" wrapText="1"/>
    </xf>
    <xf numFmtId="1" fontId="13" fillId="0" borderId="0" xfId="0" applyNumberFormat="1" applyFont="1" applyFill="1" applyBorder="1" applyAlignment="1">
      <alignment horizontal="right" wrapText="1"/>
    </xf>
    <xf numFmtId="164" fontId="12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wrapText="1"/>
    </xf>
    <xf numFmtId="0" fontId="15" fillId="0" borderId="0" xfId="0" applyNumberFormat="1" applyFont="1" applyFill="1" applyBorder="1" applyAlignment="1">
      <alignment horizontal="center"/>
    </xf>
    <xf numFmtId="169" fontId="15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/>
    </xf>
    <xf numFmtId="166" fontId="23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0" fontId="86" fillId="0" borderId="0" xfId="0" applyFont="1" applyBorder="1" applyAlignment="1">
      <alignment horizontal="left" vertical="center"/>
    </xf>
    <xf numFmtId="164" fontId="15" fillId="34" borderId="0" xfId="0" applyNumberFormat="1" applyFont="1" applyFill="1" applyAlignment="1">
      <alignment horizontal="center" vertical="center"/>
    </xf>
    <xf numFmtId="0" fontId="15" fillId="34" borderId="0" xfId="0" applyFont="1" applyFill="1" applyAlignment="1">
      <alignment horizontal="center" vertical="center"/>
    </xf>
    <xf numFmtId="0" fontId="87" fillId="0" borderId="0" xfId="0" applyFont="1" applyBorder="1" applyAlignment="1">
      <alignment horizontal="right" wrapText="1"/>
    </xf>
    <xf numFmtId="0" fontId="30" fillId="0" borderId="0" xfId="0" applyFont="1" applyBorder="1" applyAlignment="1">
      <alignment wrapText="1"/>
    </xf>
    <xf numFmtId="0" fontId="17" fillId="0" borderId="0" xfId="0" applyFont="1" applyFill="1" applyBorder="1" applyAlignment="1">
      <alignment horizontal="right" vertical="center" wrapText="1"/>
    </xf>
    <xf numFmtId="164" fontId="23" fillId="0" borderId="0" xfId="0" applyNumberFormat="1" applyFont="1" applyFill="1" applyBorder="1" applyAlignment="1">
      <alignment horizontal="left" vertical="center" wrapText="1"/>
    </xf>
    <xf numFmtId="164" fontId="23" fillId="0" borderId="0" xfId="0" applyNumberFormat="1" applyFont="1" applyFill="1" applyBorder="1" applyAlignment="1">
      <alignment horizontal="right" vertical="center" wrapText="1"/>
    </xf>
    <xf numFmtId="0" fontId="23" fillId="0" borderId="0" xfId="0" applyFont="1" applyFill="1" applyBorder="1" applyAlignment="1">
      <alignment horizontal="left" vertical="center"/>
    </xf>
    <xf numFmtId="0" fontId="124" fillId="34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wrapText="1"/>
    </xf>
    <xf numFmtId="2" fontId="16" fillId="0" borderId="0" xfId="0" applyNumberFormat="1" applyFont="1" applyFill="1" applyBorder="1" applyAlignment="1">
      <alignment horizontal="center" wrapText="1"/>
    </xf>
    <xf numFmtId="1" fontId="16" fillId="0" borderId="0" xfId="0" applyNumberFormat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right" wrapText="1"/>
    </xf>
    <xf numFmtId="0" fontId="124" fillId="0" borderId="0" xfId="0" applyFont="1" applyFill="1" applyBorder="1" applyAlignment="1">
      <alignment horizontal="left" vertical="center" wrapText="1"/>
    </xf>
    <xf numFmtId="0" fontId="15" fillId="0" borderId="12" xfId="0" applyFont="1" applyFill="1" applyBorder="1" applyAlignment="1">
      <alignment vertical="center"/>
    </xf>
    <xf numFmtId="0" fontId="23" fillId="0" borderId="5" xfId="0" applyFont="1" applyFill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left" wrapText="1"/>
    </xf>
    <xf numFmtId="164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Border="1" applyAlignment="1">
      <alignment horizontal="justify" wrapText="1"/>
    </xf>
    <xf numFmtId="2" fontId="13" fillId="0" borderId="0" xfId="0" applyNumberFormat="1" applyFont="1" applyFill="1" applyBorder="1" applyAlignment="1">
      <alignment horizontal="center"/>
    </xf>
    <xf numFmtId="46" fontId="15" fillId="0" borderId="0" xfId="0" applyNumberFormat="1" applyFont="1" applyFill="1" applyBorder="1" applyAlignment="1">
      <alignment horizontal="center" vertical="center"/>
    </xf>
    <xf numFmtId="37" fontId="14" fillId="0" borderId="0" xfId="0" applyNumberFormat="1" applyFont="1" applyFill="1" applyBorder="1" applyAlignment="1">
      <alignment vertical="center" wrapText="1"/>
    </xf>
    <xf numFmtId="174" fontId="116" fillId="34" borderId="0" xfId="0" applyNumberFormat="1" applyFont="1" applyFill="1" applyBorder="1" applyAlignment="1">
      <alignment horizontal="center" wrapText="1"/>
    </xf>
    <xf numFmtId="174" fontId="116" fillId="0" borderId="0" xfId="0" applyNumberFormat="1" applyFont="1" applyFill="1" applyBorder="1" applyAlignment="1">
      <alignment horizontal="center" wrapText="1"/>
    </xf>
    <xf numFmtId="164" fontId="124" fillId="36" borderId="0" xfId="0" applyNumberFormat="1" applyFont="1" applyFill="1" applyBorder="1" applyAlignment="1">
      <alignment horizontal="center" vertical="center"/>
    </xf>
    <xf numFmtId="164" fontId="15" fillId="0" borderId="0" xfId="0" applyNumberFormat="1" applyFont="1" applyFill="1" applyAlignment="1">
      <alignment horizontal="center"/>
    </xf>
    <xf numFmtId="164" fontId="124" fillId="34" borderId="0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horizontal="right"/>
    </xf>
    <xf numFmtId="0" fontId="28" fillId="0" borderId="6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164" fontId="124" fillId="0" borderId="0" xfId="0" applyNumberFormat="1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wrapText="1"/>
    </xf>
    <xf numFmtId="0" fontId="32" fillId="0" borderId="0" xfId="0" applyFont="1" applyFill="1"/>
    <xf numFmtId="0" fontId="31" fillId="0" borderId="0" xfId="0" applyFont="1" applyFill="1" applyBorder="1" applyAlignment="1">
      <alignment wrapText="1"/>
    </xf>
    <xf numFmtId="0" fontId="31" fillId="0" borderId="0" xfId="0" applyFont="1" applyFill="1" applyBorder="1" applyAlignment="1">
      <alignment horizontal="center" wrapText="1"/>
    </xf>
    <xf numFmtId="0" fontId="31" fillId="0" borderId="0" xfId="0" applyFont="1" applyFill="1" applyAlignment="1">
      <alignment wrapText="1"/>
    </xf>
    <xf numFmtId="0" fontId="13" fillId="0" borderId="0" xfId="0" applyFont="1" applyFill="1"/>
    <xf numFmtId="0" fontId="13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horizontal="center" vertical="top" wrapText="1"/>
    </xf>
    <xf numFmtId="0" fontId="29" fillId="0" borderId="6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75" fillId="0" borderId="2" xfId="0" applyFont="1" applyFill="1" applyBorder="1" applyAlignment="1">
      <alignment horizontal="center" vertical="center" wrapText="1"/>
    </xf>
    <xf numFmtId="0" fontId="88" fillId="0" borderId="2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164" fontId="124" fillId="0" borderId="0" xfId="0" applyNumberFormat="1" applyFont="1" applyFill="1" applyAlignment="1">
      <alignment horizontal="right"/>
    </xf>
    <xf numFmtId="164" fontId="124" fillId="0" borderId="0" xfId="0" applyNumberFormat="1" applyFont="1" applyFill="1" applyBorder="1" applyAlignment="1">
      <alignment horizontal="right"/>
    </xf>
    <xf numFmtId="0" fontId="15" fillId="0" borderId="0" xfId="0" applyFont="1" applyFill="1" applyBorder="1" applyAlignment="1">
      <alignment vertical="top" wrapText="1"/>
    </xf>
    <xf numFmtId="0" fontId="21" fillId="0" borderId="0" xfId="0" applyFont="1" applyFill="1" applyAlignment="1"/>
    <xf numFmtId="0" fontId="23" fillId="0" borderId="2" xfId="0" applyFont="1" applyFill="1" applyBorder="1" applyAlignment="1">
      <alignment horizontal="center"/>
    </xf>
    <xf numFmtId="0" fontId="8" fillId="0" borderId="0" xfId="0" applyFont="1" applyFill="1"/>
    <xf numFmtId="164" fontId="7" fillId="0" borderId="0" xfId="0" applyNumberFormat="1" applyFont="1" applyFill="1"/>
    <xf numFmtId="0" fontId="36" fillId="0" borderId="0" xfId="0" applyFont="1" applyFill="1" applyBorder="1" applyAlignment="1"/>
    <xf numFmtId="0" fontId="36" fillId="0" borderId="0" xfId="0" applyFont="1" applyFill="1" applyBorder="1" applyAlignment="1">
      <alignment horizontal="left"/>
    </xf>
    <xf numFmtId="164" fontId="14" fillId="0" borderId="0" xfId="0" applyNumberFormat="1" applyFont="1" applyFill="1" applyBorder="1" applyAlignment="1"/>
    <xf numFmtId="164" fontId="125" fillId="0" borderId="0" xfId="0" applyNumberFormat="1" applyFont="1" applyFill="1" applyBorder="1" applyAlignment="1">
      <alignment horizontal="center" wrapText="1"/>
    </xf>
    <xf numFmtId="37" fontId="35" fillId="0" borderId="0" xfId="0" applyNumberFormat="1" applyFont="1" applyFill="1" applyBorder="1" applyAlignment="1">
      <alignment vertical="center" wrapText="1"/>
    </xf>
    <xf numFmtId="164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/>
    <xf numFmtId="2" fontId="23" fillId="0" borderId="0" xfId="0" applyNumberFormat="1" applyFont="1" applyFill="1" applyBorder="1"/>
    <xf numFmtId="2" fontId="40" fillId="0" borderId="0" xfId="0" applyNumberFormat="1" applyFont="1" applyFill="1" applyBorder="1" applyAlignment="1">
      <alignment horizontal="center" vertical="center"/>
    </xf>
    <xf numFmtId="2" fontId="40" fillId="34" borderId="0" xfId="0" applyNumberFormat="1" applyFont="1" applyFill="1" applyBorder="1" applyAlignment="1">
      <alignment horizontal="center" vertical="center"/>
    </xf>
    <xf numFmtId="166" fontId="23" fillId="34" borderId="0" xfId="0" applyNumberFormat="1" applyFont="1" applyFill="1" applyBorder="1" applyAlignment="1">
      <alignment horizontal="center" vertical="center"/>
    </xf>
    <xf numFmtId="0" fontId="23" fillId="34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right" vertical="center"/>
    </xf>
    <xf numFmtId="3" fontId="8" fillId="0" borderId="0" xfId="137" applyNumberFormat="1" applyFont="1" applyFill="1" applyBorder="1" applyAlignment="1" applyProtection="1">
      <alignment horizontal="right"/>
    </xf>
    <xf numFmtId="3" fontId="8" fillId="0" borderId="0" xfId="137" applyNumberFormat="1" applyFont="1" applyFill="1" applyBorder="1" applyProtection="1"/>
    <xf numFmtId="3" fontId="8" fillId="0" borderId="0" xfId="137" applyNumberFormat="1" applyFont="1" applyFill="1" applyBorder="1" applyProtection="1">
      <protection locked="0"/>
    </xf>
    <xf numFmtId="177" fontId="8" fillId="0" borderId="0" xfId="137" applyNumberFormat="1" applyFont="1" applyFill="1" applyBorder="1" applyAlignment="1" applyProtection="1">
      <alignment horizontal="right"/>
    </xf>
    <xf numFmtId="0" fontId="15" fillId="34" borderId="12" xfId="0" applyFont="1" applyFill="1" applyBorder="1" applyAlignment="1">
      <alignment horizontal="right"/>
    </xf>
    <xf numFmtId="0" fontId="15" fillId="0" borderId="0" xfId="0" applyNumberFormat="1" applyFont="1" applyFill="1" applyBorder="1" applyAlignment="1">
      <alignment horizontal="left"/>
    </xf>
    <xf numFmtId="0" fontId="15" fillId="0" borderId="0" xfId="0" applyNumberFormat="1" applyFont="1" applyFill="1" applyBorder="1" applyAlignment="1">
      <alignment horizontal="right"/>
    </xf>
    <xf numFmtId="2" fontId="15" fillId="0" borderId="0" xfId="196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right" vertical="center"/>
    </xf>
    <xf numFmtId="0" fontId="15" fillId="0" borderId="0" xfId="0" applyNumberFormat="1" applyFont="1" applyFill="1" applyBorder="1" applyAlignment="1">
      <alignment horizontal="left" vertical="center"/>
    </xf>
    <xf numFmtId="0" fontId="23" fillId="34" borderId="0" xfId="0" applyFont="1" applyFill="1" applyBorder="1" applyAlignment="1">
      <alignment horizontal="left" vertical="center"/>
    </xf>
    <xf numFmtId="2" fontId="116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7" fillId="34" borderId="0" xfId="0" applyFont="1" applyFill="1" applyBorder="1" applyAlignment="1">
      <alignment vertical="center"/>
    </xf>
    <xf numFmtId="0" fontId="17" fillId="34" borderId="0" xfId="0" applyFont="1" applyFill="1" applyBorder="1" applyAlignment="1">
      <alignment horizontal="right" vertical="center"/>
    </xf>
    <xf numFmtId="2" fontId="41" fillId="34" borderId="0" xfId="0" applyNumberFormat="1" applyFont="1" applyFill="1" applyBorder="1" applyAlignment="1">
      <alignment horizontal="center" vertical="center"/>
    </xf>
    <xf numFmtId="0" fontId="125" fillId="34" borderId="0" xfId="0" applyFont="1" applyFill="1" applyBorder="1" applyAlignment="1">
      <alignment horizontal="left" vertical="center" wrapText="1"/>
    </xf>
    <xf numFmtId="2" fontId="126" fillId="34" borderId="0" xfId="0" applyNumberFormat="1" applyFont="1" applyFill="1" applyBorder="1" applyAlignment="1">
      <alignment horizontal="center" vertical="center" wrapText="1"/>
    </xf>
    <xf numFmtId="2" fontId="125" fillId="0" borderId="0" xfId="0" applyNumberFormat="1" applyFont="1" applyFill="1" applyBorder="1" applyAlignment="1">
      <alignment horizontal="center" vertical="center" wrapText="1"/>
    </xf>
    <xf numFmtId="164" fontId="125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/>
    </xf>
    <xf numFmtId="0" fontId="17" fillId="34" borderId="0" xfId="0" applyFont="1" applyFill="1" applyBorder="1" applyAlignment="1">
      <alignment horizontal="right" vertical="center" wrapText="1"/>
    </xf>
    <xf numFmtId="164" fontId="125" fillId="34" borderId="0" xfId="0" applyNumberFormat="1" applyFont="1" applyFill="1" applyBorder="1" applyAlignment="1">
      <alignment horizontal="center" vertical="center" wrapText="1"/>
    </xf>
    <xf numFmtId="164" fontId="125" fillId="34" borderId="0" xfId="0" applyNumberFormat="1" applyFont="1" applyFill="1" applyBorder="1" applyAlignment="1">
      <alignment horizontal="center" wrapText="1"/>
    </xf>
    <xf numFmtId="0" fontId="43" fillId="34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vertical="center"/>
    </xf>
    <xf numFmtId="0" fontId="13" fillId="34" borderId="0" xfId="0" applyFont="1" applyFill="1" applyBorder="1" applyAlignment="1">
      <alignment horizontal="right" vertical="center"/>
    </xf>
    <xf numFmtId="2" fontId="124" fillId="0" borderId="0" xfId="0" applyNumberFormat="1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left" vertical="center"/>
    </xf>
    <xf numFmtId="2" fontId="40" fillId="34" borderId="0" xfId="0" applyNumberFormat="1" applyFont="1" applyFill="1" applyAlignment="1">
      <alignment horizontal="center" vertical="center"/>
    </xf>
    <xf numFmtId="2" fontId="41" fillId="0" borderId="0" xfId="0" applyNumberFormat="1" applyFont="1" applyFill="1" applyBorder="1" applyAlignment="1">
      <alignment horizontal="center" vertical="center"/>
    </xf>
    <xf numFmtId="0" fontId="40" fillId="34" borderId="0" xfId="0" applyFont="1" applyFill="1" applyBorder="1" applyAlignment="1">
      <alignment horizontal="left" vertical="center" wrapText="1"/>
    </xf>
    <xf numFmtId="0" fontId="43" fillId="34" borderId="0" xfId="0" applyFont="1" applyFill="1" applyBorder="1" applyAlignment="1">
      <alignment vertical="center"/>
    </xf>
    <xf numFmtId="0" fontId="43" fillId="34" borderId="0" xfId="0" applyFont="1" applyFill="1" applyBorder="1" applyAlignment="1">
      <alignment horizontal="left" vertical="center"/>
    </xf>
    <xf numFmtId="0" fontId="69" fillId="34" borderId="0" xfId="0" applyFont="1" applyFill="1" applyBorder="1" applyAlignment="1">
      <alignment horizontal="left" vertical="center"/>
    </xf>
    <xf numFmtId="0" fontId="69" fillId="0" borderId="0" xfId="0" applyFont="1" applyFill="1" applyBorder="1" applyAlignment="1">
      <alignment horizontal="left" vertical="center"/>
    </xf>
    <xf numFmtId="14" fontId="15" fillId="0" borderId="0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30" fillId="0" borderId="0" xfId="0" applyFont="1" applyFill="1" applyBorder="1" applyAlignment="1">
      <alignment horizontal="left"/>
    </xf>
    <xf numFmtId="0" fontId="30" fillId="34" borderId="0" xfId="0" applyFont="1" applyFill="1" applyBorder="1" applyAlignment="1">
      <alignment horizontal="left"/>
    </xf>
    <xf numFmtId="0" fontId="17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4" fontId="125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right" vertical="center"/>
    </xf>
    <xf numFmtId="0" fontId="15" fillId="0" borderId="0" xfId="196" applyFont="1" applyFill="1" applyBorder="1" applyAlignment="1">
      <alignment horizontal="left"/>
    </xf>
    <xf numFmtId="0" fontId="36" fillId="0" borderId="0" xfId="0" applyFont="1" applyBorder="1" applyAlignment="1">
      <alignment vertical="top" wrapText="1"/>
    </xf>
    <xf numFmtId="0" fontId="127" fillId="0" borderId="0" xfId="0" applyFont="1" applyFill="1" applyBorder="1" applyAlignment="1">
      <alignment vertical="center"/>
    </xf>
    <xf numFmtId="0" fontId="127" fillId="0" borderId="0" xfId="0" applyFont="1" applyFill="1" applyBorder="1" applyAlignment="1">
      <alignment vertical="center" wrapText="1"/>
    </xf>
    <xf numFmtId="0" fontId="127" fillId="0" borderId="0" xfId="0" applyFont="1" applyFill="1" applyAlignment="1">
      <alignment vertical="center"/>
    </xf>
    <xf numFmtId="0" fontId="127" fillId="0" borderId="0" xfId="0" applyFont="1" applyFill="1" applyBorder="1" applyAlignment="1">
      <alignment horizontal="center" vertical="center"/>
    </xf>
    <xf numFmtId="0" fontId="127" fillId="0" borderId="1" xfId="0" applyFont="1" applyFill="1" applyBorder="1" applyAlignment="1">
      <alignment horizontal="center" vertical="center"/>
    </xf>
    <xf numFmtId="0" fontId="127" fillId="0" borderId="1" xfId="0" applyFont="1" applyFill="1" applyBorder="1" applyAlignment="1">
      <alignment vertical="center"/>
    </xf>
    <xf numFmtId="0" fontId="127" fillId="0" borderId="1" xfId="0" applyFont="1" applyFill="1" applyBorder="1" applyAlignment="1">
      <alignment horizontal="right" vertical="center"/>
    </xf>
    <xf numFmtId="0" fontId="127" fillId="0" borderId="0" xfId="0" applyFont="1" applyFill="1" applyBorder="1" applyAlignment="1">
      <alignment horizontal="right" vertical="center"/>
    </xf>
    <xf numFmtId="0" fontId="128" fillId="0" borderId="0" xfId="0" applyFont="1" applyFill="1" applyAlignment="1">
      <alignment vertical="center"/>
    </xf>
    <xf numFmtId="0" fontId="129" fillId="0" borderId="0" xfId="0" applyFont="1" applyFill="1" applyAlignment="1">
      <alignment horizontal="center" vertical="center"/>
    </xf>
    <xf numFmtId="0" fontId="130" fillId="0" borderId="0" xfId="0" applyFont="1" applyFill="1" applyAlignment="1">
      <alignment vertical="center" wrapText="1"/>
    </xf>
    <xf numFmtId="0" fontId="131" fillId="0" borderId="2" xfId="0" applyFont="1" applyFill="1" applyBorder="1" applyAlignment="1">
      <alignment horizontal="center" vertical="center" wrapText="1"/>
    </xf>
    <xf numFmtId="0" fontId="132" fillId="0" borderId="2" xfId="0" applyFont="1" applyFill="1" applyBorder="1" applyAlignment="1">
      <alignment horizontal="center" vertical="center" wrapText="1"/>
    </xf>
    <xf numFmtId="0" fontId="133" fillId="0" borderId="0" xfId="0" applyFont="1" applyFill="1" applyAlignment="1">
      <alignment vertical="center"/>
    </xf>
    <xf numFmtId="1" fontId="134" fillId="0" borderId="2" xfId="0" applyNumberFormat="1" applyFont="1" applyFill="1" applyBorder="1" applyAlignment="1">
      <alignment horizontal="center" vertical="center"/>
    </xf>
    <xf numFmtId="1" fontId="135" fillId="0" borderId="2" xfId="0" applyNumberFormat="1" applyFont="1" applyFill="1" applyBorder="1" applyAlignment="1">
      <alignment horizontal="center" vertical="center" wrapText="1"/>
    </xf>
    <xf numFmtId="0" fontId="136" fillId="0" borderId="0" xfId="0" applyFont="1" applyFill="1" applyAlignment="1">
      <alignment vertical="center"/>
    </xf>
    <xf numFmtId="0" fontId="137" fillId="0" borderId="0" xfId="0" applyFont="1" applyFill="1"/>
    <xf numFmtId="0" fontId="124" fillId="0" borderId="9" xfId="0" applyFont="1" applyFill="1" applyBorder="1" applyAlignment="1">
      <alignment horizontal="left" wrapText="1"/>
    </xf>
    <xf numFmtId="0" fontId="116" fillId="0" borderId="0" xfId="0" applyFont="1" applyFill="1" applyBorder="1"/>
    <xf numFmtId="0" fontId="15" fillId="34" borderId="21" xfId="0" applyFont="1" applyFill="1" applyBorder="1" applyAlignment="1">
      <alignment horizontal="left" wrapText="1"/>
    </xf>
    <xf numFmtId="0" fontId="124" fillId="0" borderId="21" xfId="0" applyFont="1" applyFill="1" applyBorder="1" applyAlignment="1">
      <alignment horizontal="left" wrapText="1"/>
    </xf>
    <xf numFmtId="0" fontId="124" fillId="34" borderId="21" xfId="0" applyFont="1" applyFill="1" applyBorder="1" applyAlignment="1">
      <alignment horizontal="left" wrapText="1"/>
    </xf>
    <xf numFmtId="0" fontId="116" fillId="0" borderId="0" xfId="0" applyFont="1" applyFill="1"/>
    <xf numFmtId="0" fontId="126" fillId="0" borderId="7" xfId="0" applyFont="1" applyFill="1" applyBorder="1"/>
    <xf numFmtId="0" fontId="126" fillId="0" borderId="0" xfId="0" applyFont="1" applyFill="1"/>
    <xf numFmtId="0" fontId="138" fillId="0" borderId="0" xfId="0" applyFont="1" applyFill="1"/>
    <xf numFmtId="0" fontId="13" fillId="0" borderId="0" xfId="0" applyFont="1" applyFill="1" applyAlignment="1">
      <alignment vertical="center"/>
    </xf>
    <xf numFmtId="168" fontId="1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right" vertical="center"/>
    </xf>
    <xf numFmtId="2" fontId="50" fillId="0" borderId="0" xfId="0" applyNumberFormat="1" applyFont="1" applyFill="1" applyBorder="1" applyAlignment="1">
      <alignment horizontal="center" vertical="center"/>
    </xf>
    <xf numFmtId="1" fontId="17" fillId="34" borderId="0" xfId="0" applyNumberFormat="1" applyFont="1" applyFill="1" applyBorder="1" applyAlignment="1">
      <alignment horizontal="center" wrapText="1"/>
    </xf>
    <xf numFmtId="0" fontId="13" fillId="34" borderId="0" xfId="0" applyFont="1" applyFill="1" applyBorder="1" applyAlignment="1">
      <alignment horizontal="left" vertical="center"/>
    </xf>
    <xf numFmtId="0" fontId="15" fillId="34" borderId="0" xfId="136" applyNumberFormat="1" applyFont="1" applyFill="1" applyBorder="1" applyAlignment="1">
      <alignment horizontal="center" vertical="center"/>
    </xf>
    <xf numFmtId="2" fontId="50" fillId="34" borderId="0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/>
    <xf numFmtId="164" fontId="15" fillId="0" borderId="0" xfId="0" applyNumberFormat="1" applyFont="1" applyFill="1" applyBorder="1" applyAlignment="1"/>
    <xf numFmtId="0" fontId="116" fillId="0" borderId="0" xfId="0" applyFont="1" applyFill="1" applyBorder="1" applyAlignment="1">
      <alignment horizontal="center"/>
    </xf>
    <xf numFmtId="0" fontId="15" fillId="34" borderId="0" xfId="0" applyFont="1" applyFill="1" applyBorder="1" applyAlignment="1"/>
    <xf numFmtId="0" fontId="126" fillId="0" borderId="0" xfId="0" applyFont="1" applyFill="1" applyBorder="1" applyAlignment="1">
      <alignment horizontal="center"/>
    </xf>
    <xf numFmtId="164" fontId="126" fillId="0" borderId="0" xfId="0" applyNumberFormat="1" applyFont="1" applyFill="1" applyBorder="1" applyAlignment="1">
      <alignment horizontal="center"/>
    </xf>
    <xf numFmtId="0" fontId="43" fillId="0" borderId="0" xfId="0" applyFont="1" applyFill="1" applyBorder="1" applyAlignment="1">
      <alignment vertical="center"/>
    </xf>
    <xf numFmtId="0" fontId="116" fillId="0" borderId="0" xfId="0" applyFont="1" applyFill="1" applyAlignment="1">
      <alignment horizontal="right" vertical="center" readingOrder="1"/>
    </xf>
    <xf numFmtId="164" fontId="116" fillId="0" borderId="0" xfId="0" applyNumberFormat="1" applyFont="1" applyFill="1" applyAlignment="1">
      <alignment horizontal="right" vertical="center" readingOrder="1"/>
    </xf>
    <xf numFmtId="0" fontId="126" fillId="0" borderId="1" xfId="0" applyFont="1" applyFill="1" applyBorder="1" applyAlignment="1">
      <alignment horizontal="right" readingOrder="1"/>
    </xf>
    <xf numFmtId="164" fontId="126" fillId="0" borderId="1" xfId="0" applyNumberFormat="1" applyFont="1" applyFill="1" applyBorder="1" applyAlignment="1">
      <alignment horizontal="right" readingOrder="1"/>
    </xf>
    <xf numFmtId="0" fontId="126" fillId="0" borderId="10" xfId="0" applyFont="1" applyFill="1" applyBorder="1" applyAlignment="1">
      <alignment horizontal="right" readingOrder="1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167" fontId="15" fillId="34" borderId="12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 wrapText="1"/>
    </xf>
    <xf numFmtId="49" fontId="15" fillId="34" borderId="0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/>
    </xf>
    <xf numFmtId="49" fontId="15" fillId="34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173" fontId="15" fillId="34" borderId="0" xfId="0" applyNumberFormat="1" applyFont="1" applyFill="1" applyBorder="1" applyAlignment="1">
      <alignment horizontal="center" vertical="center"/>
    </xf>
    <xf numFmtId="0" fontId="15" fillId="34" borderId="0" xfId="0" applyNumberFormat="1" applyFont="1" applyFill="1" applyBorder="1" applyAlignment="1">
      <alignment horizontal="center" vertical="center"/>
    </xf>
    <xf numFmtId="172" fontId="15" fillId="34" borderId="0" xfId="0" applyNumberFormat="1" applyFont="1" applyFill="1" applyBorder="1" applyAlignment="1">
      <alignment horizontal="center" vertical="center"/>
    </xf>
    <xf numFmtId="173" fontId="15" fillId="0" borderId="0" xfId="0" applyNumberFormat="1" applyFont="1" applyBorder="1" applyAlignment="1">
      <alignment horizontal="right" vertical="center"/>
    </xf>
    <xf numFmtId="173" fontId="15" fillId="0" borderId="0" xfId="0" applyNumberFormat="1" applyFont="1" applyBorder="1" applyAlignment="1">
      <alignment horizontal="center" vertical="center"/>
    </xf>
    <xf numFmtId="49" fontId="116" fillId="0" borderId="0" xfId="0" applyNumberFormat="1" applyFont="1" applyBorder="1" applyAlignment="1">
      <alignment horizontal="center" vertical="center"/>
    </xf>
    <xf numFmtId="1" fontId="116" fillId="0" borderId="0" xfId="0" applyNumberFormat="1" applyFont="1" applyBorder="1" applyAlignment="1">
      <alignment horizontal="center" vertical="center"/>
    </xf>
    <xf numFmtId="172" fontId="15" fillId="34" borderId="12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2" fontId="17" fillId="0" borderId="0" xfId="0" applyNumberFormat="1" applyFont="1" applyFill="1" applyBorder="1" applyAlignment="1">
      <alignment horizontal="center"/>
    </xf>
    <xf numFmtId="1" fontId="134" fillId="0" borderId="2" xfId="0" applyNumberFormat="1" applyFont="1" applyFill="1" applyBorder="1" applyAlignment="1">
      <alignment horizontal="center" vertical="center"/>
    </xf>
    <xf numFmtId="2" fontId="116" fillId="0" borderId="0" xfId="0" applyNumberFormat="1" applyFont="1" applyFill="1" applyAlignment="1">
      <alignment horizontal="right" vertical="center" readingOrder="1"/>
    </xf>
    <xf numFmtId="2" fontId="126" fillId="0" borderId="1" xfId="0" applyNumberFormat="1" applyFont="1" applyFill="1" applyBorder="1" applyAlignment="1">
      <alignment horizontal="right" readingOrder="1"/>
    </xf>
    <xf numFmtId="0" fontId="13" fillId="34" borderId="0" xfId="0" applyFont="1" applyFill="1" applyBorder="1" applyAlignment="1">
      <alignment horizontal="left" vertical="center" wrapText="1"/>
    </xf>
    <xf numFmtId="0" fontId="126" fillId="34" borderId="0" xfId="0" applyFont="1" applyFill="1" applyBorder="1" applyAlignment="1">
      <alignment horizontal="center" vertical="center" wrapText="1"/>
    </xf>
    <xf numFmtId="0" fontId="116" fillId="0" borderId="0" xfId="0" applyFont="1" applyFill="1" applyBorder="1" applyAlignment="1">
      <alignment horizontal="right" readingOrder="1"/>
    </xf>
    <xf numFmtId="164" fontId="116" fillId="0" borderId="0" xfId="0" applyNumberFormat="1" applyFont="1" applyFill="1" applyBorder="1" applyAlignment="1">
      <alignment horizontal="right" readingOrder="1"/>
    </xf>
    <xf numFmtId="2" fontId="116" fillId="0" borderId="0" xfId="0" applyNumberFormat="1" applyFont="1" applyFill="1" applyBorder="1" applyAlignment="1">
      <alignment horizontal="right" readingOrder="1"/>
    </xf>
    <xf numFmtId="0" fontId="126" fillId="34" borderId="1" xfId="0" applyFont="1" applyFill="1" applyBorder="1" applyAlignment="1">
      <alignment horizontal="right" readingOrder="1"/>
    </xf>
    <xf numFmtId="164" fontId="126" fillId="34" borderId="1" xfId="0" applyNumberFormat="1" applyFont="1" applyFill="1" applyBorder="1" applyAlignment="1">
      <alignment horizontal="right" readingOrder="1"/>
    </xf>
    <xf numFmtId="0" fontId="116" fillId="34" borderId="0" xfId="0" applyFont="1" applyFill="1" applyBorder="1" applyAlignment="1">
      <alignment horizontal="right" readingOrder="1"/>
    </xf>
    <xf numFmtId="164" fontId="116" fillId="34" borderId="0" xfId="0" applyNumberFormat="1" applyFont="1" applyFill="1" applyBorder="1" applyAlignment="1">
      <alignment horizontal="right" readingOrder="1"/>
    </xf>
    <xf numFmtId="2" fontId="116" fillId="34" borderId="0" xfId="0" applyNumberFormat="1" applyFont="1" applyFill="1" applyBorder="1" applyAlignment="1">
      <alignment horizontal="right" readingOrder="1"/>
    </xf>
    <xf numFmtId="0" fontId="116" fillId="34" borderId="0" xfId="0" applyFont="1" applyFill="1" applyBorder="1"/>
    <xf numFmtId="0" fontId="130" fillId="0" borderId="0" xfId="0" applyFont="1" applyFill="1"/>
    <xf numFmtId="0" fontId="129" fillId="0" borderId="0" xfId="0" applyFont="1" applyFill="1" applyBorder="1" applyAlignment="1">
      <alignment vertical="center"/>
    </xf>
    <xf numFmtId="0" fontId="129" fillId="0" borderId="0" xfId="0" applyFont="1" applyFill="1" applyAlignment="1">
      <alignment vertical="center"/>
    </xf>
    <xf numFmtId="0" fontId="116" fillId="34" borderId="22" xfId="0" applyFont="1" applyFill="1" applyBorder="1" applyAlignment="1">
      <alignment horizontal="right" readingOrder="1"/>
    </xf>
    <xf numFmtId="0" fontId="116" fillId="0" borderId="23" xfId="0" applyFont="1" applyFill="1" applyBorder="1" applyAlignment="1">
      <alignment horizontal="right" readingOrder="1"/>
    </xf>
    <xf numFmtId="0" fontId="116" fillId="34" borderId="23" xfId="0" applyFont="1" applyFill="1" applyBorder="1" applyAlignment="1">
      <alignment horizontal="right" readingOrder="1"/>
    </xf>
    <xf numFmtId="0" fontId="126" fillId="34" borderId="10" xfId="0" applyFont="1" applyFill="1" applyBorder="1" applyAlignment="1">
      <alignment horizontal="right" readingOrder="1"/>
    </xf>
    <xf numFmtId="2" fontId="126" fillId="34" borderId="1" xfId="0" applyNumberFormat="1" applyFont="1" applyFill="1" applyBorder="1" applyAlignment="1">
      <alignment horizontal="right" readingOrder="1"/>
    </xf>
    <xf numFmtId="0" fontId="125" fillId="34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/>
    </xf>
    <xf numFmtId="0" fontId="125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vertical="center" wrapText="1"/>
    </xf>
    <xf numFmtId="0" fontId="116" fillId="34" borderId="20" xfId="0" applyFont="1" applyFill="1" applyBorder="1"/>
    <xf numFmtId="0" fontId="116" fillId="34" borderId="20" xfId="0" applyFont="1" applyFill="1" applyBorder="1" applyAlignment="1">
      <alignment horizontal="right" readingOrder="1"/>
    </xf>
    <xf numFmtId="164" fontId="116" fillId="34" borderId="20" xfId="0" applyNumberFormat="1" applyFont="1" applyFill="1" applyBorder="1" applyAlignment="1">
      <alignment horizontal="right" readingOrder="1"/>
    </xf>
    <xf numFmtId="0" fontId="126" fillId="34" borderId="1" xfId="0" applyFont="1" applyFill="1" applyBorder="1"/>
    <xf numFmtId="2" fontId="116" fillId="34" borderId="20" xfId="0" applyNumberFormat="1" applyFont="1" applyFill="1" applyBorder="1" applyAlignment="1">
      <alignment horizontal="right" readingOrder="1"/>
    </xf>
    <xf numFmtId="0" fontId="116" fillId="0" borderId="20" xfId="0" applyFont="1" applyFill="1" applyBorder="1" applyAlignment="1">
      <alignment horizontal="right" vertical="center" readingOrder="1"/>
    </xf>
    <xf numFmtId="164" fontId="116" fillId="0" borderId="20" xfId="0" applyNumberFormat="1" applyFont="1" applyFill="1" applyBorder="1" applyAlignment="1">
      <alignment horizontal="right" vertical="center" readingOrder="1"/>
    </xf>
    <xf numFmtId="0" fontId="116" fillId="0" borderId="20" xfId="0" applyFont="1" applyFill="1" applyBorder="1" applyAlignment="1">
      <alignment horizontal="right" vertical="center"/>
    </xf>
    <xf numFmtId="164" fontId="116" fillId="0" borderId="20" xfId="0" applyNumberFormat="1" applyFont="1" applyFill="1" applyBorder="1" applyAlignment="1">
      <alignment horizontal="right" vertical="center"/>
    </xf>
    <xf numFmtId="2" fontId="116" fillId="0" borderId="20" xfId="0" applyNumberFormat="1" applyFont="1" applyFill="1" applyBorder="1" applyAlignment="1">
      <alignment horizontal="right" vertical="center"/>
    </xf>
    <xf numFmtId="0" fontId="15" fillId="34" borderId="0" xfId="0" applyFont="1" applyFill="1" applyBorder="1" applyAlignment="1">
      <alignment horizontal="right" vertical="center" readingOrder="1"/>
    </xf>
    <xf numFmtId="164" fontId="15" fillId="34" borderId="0" xfId="0" applyNumberFormat="1" applyFont="1" applyFill="1" applyBorder="1" applyAlignment="1">
      <alignment horizontal="right" vertical="center" readingOrder="1"/>
    </xf>
    <xf numFmtId="164" fontId="15" fillId="34" borderId="0" xfId="0" applyNumberFormat="1" applyFont="1" applyFill="1" applyBorder="1" applyAlignment="1">
      <alignment horizontal="right" vertical="center"/>
    </xf>
    <xf numFmtId="2" fontId="15" fillId="34" borderId="0" xfId="0" applyNumberFormat="1" applyFont="1" applyFill="1" applyBorder="1" applyAlignment="1">
      <alignment horizontal="right" vertical="center"/>
    </xf>
    <xf numFmtId="0" fontId="15" fillId="34" borderId="23" xfId="0" applyFont="1" applyFill="1" applyBorder="1" applyAlignment="1">
      <alignment horizontal="right" vertical="center" readingOrder="1"/>
    </xf>
    <xf numFmtId="0" fontId="116" fillId="0" borderId="0" xfId="0" applyFont="1" applyFill="1" applyBorder="1" applyAlignment="1">
      <alignment horizontal="right" vertical="center" readingOrder="1"/>
    </xf>
    <xf numFmtId="164" fontId="116" fillId="0" borderId="0" xfId="0" applyNumberFormat="1" applyFont="1" applyFill="1" applyBorder="1" applyAlignment="1">
      <alignment horizontal="right" vertical="center" readingOrder="1"/>
    </xf>
    <xf numFmtId="0" fontId="116" fillId="0" borderId="0" xfId="0" applyFont="1" applyFill="1" applyBorder="1" applyAlignment="1">
      <alignment horizontal="right" vertical="center"/>
    </xf>
    <xf numFmtId="164" fontId="116" fillId="0" borderId="0" xfId="0" applyNumberFormat="1" applyFont="1" applyFill="1" applyBorder="1" applyAlignment="1">
      <alignment horizontal="right" vertical="center"/>
    </xf>
    <xf numFmtId="2" fontId="116" fillId="0" borderId="0" xfId="0" applyNumberFormat="1" applyFont="1" applyFill="1" applyBorder="1" applyAlignment="1">
      <alignment horizontal="right" vertical="center"/>
    </xf>
    <xf numFmtId="0" fontId="116" fillId="0" borderId="23" xfId="0" applyFont="1" applyFill="1" applyBorder="1" applyAlignment="1">
      <alignment horizontal="right" vertical="center" readingOrder="1"/>
    </xf>
    <xf numFmtId="0" fontId="116" fillId="34" borderId="0" xfId="0" applyFont="1" applyFill="1" applyBorder="1" applyAlignment="1">
      <alignment horizontal="right" vertical="center" readingOrder="1"/>
    </xf>
    <xf numFmtId="164" fontId="116" fillId="34" borderId="0" xfId="0" applyNumberFormat="1" applyFont="1" applyFill="1" applyBorder="1" applyAlignment="1">
      <alignment horizontal="right" vertical="center" readingOrder="1"/>
    </xf>
    <xf numFmtId="0" fontId="116" fillId="34" borderId="0" xfId="0" applyFont="1" applyFill="1" applyBorder="1" applyAlignment="1">
      <alignment horizontal="right" vertical="center"/>
    </xf>
    <xf numFmtId="164" fontId="116" fillId="34" borderId="0" xfId="0" applyNumberFormat="1" applyFont="1" applyFill="1" applyBorder="1" applyAlignment="1">
      <alignment horizontal="right" vertical="center"/>
    </xf>
    <xf numFmtId="2" fontId="116" fillId="34" borderId="0" xfId="0" applyNumberFormat="1" applyFont="1" applyFill="1" applyBorder="1" applyAlignment="1">
      <alignment horizontal="right" vertical="center"/>
    </xf>
    <xf numFmtId="0" fontId="116" fillId="34" borderId="23" xfId="0" applyFont="1" applyFill="1" applyBorder="1" applyAlignment="1">
      <alignment horizontal="right" vertical="center" readingOrder="1"/>
    </xf>
    <xf numFmtId="2" fontId="133" fillId="34" borderId="0" xfId="198" applyNumberFormat="1" applyFont="1" applyFill="1" applyBorder="1" applyAlignment="1">
      <alignment horizontal="center"/>
    </xf>
    <xf numFmtId="2" fontId="133" fillId="0" borderId="0" xfId="198" applyNumberFormat="1" applyFont="1" applyFill="1" applyBorder="1" applyAlignment="1">
      <alignment horizontal="center"/>
    </xf>
    <xf numFmtId="0" fontId="15" fillId="34" borderId="0" xfId="196" applyFont="1" applyFill="1" applyBorder="1" applyAlignment="1">
      <alignment horizontal="left" vertical="center"/>
    </xf>
    <xf numFmtId="2" fontId="15" fillId="34" borderId="0" xfId="196" applyNumberFormat="1" applyFont="1" applyFill="1" applyBorder="1" applyAlignment="1">
      <alignment horizontal="center" vertical="center"/>
    </xf>
    <xf numFmtId="2" fontId="13" fillId="34" borderId="0" xfId="0" applyNumberFormat="1" applyFont="1" applyFill="1" applyBorder="1" applyAlignment="1">
      <alignment horizontal="center" vertical="center"/>
    </xf>
    <xf numFmtId="1" fontId="17" fillId="0" borderId="0" xfId="0" applyNumberFormat="1" applyFont="1" applyFill="1" applyBorder="1" applyAlignment="1">
      <alignment horizontal="left" vertical="center" wrapText="1"/>
    </xf>
    <xf numFmtId="1" fontId="17" fillId="0" borderId="0" xfId="0" applyNumberFormat="1" applyFont="1" applyFill="1" applyBorder="1" applyAlignment="1">
      <alignment horizontal="right" vertical="center" wrapText="1"/>
    </xf>
    <xf numFmtId="21" fontId="13" fillId="34" borderId="0" xfId="0" applyNumberFormat="1" applyFont="1" applyFill="1" applyBorder="1" applyAlignment="1">
      <alignment horizontal="center" vertical="center" wrapText="1"/>
    </xf>
    <xf numFmtId="0" fontId="19" fillId="34" borderId="0" xfId="0" applyFont="1" applyFill="1" applyBorder="1" applyAlignment="1">
      <alignment horizontal="center" vertical="center" wrapText="1"/>
    </xf>
    <xf numFmtId="21" fontId="15" fillId="34" borderId="0" xfId="0" applyNumberFormat="1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vertical="center" wrapText="1"/>
    </xf>
    <xf numFmtId="37" fontId="14" fillId="34" borderId="0" xfId="0" applyNumberFormat="1" applyFont="1" applyFill="1" applyBorder="1" applyAlignment="1">
      <alignment vertical="center" wrapText="1"/>
    </xf>
    <xf numFmtId="0" fontId="19" fillId="34" borderId="0" xfId="0" applyFont="1" applyFill="1" applyBorder="1" applyAlignment="1">
      <alignment horizontal="left" vertical="center" wrapText="1"/>
    </xf>
    <xf numFmtId="0" fontId="25" fillId="34" borderId="0" xfId="0" applyFont="1" applyFill="1" applyBorder="1" applyAlignment="1">
      <alignment vertical="center"/>
    </xf>
    <xf numFmtId="0" fontId="40" fillId="34" borderId="0" xfId="0" applyFont="1" applyFill="1" applyBorder="1" applyAlignment="1">
      <alignment vertical="center"/>
    </xf>
    <xf numFmtId="37" fontId="35" fillId="34" borderId="0" xfId="0" applyNumberFormat="1" applyFont="1" applyFill="1" applyBorder="1" applyAlignment="1">
      <alignment vertical="center" wrapText="1"/>
    </xf>
    <xf numFmtId="46" fontId="15" fillId="34" borderId="0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vertical="center" wrapText="1"/>
    </xf>
    <xf numFmtId="21" fontId="15" fillId="34" borderId="0" xfId="0" applyNumberFormat="1" applyFont="1" applyFill="1" applyBorder="1" applyAlignment="1">
      <alignment horizontal="center" vertical="center" wrapText="1"/>
    </xf>
    <xf numFmtId="0" fontId="14" fillId="34" borderId="0" xfId="0" applyFont="1" applyFill="1" applyBorder="1" applyAlignment="1">
      <alignment vertical="center" wrapText="1"/>
    </xf>
    <xf numFmtId="0" fontId="43" fillId="34" borderId="0" xfId="0" applyFont="1" applyFill="1" applyBorder="1" applyAlignment="1">
      <alignment vertical="center" wrapText="1"/>
    </xf>
    <xf numFmtId="0" fontId="35" fillId="34" borderId="0" xfId="0" applyFont="1" applyFill="1" applyBorder="1" applyAlignment="1">
      <alignment vertical="center"/>
    </xf>
    <xf numFmtId="14" fontId="15" fillId="34" borderId="0" xfId="0" applyNumberFormat="1" applyFont="1" applyFill="1" applyBorder="1" applyAlignment="1">
      <alignment horizontal="center" vertical="center"/>
    </xf>
    <xf numFmtId="0" fontId="14" fillId="34" borderId="0" xfId="0" applyFont="1" applyFill="1" applyBorder="1" applyAlignment="1">
      <alignment vertical="center"/>
    </xf>
    <xf numFmtId="0" fontId="17" fillId="34" borderId="0" xfId="0" applyFont="1" applyFill="1" applyBorder="1" applyAlignment="1">
      <alignment vertical="center" wrapText="1"/>
    </xf>
    <xf numFmtId="2" fontId="13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wrapText="1"/>
    </xf>
    <xf numFmtId="0" fontId="115" fillId="0" borderId="0" xfId="0" applyFont="1" applyBorder="1"/>
    <xf numFmtId="0" fontId="20" fillId="0" borderId="0" xfId="0" applyFont="1" applyBorder="1" applyAlignment="1">
      <alignment horizontal="right" wrapText="1"/>
    </xf>
    <xf numFmtId="0" fontId="20" fillId="0" borderId="0" xfId="0" applyFont="1" applyBorder="1" applyAlignment="1">
      <alignment wrapText="1"/>
    </xf>
    <xf numFmtId="0" fontId="139" fillId="0" borderId="0" xfId="0" applyFont="1" applyBorder="1"/>
    <xf numFmtId="0" fontId="140" fillId="0" borderId="0" xfId="0" applyFont="1" applyFill="1" applyBorder="1" applyAlignment="1">
      <alignment horizontal="left" wrapText="1"/>
    </xf>
    <xf numFmtId="0" fontId="126" fillId="34" borderId="7" xfId="0" applyFont="1" applyFill="1" applyBorder="1"/>
    <xf numFmtId="0" fontId="19" fillId="34" borderId="12" xfId="0" applyFont="1" applyFill="1" applyBorder="1" applyAlignment="1">
      <alignment horizontal="center" vertical="center" wrapText="1"/>
    </xf>
    <xf numFmtId="1" fontId="134" fillId="0" borderId="2" xfId="0" applyNumberFormat="1" applyFont="1" applyFill="1" applyBorder="1" applyAlignment="1">
      <alignment horizontal="center" vertical="center"/>
    </xf>
    <xf numFmtId="178" fontId="15" fillId="0" borderId="0" xfId="0" applyNumberFormat="1" applyFont="1"/>
    <xf numFmtId="178" fontId="7" fillId="0" borderId="0" xfId="0" applyNumberFormat="1" applyFont="1" applyBorder="1"/>
    <xf numFmtId="179" fontId="7" fillId="0" borderId="0" xfId="0" applyNumberFormat="1" applyFont="1" applyBorder="1"/>
    <xf numFmtId="0" fontId="15" fillId="0" borderId="0" xfId="196" applyFont="1" applyFill="1" applyBorder="1" applyAlignment="1"/>
    <xf numFmtId="2" fontId="15" fillId="0" borderId="0" xfId="196" applyNumberFormat="1" applyFont="1" applyFill="1" applyBorder="1" applyAlignment="1">
      <alignment horizontal="center" vertical="center"/>
    </xf>
    <xf numFmtId="2" fontId="0" fillId="0" borderId="0" xfId="0" applyNumberFormat="1"/>
    <xf numFmtId="0" fontId="23" fillId="34" borderId="0" xfId="196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0" fontId="23" fillId="0" borderId="0" xfId="136" applyNumberFormat="1" applyFont="1" applyFill="1" applyBorder="1" applyAlignment="1">
      <alignment horizontal="center" vertical="center"/>
    </xf>
    <xf numFmtId="2" fontId="23" fillId="0" borderId="0" xfId="136" applyNumberFormat="1" applyFont="1" applyFill="1" applyBorder="1" applyAlignment="1">
      <alignment horizontal="center" vertical="center"/>
    </xf>
    <xf numFmtId="165" fontId="15" fillId="0" borderId="0" xfId="0" applyNumberFormat="1" applyFont="1"/>
    <xf numFmtId="1" fontId="13" fillId="0" borderId="0" xfId="0" applyNumberFormat="1" applyFont="1" applyFill="1" applyBorder="1" applyAlignment="1">
      <alignment horizontal="center" vertical="center"/>
    </xf>
    <xf numFmtId="1" fontId="18" fillId="0" borderId="0" xfId="0" applyNumberFormat="1" applyFont="1" applyBorder="1" applyAlignment="1">
      <alignment horizontal="left" wrapText="1"/>
    </xf>
    <xf numFmtId="167" fontId="15" fillId="34" borderId="0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top"/>
    </xf>
    <xf numFmtId="1" fontId="13" fillId="34" borderId="0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horizontal="center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right" vertical="center" wrapText="1"/>
    </xf>
    <xf numFmtId="1" fontId="14" fillId="0" borderId="0" xfId="0" applyNumberFormat="1" applyFont="1"/>
    <xf numFmtId="0" fontId="116" fillId="0" borderId="9" xfId="0" applyFont="1" applyFill="1" applyBorder="1"/>
    <xf numFmtId="0" fontId="116" fillId="0" borderId="20" xfId="0" applyFont="1" applyFill="1" applyBorder="1" applyAlignment="1">
      <alignment horizontal="right" readingOrder="1"/>
    </xf>
    <xf numFmtId="164" fontId="116" fillId="0" borderId="20" xfId="0" applyNumberFormat="1" applyFont="1" applyFill="1" applyBorder="1" applyAlignment="1">
      <alignment horizontal="right" readingOrder="1"/>
    </xf>
    <xf numFmtId="2" fontId="116" fillId="0" borderId="20" xfId="0" applyNumberFormat="1" applyFont="1" applyFill="1" applyBorder="1" applyAlignment="1">
      <alignment horizontal="right" readingOrder="1"/>
    </xf>
    <xf numFmtId="164" fontId="15" fillId="34" borderId="0" xfId="0" applyNumberFormat="1" applyFont="1" applyFill="1" applyBorder="1" applyAlignment="1">
      <alignment horizontal="left" vertical="top" wrapText="1"/>
    </xf>
    <xf numFmtId="164" fontId="124" fillId="34" borderId="0" xfId="0" applyNumberFormat="1" applyFont="1" applyFill="1" applyBorder="1" applyAlignment="1">
      <alignment horizontal="center" vertical="top" wrapText="1"/>
    </xf>
    <xf numFmtId="164" fontId="15" fillId="0" borderId="0" xfId="0" applyNumberFormat="1" applyFont="1" applyFill="1" applyBorder="1" applyAlignment="1">
      <alignment horizontal="left" vertical="top" wrapText="1"/>
    </xf>
    <xf numFmtId="0" fontId="17" fillId="34" borderId="0" xfId="0" applyFont="1" applyFill="1" applyBorder="1" applyAlignment="1">
      <alignment horizontal="left" vertical="center"/>
    </xf>
    <xf numFmtId="1" fontId="17" fillId="0" borderId="0" xfId="0" applyNumberFormat="1" applyFont="1" applyFill="1" applyBorder="1" applyAlignment="1">
      <alignment horizontal="center" wrapText="1"/>
    </xf>
    <xf numFmtId="0" fontId="23" fillId="34" borderId="0" xfId="0" applyFont="1" applyFill="1" applyBorder="1" applyAlignment="1">
      <alignment vertical="center" wrapText="1"/>
    </xf>
    <xf numFmtId="0" fontId="14" fillId="34" borderId="0" xfId="0" applyFont="1" applyFill="1" applyBorder="1" applyAlignment="1">
      <alignment horizontal="center" vertical="center" wrapText="1"/>
    </xf>
    <xf numFmtId="2" fontId="125" fillId="34" borderId="0" xfId="0" applyNumberFormat="1" applyFont="1" applyFill="1" applyBorder="1" applyAlignment="1">
      <alignment horizontal="center" vertical="center" wrapText="1"/>
    </xf>
    <xf numFmtId="2" fontId="126" fillId="0" borderId="0" xfId="0" applyNumberFormat="1" applyFont="1" applyFill="1" applyBorder="1" applyAlignment="1">
      <alignment horizontal="center" vertical="center" wrapText="1"/>
    </xf>
    <xf numFmtId="1" fontId="125" fillId="0" borderId="0" xfId="0" applyNumberFormat="1" applyFont="1" applyFill="1" applyBorder="1" applyAlignment="1">
      <alignment horizontal="center" vertical="center" wrapText="1"/>
    </xf>
    <xf numFmtId="1" fontId="17" fillId="34" borderId="0" xfId="0" applyNumberFormat="1" applyFont="1" applyFill="1" applyBorder="1" applyAlignment="1">
      <alignment horizontal="left" vertical="center" wrapText="1"/>
    </xf>
    <xf numFmtId="1" fontId="17" fillId="34" borderId="0" xfId="0" applyNumberFormat="1" applyFont="1" applyFill="1" applyBorder="1" applyAlignment="1">
      <alignment horizontal="right" vertical="center" wrapText="1"/>
    </xf>
    <xf numFmtId="0" fontId="19" fillId="34" borderId="12" xfId="0" applyFont="1" applyFill="1" applyBorder="1" applyAlignment="1">
      <alignment horizontal="left" vertical="center" wrapText="1"/>
    </xf>
    <xf numFmtId="2" fontId="116" fillId="34" borderId="0" xfId="0" applyNumberFormat="1" applyFont="1" applyFill="1" applyBorder="1" applyAlignment="1">
      <alignment horizontal="center" vertical="center"/>
    </xf>
    <xf numFmtId="0" fontId="30" fillId="34" borderId="12" xfId="0" applyFont="1" applyFill="1" applyBorder="1" applyAlignment="1">
      <alignment horizontal="center"/>
    </xf>
    <xf numFmtId="164" fontId="14" fillId="0" borderId="0" xfId="0" applyNumberFormat="1" applyFont="1" applyFill="1"/>
    <xf numFmtId="49" fontId="19" fillId="0" borderId="0" xfId="0" applyNumberFormat="1" applyFont="1" applyFill="1" applyBorder="1" applyAlignment="1">
      <alignment horizontal="center" vertical="center" wrapText="1"/>
    </xf>
    <xf numFmtId="49" fontId="19" fillId="34" borderId="0" xfId="0" applyNumberFormat="1" applyFont="1" applyFill="1" applyBorder="1" applyAlignment="1">
      <alignment horizontal="center" vertical="center" wrapText="1"/>
    </xf>
    <xf numFmtId="0" fontId="15" fillId="34" borderId="0" xfId="136" quotePrefix="1" applyNumberFormat="1" applyFont="1" applyFill="1" applyBorder="1" applyAlignment="1">
      <alignment horizontal="center" vertical="center"/>
    </xf>
    <xf numFmtId="2" fontId="15" fillId="34" borderId="0" xfId="0" applyNumberFormat="1" applyFont="1" applyFill="1" applyBorder="1" applyAlignment="1">
      <alignment vertical="center" wrapText="1"/>
    </xf>
    <xf numFmtId="2" fontId="15" fillId="0" borderId="0" xfId="0" applyNumberFormat="1" applyFont="1" applyFill="1" applyBorder="1" applyAlignment="1">
      <alignment vertical="center" wrapText="1"/>
    </xf>
    <xf numFmtId="0" fontId="116" fillId="34" borderId="9" xfId="0" applyFont="1" applyFill="1" applyBorder="1"/>
    <xf numFmtId="0" fontId="83" fillId="0" borderId="0" xfId="0" applyFont="1" applyAlignment="1">
      <alignment horizontal="left"/>
    </xf>
    <xf numFmtId="0" fontId="16" fillId="0" borderId="1" xfId="0" applyFont="1" applyBorder="1" applyAlignment="1"/>
    <xf numFmtId="21" fontId="15" fillId="34" borderId="12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horizontal="center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5" fillId="0" borderId="0" xfId="136" quotePrefix="1" applyNumberFormat="1" applyFont="1" applyFill="1" applyBorder="1" applyAlignment="1">
      <alignment horizontal="center" vertical="center"/>
    </xf>
    <xf numFmtId="2" fontId="17" fillId="34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top" wrapText="1"/>
    </xf>
    <xf numFmtId="0" fontId="15" fillId="0" borderId="0" xfId="0" applyFont="1" applyFill="1" applyBorder="1" applyAlignment="1">
      <alignment vertical="top"/>
    </xf>
    <xf numFmtId="37" fontId="14" fillId="34" borderId="12" xfId="0" applyNumberFormat="1" applyFont="1" applyFill="1" applyBorder="1" applyAlignment="1">
      <alignment vertical="center" wrapText="1"/>
    </xf>
    <xf numFmtId="0" fontId="13" fillId="34" borderId="12" xfId="0" applyFont="1" applyFill="1" applyBorder="1" applyAlignment="1">
      <alignment horizontal="center" vertical="center" wrapText="1"/>
    </xf>
    <xf numFmtId="180" fontId="15" fillId="0" borderId="0" xfId="0" applyNumberFormat="1" applyFont="1"/>
    <xf numFmtId="0" fontId="23" fillId="34" borderId="0" xfId="136" applyNumberFormat="1" applyFont="1" applyFill="1" applyBorder="1" applyAlignment="1">
      <alignment horizontal="center" vertical="center"/>
    </xf>
    <xf numFmtId="2" fontId="23" fillId="34" borderId="0" xfId="136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1" fontId="15" fillId="34" borderId="0" xfId="0" applyNumberFormat="1" applyFont="1" applyFill="1" applyBorder="1" applyAlignment="1">
      <alignment horizontal="right" vertical="center" wrapText="1"/>
    </xf>
    <xf numFmtId="1" fontId="15" fillId="34" borderId="0" xfId="0" applyNumberFormat="1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46" fontId="13" fillId="34" borderId="0" xfId="0" applyNumberFormat="1" applyFont="1" applyFill="1" applyBorder="1" applyAlignment="1">
      <alignment horizontal="center" vertical="center"/>
    </xf>
    <xf numFmtId="0" fontId="43" fillId="34" borderId="12" xfId="0" applyFont="1" applyFill="1" applyBorder="1" applyAlignment="1">
      <alignment horizontal="left" vertical="center" wrapText="1"/>
    </xf>
    <xf numFmtId="2" fontId="13" fillId="0" borderId="0" xfId="0" applyNumberFormat="1" applyFont="1" applyBorder="1" applyAlignment="1">
      <alignment horizontal="right"/>
    </xf>
    <xf numFmtId="2" fontId="25" fillId="0" borderId="0" xfId="0" applyNumberFormat="1" applyFont="1"/>
    <xf numFmtId="2" fontId="15" fillId="0" borderId="0" xfId="0" applyNumberFormat="1" applyFont="1" applyAlignment="1">
      <alignment horizontal="right"/>
    </xf>
    <xf numFmtId="0" fontId="27" fillId="0" borderId="24" xfId="0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horizontal="center" vertical="center" wrapText="1"/>
    </xf>
    <xf numFmtId="2" fontId="116" fillId="34" borderId="0" xfId="0" applyNumberFormat="1" applyFont="1" applyFill="1" applyBorder="1" applyAlignment="1">
      <alignment horizontal="center" wrapText="1"/>
    </xf>
    <xf numFmtId="1" fontId="15" fillId="0" borderId="0" xfId="0" applyNumberFormat="1" applyFont="1" applyFill="1" applyBorder="1" applyAlignment="1">
      <alignment horizontal="right" vertical="center" wrapText="1"/>
    </xf>
    <xf numFmtId="1" fontId="15" fillId="0" borderId="0" xfId="0" applyNumberFormat="1" applyFont="1" applyFill="1" applyBorder="1" applyAlignment="1">
      <alignment horizontal="left" vertical="center" wrapText="1"/>
    </xf>
    <xf numFmtId="0" fontId="30" fillId="0" borderId="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2" fontId="15" fillId="0" borderId="0" xfId="0" applyNumberFormat="1" applyFont="1" applyBorder="1" applyAlignment="1">
      <alignment horizontal="right"/>
    </xf>
    <xf numFmtId="0" fontId="30" fillId="0" borderId="4" xfId="0" applyFont="1" applyFill="1" applyBorder="1" applyAlignment="1">
      <alignment wrapText="1"/>
    </xf>
    <xf numFmtId="2" fontId="15" fillId="0" borderId="0" xfId="0" applyNumberFormat="1" applyFont="1" applyFill="1" applyBorder="1" applyAlignment="1">
      <alignment horizontal="right"/>
    </xf>
    <xf numFmtId="0" fontId="20" fillId="0" borderId="2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vertical="center"/>
    </xf>
    <xf numFmtId="0" fontId="40" fillId="34" borderId="12" xfId="0" applyFont="1" applyFill="1" applyBorder="1" applyAlignment="1">
      <alignment vertical="center"/>
    </xf>
    <xf numFmtId="164" fontId="15" fillId="0" borderId="12" xfId="0" applyNumberFormat="1" applyFont="1" applyFill="1" applyBorder="1" applyAlignment="1">
      <alignment horizontal="center" vertical="center"/>
    </xf>
    <xf numFmtId="0" fontId="15" fillId="34" borderId="12" xfId="0" applyFont="1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top" wrapText="1"/>
    </xf>
    <xf numFmtId="0" fontId="19" fillId="0" borderId="0" xfId="0" applyFont="1" applyFill="1"/>
    <xf numFmtId="0" fontId="13" fillId="34" borderId="12" xfId="0" applyFont="1" applyFill="1" applyBorder="1" applyAlignment="1">
      <alignment horizontal="right" vertical="center" wrapText="1"/>
    </xf>
    <xf numFmtId="0" fontId="36" fillId="34" borderId="0" xfId="0" applyFont="1" applyFill="1" applyBorder="1" applyAlignment="1">
      <alignment vertical="center"/>
    </xf>
    <xf numFmtId="21" fontId="13" fillId="34" borderId="12" xfId="0" applyNumberFormat="1" applyFont="1" applyFill="1" applyBorder="1" applyAlignment="1">
      <alignment horizontal="center" vertical="center" wrapText="1"/>
    </xf>
    <xf numFmtId="21" fontId="15" fillId="34" borderId="12" xfId="0" applyNumberFormat="1" applyFont="1" applyFill="1" applyBorder="1" applyAlignment="1">
      <alignment horizontal="center" vertical="center" wrapText="1"/>
    </xf>
    <xf numFmtId="0" fontId="27" fillId="34" borderId="0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 wrapText="1"/>
    </xf>
    <xf numFmtId="0" fontId="43" fillId="34" borderId="12" xfId="0" applyFont="1" applyFill="1" applyBorder="1" applyAlignment="1">
      <alignment vertical="center" wrapText="1"/>
    </xf>
    <xf numFmtId="46" fontId="15" fillId="34" borderId="12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0" xfId="0" applyFont="1" applyAlignment="1"/>
    <xf numFmtId="164" fontId="15" fillId="34" borderId="12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 wrapText="1"/>
    </xf>
    <xf numFmtId="0" fontId="23" fillId="34" borderId="0" xfId="0" applyFont="1" applyFill="1" applyBorder="1" applyAlignment="1">
      <alignment horizontal="left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164" fontId="15" fillId="34" borderId="0" xfId="0" applyNumberFormat="1" applyFont="1" applyFill="1" applyAlignment="1">
      <alignment horizontal="center"/>
    </xf>
    <xf numFmtId="164" fontId="13" fillId="34" borderId="0" xfId="0" applyNumberFormat="1" applyFont="1" applyFill="1" applyBorder="1" applyAlignment="1">
      <alignment horizontal="center" wrapText="1"/>
    </xf>
    <xf numFmtId="164" fontId="124" fillId="34" borderId="0" xfId="0" applyNumberFormat="1" applyFont="1" applyFill="1" applyAlignment="1">
      <alignment horizontal="right"/>
    </xf>
    <xf numFmtId="164" fontId="124" fillId="34" borderId="0" xfId="0" applyNumberFormat="1" applyFont="1" applyFill="1" applyBorder="1" applyAlignment="1">
      <alignment horizontal="right"/>
    </xf>
    <xf numFmtId="164" fontId="125" fillId="34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Border="1" applyAlignment="1">
      <alignment horizontal="left" wrapText="1"/>
    </xf>
    <xf numFmtId="1" fontId="13" fillId="0" borderId="0" xfId="0" applyNumberFormat="1" applyFont="1" applyBorder="1" applyAlignment="1">
      <alignment horizontal="center" wrapText="1"/>
    </xf>
    <xf numFmtId="1" fontId="13" fillId="0" borderId="0" xfId="0" applyNumberFormat="1" applyFont="1" applyBorder="1" applyAlignment="1">
      <alignment horizontal="right" wrapText="1"/>
    </xf>
    <xf numFmtId="1" fontId="13" fillId="0" borderId="0" xfId="0" applyNumberFormat="1" applyFont="1" applyBorder="1" applyAlignment="1">
      <alignment horizontal="center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vertical="center"/>
    </xf>
    <xf numFmtId="168" fontId="13" fillId="0" borderId="0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right"/>
    </xf>
    <xf numFmtId="171" fontId="13" fillId="34" borderId="0" xfId="136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center"/>
    </xf>
    <xf numFmtId="2" fontId="43" fillId="0" borderId="0" xfId="0" applyNumberFormat="1" applyFont="1" applyFill="1" applyBorder="1" applyAlignment="1">
      <alignment horizontal="center" vertical="center" wrapText="1"/>
    </xf>
    <xf numFmtId="2" fontId="40" fillId="0" borderId="0" xfId="0" applyNumberFormat="1" applyFont="1" applyFill="1" applyAlignment="1">
      <alignment horizontal="center" vertical="center"/>
    </xf>
    <xf numFmtId="0" fontId="40" fillId="0" borderId="0" xfId="0" applyFont="1" applyFill="1" applyBorder="1" applyAlignment="1">
      <alignment horizontal="left" vertical="center" wrapText="1"/>
    </xf>
    <xf numFmtId="0" fontId="42" fillId="0" borderId="0" xfId="0" applyFont="1" applyFill="1"/>
    <xf numFmtId="1" fontId="50" fillId="34" borderId="0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33" fillId="34" borderId="0" xfId="0" applyFont="1" applyFill="1" applyBorder="1" applyAlignment="1">
      <alignment horizontal="right" readingOrder="1"/>
    </xf>
    <xf numFmtId="0" fontId="133" fillId="0" borderId="0" xfId="0" applyFont="1" applyFill="1" applyBorder="1" applyAlignment="1">
      <alignment horizontal="right" readingOrder="1"/>
    </xf>
    <xf numFmtId="0" fontId="13" fillId="34" borderId="0" xfId="0" applyFont="1" applyFill="1" applyBorder="1" applyAlignment="1">
      <alignment horizontal="left" vertical="center" wrapText="1"/>
    </xf>
    <xf numFmtId="0" fontId="25" fillId="0" borderId="0" xfId="202" applyFont="1" applyAlignment="1"/>
    <xf numFmtId="0" fontId="86" fillId="0" borderId="0" xfId="0" applyFont="1" applyFill="1" applyBorder="1" applyAlignment="1">
      <alignment wrapText="1"/>
    </xf>
    <xf numFmtId="0" fontId="14" fillId="0" borderId="0" xfId="0" applyFont="1" applyBorder="1" applyAlignment="1">
      <alignment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vertical="center"/>
    </xf>
    <xf numFmtId="164" fontId="125" fillId="34" borderId="0" xfId="0" applyNumberFormat="1" applyFont="1" applyFill="1" applyBorder="1" applyAlignment="1">
      <alignment horizontal="left" wrapText="1"/>
    </xf>
    <xf numFmtId="0" fontId="15" fillId="0" borderId="0" xfId="0" applyFont="1" applyBorder="1" applyAlignment="1">
      <alignment horizontal="left"/>
    </xf>
    <xf numFmtId="2" fontId="14" fillId="0" borderId="0" xfId="0" applyNumberFormat="1" applyFont="1" applyBorder="1" applyAlignment="1"/>
    <xf numFmtId="2" fontId="14" fillId="0" borderId="0" xfId="0" applyNumberFormat="1" applyFont="1" applyFill="1" applyBorder="1" applyAlignment="1"/>
    <xf numFmtId="2" fontId="14" fillId="0" borderId="0" xfId="0" applyNumberFormat="1" applyFont="1" applyBorder="1" applyAlignment="1">
      <alignment horizontal="left"/>
    </xf>
    <xf numFmtId="0" fontId="15" fillId="0" borderId="0" xfId="0" applyFont="1" applyBorder="1" applyAlignment="1">
      <alignment wrapText="1"/>
    </xf>
    <xf numFmtId="49" fontId="15" fillId="0" borderId="0" xfId="0" applyNumberFormat="1" applyFont="1" applyFill="1" applyBorder="1"/>
    <xf numFmtId="0" fontId="28" fillId="0" borderId="2" xfId="196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horizontal="left"/>
    </xf>
    <xf numFmtId="0" fontId="17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3" fillId="34" borderId="0" xfId="0" applyFont="1" applyFill="1" applyBorder="1" applyAlignment="1">
      <alignment horizontal="left" vertical="center" wrapText="1"/>
    </xf>
    <xf numFmtId="1" fontId="125" fillId="34" borderId="0" xfId="0" applyNumberFormat="1" applyFont="1" applyFill="1" applyBorder="1" applyAlignment="1">
      <alignment horizontal="center" vertical="center" wrapText="1"/>
    </xf>
    <xf numFmtId="0" fontId="125" fillId="0" borderId="0" xfId="0" applyFont="1" applyFill="1" applyBorder="1" applyAlignment="1">
      <alignment horizontal="center" vertical="center" wrapText="1"/>
    </xf>
    <xf numFmtId="2" fontId="23" fillId="0" borderId="0" xfId="0" applyNumberFormat="1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3" fillId="34" borderId="0" xfId="0" applyFont="1" applyFill="1" applyBorder="1" applyAlignment="1">
      <alignment horizontal="left" vertical="center" wrapText="1"/>
    </xf>
    <xf numFmtId="164" fontId="125" fillId="0" borderId="0" xfId="0" applyNumberFormat="1" applyFont="1" applyFill="1" applyBorder="1" applyAlignment="1">
      <alignment horizontal="left" wrapText="1"/>
    </xf>
    <xf numFmtId="0" fontId="116" fillId="34" borderId="21" xfId="0" applyFont="1" applyFill="1" applyBorder="1"/>
    <xf numFmtId="0" fontId="116" fillId="0" borderId="21" xfId="0" applyFont="1" applyFill="1" applyBorder="1"/>
    <xf numFmtId="0" fontId="13" fillId="34" borderId="0" xfId="0" applyFont="1" applyFill="1" applyBorder="1"/>
    <xf numFmtId="0" fontId="13" fillId="34" borderId="0" xfId="0" applyFont="1" applyFill="1" applyBorder="1" applyAlignment="1">
      <alignment horizontal="right"/>
    </xf>
    <xf numFmtId="166" fontId="15" fillId="0" borderId="0" xfId="0" applyNumberFormat="1" applyFont="1" applyBorder="1"/>
    <xf numFmtId="0" fontId="16" fillId="0" borderId="0" xfId="0" applyFont="1" applyFill="1" applyBorder="1" applyAlignment="1">
      <alignment vertical="center" wrapText="1"/>
    </xf>
    <xf numFmtId="0" fontId="30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1" fontId="16" fillId="0" borderId="0" xfId="0" applyNumberFormat="1" applyFont="1" applyFill="1" applyBorder="1" applyAlignment="1">
      <alignment horizontal="center" vertical="center" wrapText="1"/>
    </xf>
    <xf numFmtId="2" fontId="147" fillId="0" borderId="0" xfId="0" applyNumberFormat="1" applyFont="1" applyBorder="1" applyAlignment="1">
      <alignment wrapText="1"/>
    </xf>
    <xf numFmtId="0" fontId="148" fillId="0" borderId="0" xfId="0" applyFont="1" applyBorder="1" applyAlignment="1">
      <alignment wrapText="1"/>
    </xf>
    <xf numFmtId="0" fontId="149" fillId="0" borderId="0" xfId="0" applyFont="1"/>
    <xf numFmtId="0" fontId="150" fillId="0" borderId="0" xfId="0" applyFont="1" applyAlignment="1">
      <alignment horizontal="left" wrapText="1"/>
    </xf>
    <xf numFmtId="0" fontId="150" fillId="0" borderId="0" xfId="0" applyFont="1" applyAlignment="1">
      <alignment horizontal="center" wrapText="1"/>
    </xf>
    <xf numFmtId="0" fontId="151" fillId="0" borderId="0" xfId="0" applyFont="1"/>
    <xf numFmtId="0" fontId="152" fillId="0" borderId="0" xfId="0" applyFont="1"/>
    <xf numFmtId="0" fontId="153" fillId="0" borderId="0" xfId="0" applyFont="1" applyBorder="1" applyAlignment="1">
      <alignment horizontal="center" wrapText="1"/>
    </xf>
    <xf numFmtId="0" fontId="153" fillId="0" borderId="0" xfId="0" applyFont="1" applyBorder="1" applyAlignment="1">
      <alignment wrapText="1"/>
    </xf>
    <xf numFmtId="0" fontId="151" fillId="0" borderId="1" xfId="0" applyFont="1" applyBorder="1" applyAlignment="1">
      <alignment wrapText="1"/>
    </xf>
    <xf numFmtId="0" fontId="151" fillId="0" borderId="1" xfId="0" applyFont="1" applyBorder="1" applyAlignment="1">
      <alignment horizontal="right" wrapText="1"/>
    </xf>
    <xf numFmtId="0" fontId="151" fillId="0" borderId="0" xfId="0" applyFont="1" applyBorder="1" applyAlignment="1">
      <alignment horizontal="left" wrapText="1"/>
    </xf>
    <xf numFmtId="0" fontId="151" fillId="0" borderId="0" xfId="0" applyFont="1" applyBorder="1" applyAlignment="1">
      <alignment horizontal="right" wrapText="1"/>
    </xf>
    <xf numFmtId="0" fontId="154" fillId="0" borderId="0" xfId="0" applyFont="1" applyAlignment="1">
      <alignment vertical="center"/>
    </xf>
    <xf numFmtId="0" fontId="151" fillId="0" borderId="0" xfId="0" applyFont="1" applyFill="1" applyAlignment="1">
      <alignment vertical="center"/>
    </xf>
    <xf numFmtId="0" fontId="151" fillId="0" borderId="0" xfId="0" applyFont="1" applyAlignment="1">
      <alignment vertical="center"/>
    </xf>
    <xf numFmtId="0" fontId="151" fillId="0" borderId="0" xfId="0" applyFont="1" applyAlignment="1">
      <alignment horizontal="left"/>
    </xf>
    <xf numFmtId="0" fontId="155" fillId="0" borderId="0" xfId="0" applyFont="1" applyAlignment="1">
      <alignment horizontal="right"/>
    </xf>
    <xf numFmtId="0" fontId="151" fillId="0" borderId="0" xfId="0" applyFont="1" applyBorder="1"/>
    <xf numFmtId="2" fontId="156" fillId="0" borderId="0" xfId="0" applyNumberFormat="1" applyFont="1" applyBorder="1"/>
    <xf numFmtId="2" fontId="34" fillId="0" borderId="0" xfId="0" applyNumberFormat="1" applyFont="1" applyBorder="1"/>
    <xf numFmtId="0" fontId="156" fillId="0" borderId="0" xfId="0" applyFont="1" applyBorder="1"/>
    <xf numFmtId="0" fontId="16" fillId="0" borderId="2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164" fontId="15" fillId="0" borderId="12" xfId="0" applyNumberFormat="1" applyFont="1" applyFill="1" applyBorder="1" applyAlignment="1">
      <alignment horizontal="center"/>
    </xf>
    <xf numFmtId="0" fontId="163" fillId="2" borderId="0" xfId="0" applyFont="1" applyFill="1" applyBorder="1"/>
    <xf numFmtId="0" fontId="165" fillId="0" borderId="0" xfId="0" applyFont="1" applyBorder="1" applyAlignment="1">
      <alignment horizontal="center" wrapText="1"/>
    </xf>
    <xf numFmtId="0" fontId="165" fillId="0" borderId="17" xfId="0" applyFont="1" applyBorder="1" applyAlignment="1">
      <alignment wrapText="1"/>
    </xf>
    <xf numFmtId="0" fontId="164" fillId="0" borderId="0" xfId="0" applyFont="1" applyBorder="1" applyAlignment="1">
      <alignment horizontal="left" wrapText="1"/>
    </xf>
    <xf numFmtId="0" fontId="164" fillId="0" borderId="0" xfId="0" applyFont="1" applyBorder="1" applyAlignment="1">
      <alignment wrapText="1"/>
    </xf>
    <xf numFmtId="0" fontId="163" fillId="2" borderId="12" xfId="0" applyFont="1" applyFill="1" applyBorder="1"/>
    <xf numFmtId="0" fontId="165" fillId="0" borderId="16" xfId="0" applyFont="1" applyBorder="1" applyAlignment="1">
      <alignment vertical="top" wrapText="1"/>
    </xf>
    <xf numFmtId="0" fontId="164" fillId="0" borderId="0" xfId="0" applyFont="1" applyBorder="1"/>
    <xf numFmtId="0" fontId="164" fillId="2" borderId="16" xfId="0" applyFont="1" applyFill="1" applyBorder="1"/>
    <xf numFmtId="0" fontId="164" fillId="2" borderId="0" xfId="0" applyFont="1" applyFill="1" applyBorder="1"/>
    <xf numFmtId="0" fontId="164" fillId="2" borderId="17" xfId="0" applyFont="1" applyFill="1" applyBorder="1"/>
    <xf numFmtId="0" fontId="164" fillId="0" borderId="16" xfId="0" applyFont="1" applyBorder="1" applyAlignment="1">
      <alignment wrapText="1"/>
    </xf>
    <xf numFmtId="0" fontId="164" fillId="2" borderId="0" xfId="0" applyFont="1" applyFill="1"/>
    <xf numFmtId="0" fontId="164" fillId="2" borderId="18" xfId="0" applyFont="1" applyFill="1" applyBorder="1"/>
    <xf numFmtId="0" fontId="164" fillId="2" borderId="12" xfId="0" applyFont="1" applyFill="1" applyBorder="1"/>
    <xf numFmtId="0" fontId="164" fillId="2" borderId="19" xfId="0" applyFont="1" applyFill="1" applyBorder="1"/>
    <xf numFmtId="0" fontId="167" fillId="0" borderId="16" xfId="0" applyFont="1" applyFill="1" applyBorder="1"/>
    <xf numFmtId="0" fontId="74" fillId="0" borderId="0" xfId="0" applyFont="1" applyFill="1" applyBorder="1"/>
    <xf numFmtId="0" fontId="74" fillId="0" borderId="17" xfId="0" applyFont="1" applyFill="1" applyBorder="1"/>
    <xf numFmtId="0" fontId="167" fillId="2" borderId="16" xfId="0" applyFont="1" applyFill="1" applyBorder="1"/>
    <xf numFmtId="0" fontId="74" fillId="2" borderId="0" xfId="0" applyFont="1" applyFill="1" applyBorder="1"/>
    <xf numFmtId="0" fontId="74" fillId="2" borderId="17" xfId="0" applyFont="1" applyFill="1" applyBorder="1"/>
    <xf numFmtId="0" fontId="168" fillId="2" borderId="0" xfId="0" applyFont="1" applyFill="1" applyBorder="1"/>
    <xf numFmtId="0" fontId="169" fillId="0" borderId="0" xfId="0" applyFont="1" applyBorder="1" applyAlignment="1">
      <alignment horizontal="center"/>
    </xf>
    <xf numFmtId="0" fontId="162" fillId="0" borderId="0" xfId="0" applyFont="1" applyBorder="1" applyAlignment="1">
      <alignment horizontal="center"/>
    </xf>
    <xf numFmtId="0" fontId="172" fillId="0" borderId="13" xfId="0" applyFont="1" applyFill="1" applyBorder="1"/>
    <xf numFmtId="0" fontId="172" fillId="0" borderId="14" xfId="0" applyFont="1" applyFill="1" applyBorder="1"/>
    <xf numFmtId="0" fontId="172" fillId="0" borderId="15" xfId="0" applyFont="1" applyFill="1" applyBorder="1"/>
    <xf numFmtId="0" fontId="173" fillId="0" borderId="16" xfId="0" applyFont="1" applyFill="1" applyBorder="1"/>
    <xf numFmtId="0" fontId="173" fillId="0" borderId="0" xfId="0" applyFont="1" applyFill="1" applyBorder="1" applyAlignment="1">
      <alignment horizontal="center" vertical="center"/>
    </xf>
    <xf numFmtId="0" fontId="173" fillId="0" borderId="0" xfId="0" applyFont="1" applyFill="1" applyBorder="1"/>
    <xf numFmtId="0" fontId="173" fillId="0" borderId="17" xfId="0" applyFont="1" applyFill="1" applyBorder="1"/>
    <xf numFmtId="0" fontId="173" fillId="2" borderId="16" xfId="0" applyFont="1" applyFill="1" applyBorder="1"/>
    <xf numFmtId="0" fontId="173" fillId="2" borderId="0" xfId="0" applyFont="1" applyFill="1" applyBorder="1"/>
    <xf numFmtId="0" fontId="173" fillId="2" borderId="17" xfId="0" applyFont="1" applyFill="1" applyBorder="1"/>
    <xf numFmtId="0" fontId="172" fillId="2" borderId="16" xfId="0" applyFont="1" applyFill="1" applyBorder="1"/>
    <xf numFmtId="0" fontId="172" fillId="2" borderId="0" xfId="0" applyFont="1" applyFill="1" applyBorder="1"/>
    <xf numFmtId="0" fontId="172" fillId="2" borderId="17" xfId="0" applyFont="1" applyFill="1" applyBorder="1"/>
    <xf numFmtId="0" fontId="13" fillId="0" borderId="0" xfId="0" applyFont="1" applyFill="1" applyBorder="1" applyAlignment="1">
      <alignment horizontal="left" vertical="center" wrapText="1"/>
    </xf>
    <xf numFmtId="0" fontId="40" fillId="0" borderId="3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2" fontId="23" fillId="0" borderId="0" xfId="196" applyNumberFormat="1" applyFont="1" applyFill="1" applyBorder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2" fontId="40" fillId="0" borderId="0" xfId="0" applyNumberFormat="1" applyFont="1" applyBorder="1" applyAlignment="1">
      <alignment horizontal="center" wrapText="1"/>
    </xf>
    <xf numFmtId="2" fontId="40" fillId="34" borderId="0" xfId="0" applyNumberFormat="1" applyFont="1" applyFill="1" applyBorder="1" applyAlignment="1">
      <alignment horizontal="center" wrapText="1"/>
    </xf>
    <xf numFmtId="2" fontId="14" fillId="0" borderId="0" xfId="0" applyNumberFormat="1" applyFont="1" applyBorder="1" applyAlignment="1">
      <alignment horizontal="center" wrapText="1"/>
    </xf>
    <xf numFmtId="2" fontId="14" fillId="34" borderId="0" xfId="0" applyNumberFormat="1" applyFont="1" applyFill="1" applyBorder="1" applyAlignment="1">
      <alignment horizontal="center" wrapText="1"/>
    </xf>
    <xf numFmtId="0" fontId="40" fillId="0" borderId="0" xfId="0" applyFont="1" applyBorder="1" applyAlignment="1">
      <alignment horizontal="center" wrapText="1"/>
    </xf>
    <xf numFmtId="0" fontId="40" fillId="34" borderId="0" xfId="0" applyFont="1" applyFill="1" applyBorder="1" applyAlignment="1">
      <alignment horizontal="center" wrapText="1"/>
    </xf>
    <xf numFmtId="2" fontId="14" fillId="34" borderId="0" xfId="0" applyNumberFormat="1" applyFont="1" applyFill="1" applyBorder="1" applyAlignment="1">
      <alignment horizontal="center"/>
    </xf>
    <xf numFmtId="2" fontId="14" fillId="0" borderId="12" xfId="0" applyNumberFormat="1" applyFont="1" applyFill="1" applyBorder="1" applyAlignment="1">
      <alignment horizontal="center" vertical="center" wrapText="1"/>
    </xf>
    <xf numFmtId="0" fontId="86" fillId="0" borderId="0" xfId="0" applyFont="1" applyBorder="1" applyAlignment="1">
      <alignment horizontal="left" wrapText="1"/>
    </xf>
    <xf numFmtId="0" fontId="30" fillId="0" borderId="2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vertical="top"/>
    </xf>
    <xf numFmtId="49" fontId="35" fillId="0" borderId="0" xfId="0" applyNumberFormat="1" applyFont="1" applyAlignment="1">
      <alignment vertical="center"/>
    </xf>
    <xf numFmtId="0" fontId="30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justify" wrapText="1"/>
    </xf>
    <xf numFmtId="0" fontId="29" fillId="0" borderId="2" xfId="0" applyFont="1" applyFill="1" applyBorder="1" applyAlignment="1">
      <alignment horizontal="center" vertical="center" wrapText="1"/>
    </xf>
    <xf numFmtId="0" fontId="53" fillId="0" borderId="5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top" wrapText="1"/>
    </xf>
    <xf numFmtId="0" fontId="30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5" fillId="0" borderId="0" xfId="0" applyFont="1" applyBorder="1" applyAlignment="1"/>
    <xf numFmtId="0" fontId="13" fillId="34" borderId="0" xfId="0" applyFont="1" applyFill="1" applyBorder="1" applyAlignment="1">
      <alignment horizontal="left" vertical="center" wrapText="1"/>
    </xf>
    <xf numFmtId="0" fontId="19" fillId="0" borderId="0" xfId="0" applyFont="1" applyBorder="1" applyAlignment="1"/>
    <xf numFmtId="0" fontId="116" fillId="0" borderId="11" xfId="0" applyFont="1" applyFill="1" applyBorder="1" applyAlignment="1">
      <alignment horizontal="right" vertical="center" readingOrder="1"/>
    </xf>
    <xf numFmtId="1" fontId="134" fillId="0" borderId="8" xfId="0" applyNumberFormat="1" applyFont="1" applyFill="1" applyBorder="1" applyAlignment="1">
      <alignment horizontal="center" vertical="center"/>
    </xf>
    <xf numFmtId="0" fontId="174" fillId="0" borderId="0" xfId="0" applyFont="1" applyBorder="1" applyAlignment="1">
      <alignment wrapText="1"/>
    </xf>
    <xf numFmtId="0" fontId="174" fillId="0" borderId="0" xfId="0" applyFont="1" applyBorder="1" applyAlignment="1">
      <alignment horizontal="right" wrapText="1"/>
    </xf>
    <xf numFmtId="0" fontId="175" fillId="0" borderId="0" xfId="0" applyFont="1"/>
    <xf numFmtId="0" fontId="176" fillId="0" borderId="0" xfId="0" applyFont="1" applyFill="1" applyAlignment="1">
      <alignment horizontal="center" vertical="center"/>
    </xf>
    <xf numFmtId="0" fontId="180" fillId="34" borderId="0" xfId="0" applyFont="1" applyFill="1" applyBorder="1" applyAlignment="1">
      <alignment horizontal="left" vertical="center" wrapText="1"/>
    </xf>
    <xf numFmtId="1" fontId="180" fillId="34" borderId="0" xfId="0" applyNumberFormat="1" applyFont="1" applyFill="1" applyBorder="1" applyAlignment="1">
      <alignment horizontal="center" wrapText="1"/>
    </xf>
    <xf numFmtId="2" fontId="180" fillId="34" borderId="0" xfId="0" applyNumberFormat="1" applyFont="1" applyFill="1" applyBorder="1" applyAlignment="1">
      <alignment horizontal="center" wrapText="1"/>
    </xf>
    <xf numFmtId="0" fontId="180" fillId="34" borderId="0" xfId="0" applyFont="1" applyFill="1" applyBorder="1" applyAlignment="1">
      <alignment horizontal="right" wrapText="1"/>
    </xf>
    <xf numFmtId="0" fontId="180" fillId="0" borderId="0" xfId="0" applyFont="1"/>
    <xf numFmtId="0" fontId="180" fillId="0" borderId="0" xfId="0" applyFont="1" applyBorder="1" applyAlignment="1">
      <alignment horizontal="left" vertical="center" wrapText="1"/>
    </xf>
    <xf numFmtId="1" fontId="180" fillId="0" borderId="0" xfId="0" applyNumberFormat="1" applyFont="1" applyBorder="1" applyAlignment="1">
      <alignment horizontal="center" wrapText="1"/>
    </xf>
    <xf numFmtId="2" fontId="180" fillId="0" borderId="0" xfId="0" applyNumberFormat="1" applyFont="1" applyBorder="1" applyAlignment="1">
      <alignment horizontal="center" wrapText="1"/>
    </xf>
    <xf numFmtId="0" fontId="180" fillId="0" borderId="0" xfId="0" applyFont="1" applyBorder="1" applyAlignment="1">
      <alignment horizontal="right" wrapText="1"/>
    </xf>
    <xf numFmtId="0" fontId="180" fillId="0" borderId="0" xfId="0" applyFont="1" applyFill="1" applyBorder="1" applyAlignment="1">
      <alignment horizontal="left" vertical="center" wrapText="1"/>
    </xf>
    <xf numFmtId="1" fontId="180" fillId="0" borderId="0" xfId="0" applyNumberFormat="1" applyFont="1" applyFill="1" applyBorder="1" applyAlignment="1">
      <alignment horizontal="center" wrapText="1"/>
    </xf>
    <xf numFmtId="2" fontId="180" fillId="0" borderId="0" xfId="0" applyNumberFormat="1" applyFont="1" applyFill="1" applyBorder="1" applyAlignment="1">
      <alignment horizontal="center" wrapText="1"/>
    </xf>
    <xf numFmtId="0" fontId="180" fillId="0" borderId="0" xfId="0" applyFont="1" applyFill="1" applyBorder="1" applyAlignment="1">
      <alignment horizontal="right" wrapText="1"/>
    </xf>
    <xf numFmtId="0" fontId="180" fillId="0" borderId="0" xfId="0" applyFont="1" applyFill="1"/>
    <xf numFmtId="0" fontId="180" fillId="34" borderId="0" xfId="0" applyFont="1" applyFill="1" applyBorder="1" applyAlignment="1">
      <alignment horizontal="left" wrapText="1"/>
    </xf>
    <xf numFmtId="0" fontId="180" fillId="0" borderId="0" xfId="0" applyFont="1" applyBorder="1" applyAlignment="1">
      <alignment horizontal="right" vertical="center" wrapText="1"/>
    </xf>
    <xf numFmtId="0" fontId="180" fillId="0" borderId="0" xfId="0" applyFont="1" applyBorder="1" applyAlignment="1">
      <alignment horizontal="center" vertical="center"/>
    </xf>
    <xf numFmtId="0" fontId="181" fillId="34" borderId="0" xfId="0" applyFont="1" applyFill="1" applyBorder="1" applyAlignment="1">
      <alignment horizontal="left" vertical="center" wrapText="1"/>
    </xf>
    <xf numFmtId="0" fontId="181" fillId="34" borderId="0" xfId="0" applyFont="1" applyFill="1" applyBorder="1" applyAlignment="1">
      <alignment horizontal="right" vertical="center" wrapText="1"/>
    </xf>
    <xf numFmtId="0" fontId="181" fillId="35" borderId="0" xfId="0" applyFont="1" applyFill="1" applyBorder="1" applyAlignment="1">
      <alignment horizontal="left" vertical="center" wrapText="1"/>
    </xf>
    <xf numFmtId="2" fontId="181" fillId="0" borderId="0" xfId="0" applyNumberFormat="1" applyFont="1" applyFill="1" applyBorder="1" applyAlignment="1">
      <alignment horizontal="center" vertical="center" wrapText="1"/>
    </xf>
    <xf numFmtId="1" fontId="181" fillId="0" borderId="0" xfId="0" applyNumberFormat="1" applyFont="1" applyFill="1" applyBorder="1" applyAlignment="1">
      <alignment horizontal="center" vertical="center" wrapText="1"/>
    </xf>
    <xf numFmtId="0" fontId="180" fillId="34" borderId="0" xfId="0" applyFont="1" applyFill="1" applyBorder="1" applyAlignment="1">
      <alignment horizontal="center" vertical="center" wrapText="1"/>
    </xf>
    <xf numFmtId="2" fontId="180" fillId="34" borderId="0" xfId="0" applyNumberFormat="1" applyFont="1" applyFill="1" applyBorder="1" applyAlignment="1">
      <alignment horizontal="center" vertical="center" wrapText="1"/>
    </xf>
    <xf numFmtId="0" fontId="180" fillId="34" borderId="0" xfId="0" applyFont="1" applyFill="1" applyBorder="1" applyAlignment="1">
      <alignment horizontal="right" vertical="center" wrapText="1"/>
    </xf>
    <xf numFmtId="0" fontId="180" fillId="0" borderId="0" xfId="0" applyFont="1" applyFill="1" applyBorder="1" applyAlignment="1">
      <alignment horizontal="center" vertical="center" wrapText="1"/>
    </xf>
    <xf numFmtId="2" fontId="180" fillId="0" borderId="0" xfId="0" applyNumberFormat="1" applyFont="1" applyFill="1" applyBorder="1" applyAlignment="1">
      <alignment horizontal="center" vertical="center" wrapText="1"/>
    </xf>
    <xf numFmtId="0" fontId="180" fillId="0" borderId="0" xfId="0" applyFont="1" applyFill="1" applyBorder="1" applyAlignment="1">
      <alignment horizontal="right" vertical="center" wrapText="1"/>
    </xf>
    <xf numFmtId="0" fontId="180" fillId="0" borderId="0" xfId="0" applyFont="1" applyBorder="1" applyAlignment="1">
      <alignment horizontal="center"/>
    </xf>
    <xf numFmtId="0" fontId="181" fillId="34" borderId="0" xfId="0" applyFont="1" applyFill="1" applyBorder="1" applyAlignment="1">
      <alignment horizontal="center" vertical="center" wrapText="1"/>
    </xf>
    <xf numFmtId="2" fontId="181" fillId="34" borderId="0" xfId="0" applyNumberFormat="1" applyFont="1" applyFill="1" applyBorder="1" applyAlignment="1">
      <alignment horizontal="center" vertical="center" wrapText="1"/>
    </xf>
    <xf numFmtId="1" fontId="181" fillId="34" borderId="0" xfId="0" applyNumberFormat="1" applyFont="1" applyFill="1" applyBorder="1" applyAlignment="1">
      <alignment horizontal="center" vertical="center" wrapText="1"/>
    </xf>
    <xf numFmtId="4" fontId="180" fillId="34" borderId="0" xfId="0" applyNumberFormat="1" applyFont="1" applyFill="1" applyBorder="1" applyAlignment="1">
      <alignment horizontal="center" vertical="center" wrapText="1"/>
    </xf>
    <xf numFmtId="4" fontId="180" fillId="0" borderId="0" xfId="0" applyNumberFormat="1" applyFont="1" applyFill="1" applyBorder="1" applyAlignment="1">
      <alignment horizontal="center" vertical="center" wrapText="1"/>
    </xf>
    <xf numFmtId="3" fontId="180" fillId="0" borderId="0" xfId="0" applyNumberFormat="1" applyFont="1" applyFill="1" applyBorder="1" applyAlignment="1">
      <alignment horizontal="center" vertical="center" wrapText="1"/>
    </xf>
    <xf numFmtId="0" fontId="181" fillId="35" borderId="0" xfId="0" applyFont="1" applyFill="1" applyBorder="1" applyAlignment="1">
      <alignment horizontal="right" vertical="center" wrapText="1"/>
    </xf>
    <xf numFmtId="3" fontId="180" fillId="34" borderId="0" xfId="0" applyNumberFormat="1" applyFont="1" applyFill="1" applyBorder="1" applyAlignment="1">
      <alignment horizontal="center" vertical="center" wrapText="1"/>
    </xf>
    <xf numFmtId="0" fontId="180" fillId="0" borderId="0" xfId="0" applyFont="1" applyFill="1" applyBorder="1" applyAlignment="1">
      <alignment horizontal="center"/>
    </xf>
    <xf numFmtId="0" fontId="181" fillId="0" borderId="0" xfId="0" applyFont="1" applyBorder="1" applyAlignment="1">
      <alignment wrapText="1"/>
    </xf>
    <xf numFmtId="0" fontId="183" fillId="0" borderId="0" xfId="0" applyFont="1" applyBorder="1" applyAlignment="1">
      <alignment wrapText="1"/>
    </xf>
    <xf numFmtId="0" fontId="183" fillId="0" borderId="0" xfId="0" applyFont="1"/>
    <xf numFmtId="0" fontId="183" fillId="0" borderId="0" xfId="0" applyFont="1" applyBorder="1"/>
    <xf numFmtId="49" fontId="183" fillId="0" borderId="0" xfId="0" applyNumberFormat="1" applyFont="1" applyBorder="1" applyAlignment="1">
      <alignment wrapText="1"/>
    </xf>
    <xf numFmtId="49" fontId="183" fillId="0" borderId="0" xfId="0" applyNumberFormat="1" applyFont="1"/>
    <xf numFmtId="0" fontId="176" fillId="0" borderId="0" xfId="0" applyFont="1"/>
    <xf numFmtId="0" fontId="15" fillId="34" borderId="0" xfId="0" applyFont="1" applyFill="1"/>
    <xf numFmtId="0" fontId="15" fillId="34" borderId="0" xfId="0" applyFont="1" applyFill="1" applyAlignment="1">
      <alignment horizontal="right"/>
    </xf>
    <xf numFmtId="0" fontId="30" fillId="0" borderId="5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30" fillId="0" borderId="0" xfId="232" applyFont="1" applyBorder="1"/>
    <xf numFmtId="0" fontId="130" fillId="0" borderId="0" xfId="232" applyFont="1"/>
    <xf numFmtId="0" fontId="184" fillId="0" borderId="0" xfId="0" applyFont="1" applyBorder="1" applyAlignment="1">
      <alignment wrapText="1"/>
    </xf>
    <xf numFmtId="0" fontId="185" fillId="0" borderId="0" xfId="0" applyFont="1"/>
    <xf numFmtId="0" fontId="186" fillId="0" borderId="0" xfId="0" applyFont="1" applyAlignment="1">
      <alignment horizontal="left"/>
    </xf>
    <xf numFmtId="0" fontId="129" fillId="0" borderId="2" xfId="0" applyFont="1" applyBorder="1" applyAlignment="1">
      <alignment horizontal="center" vertical="top" wrapText="1"/>
    </xf>
    <xf numFmtId="0" fontId="185" fillId="0" borderId="0" xfId="0" applyFont="1" applyBorder="1"/>
    <xf numFmtId="0" fontId="130" fillId="34" borderId="0" xfId="0" applyFont="1" applyFill="1" applyBorder="1"/>
    <xf numFmtId="0" fontId="130" fillId="34" borderId="0" xfId="0" applyFont="1" applyFill="1" applyBorder="1" applyAlignment="1">
      <alignment horizontal="center"/>
    </xf>
    <xf numFmtId="0" fontId="130" fillId="0" borderId="0" xfId="0" applyFont="1" applyFill="1" applyBorder="1"/>
    <xf numFmtId="0" fontId="130" fillId="0" borderId="0" xfId="0" applyFont="1" applyFill="1" applyBorder="1" applyAlignment="1">
      <alignment horizontal="center"/>
    </xf>
    <xf numFmtId="0" fontId="185" fillId="0" borderId="0" xfId="0" applyFont="1" applyFill="1"/>
    <xf numFmtId="0" fontId="187" fillId="0" borderId="0" xfId="0" applyFont="1" applyBorder="1" applyAlignment="1">
      <alignment wrapText="1"/>
    </xf>
    <xf numFmtId="0" fontId="50" fillId="0" borderId="0" xfId="0" applyFont="1" applyAlignment="1"/>
    <xf numFmtId="0" fontId="188" fillId="0" borderId="0" xfId="232" applyFont="1" applyAlignment="1"/>
    <xf numFmtId="0" fontId="129" fillId="0" borderId="2" xfId="0" applyFont="1" applyBorder="1" applyAlignment="1">
      <alignment horizontal="center" vertical="center" wrapText="1"/>
    </xf>
    <xf numFmtId="0" fontId="129" fillId="0" borderId="2" xfId="0" applyFont="1" applyBorder="1" applyAlignment="1">
      <alignment horizontal="center" vertical="center"/>
    </xf>
    <xf numFmtId="0" fontId="188" fillId="0" borderId="0" xfId="0" applyFont="1"/>
    <xf numFmtId="0" fontId="188" fillId="0" borderId="0" xfId="232" applyFont="1"/>
    <xf numFmtId="0" fontId="15" fillId="34" borderId="0" xfId="0" applyFont="1" applyFill="1" applyBorder="1" applyAlignment="1">
      <alignment horizontal="right" vertical="center" wrapText="1"/>
    </xf>
    <xf numFmtId="1" fontId="15" fillId="34" borderId="0" xfId="0" applyNumberFormat="1" applyFont="1" applyFill="1" applyBorder="1" applyAlignment="1">
      <alignment horizontal="center" wrapText="1"/>
    </xf>
    <xf numFmtId="0" fontId="181" fillId="0" borderId="0" xfId="0" applyFont="1" applyFill="1" applyBorder="1" applyAlignment="1">
      <alignment horizontal="center" vertical="center" wrapText="1"/>
    </xf>
    <xf numFmtId="0" fontId="129" fillId="0" borderId="2" xfId="0" applyFont="1" applyBorder="1" applyAlignment="1">
      <alignment horizontal="center" vertical="top" wrapText="1"/>
    </xf>
    <xf numFmtId="0" fontId="129" fillId="0" borderId="6" xfId="0" applyFont="1" applyBorder="1" applyAlignment="1">
      <alignment horizontal="center" vertical="center"/>
    </xf>
    <xf numFmtId="0" fontId="129" fillId="0" borderId="6" xfId="0" applyFont="1" applyBorder="1" applyAlignment="1">
      <alignment horizontal="center" vertical="top" wrapText="1"/>
    </xf>
    <xf numFmtId="0" fontId="129" fillId="0" borderId="2" xfId="0" applyFont="1" applyBorder="1" applyAlignment="1">
      <alignment horizontal="center" vertical="top" wrapText="1"/>
    </xf>
    <xf numFmtId="0" fontId="13" fillId="34" borderId="0" xfId="0" applyFont="1" applyFill="1" applyBorder="1" applyAlignment="1">
      <alignment horizontal="left" vertical="center" wrapText="1"/>
    </xf>
    <xf numFmtId="0" fontId="116" fillId="0" borderId="0" xfId="0" applyFont="1"/>
    <xf numFmtId="0" fontId="130" fillId="0" borderId="0" xfId="0" applyFont="1"/>
    <xf numFmtId="2" fontId="25" fillId="34" borderId="0" xfId="0" applyNumberFormat="1" applyFont="1" applyFill="1" applyBorder="1" applyAlignment="1">
      <alignment horizontal="center" wrapText="1"/>
    </xf>
    <xf numFmtId="2" fontId="40" fillId="0" borderId="12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26" fillId="34" borderId="0" xfId="0" applyFont="1" applyFill="1" applyBorder="1"/>
    <xf numFmtId="2" fontId="40" fillId="0" borderId="0" xfId="0" applyNumberFormat="1" applyFont="1" applyBorder="1" applyAlignment="1">
      <alignment horizontal="center"/>
    </xf>
    <xf numFmtId="2" fontId="40" fillId="34" borderId="0" xfId="0" applyNumberFormat="1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 wrapText="1"/>
    </xf>
    <xf numFmtId="2" fontId="25" fillId="0" borderId="0" xfId="0" applyNumberFormat="1" applyFont="1" applyBorder="1" applyAlignment="1">
      <alignment horizontal="center" wrapText="1"/>
    </xf>
    <xf numFmtId="0" fontId="15" fillId="0" borderId="0" xfId="0" applyFont="1" applyFill="1" applyBorder="1" applyAlignment="1">
      <alignment horizontal="righ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85" fillId="0" borderId="0" xfId="0" applyFont="1" applyFill="1" applyBorder="1"/>
    <xf numFmtId="43" fontId="15" fillId="0" borderId="0" xfId="0" applyNumberFormat="1" applyFont="1" applyBorder="1"/>
    <xf numFmtId="164" fontId="125" fillId="0" borderId="0" xfId="0" applyNumberFormat="1" applyFont="1" applyFill="1" applyBorder="1" applyAlignment="1">
      <alignment horizontal="right" wrapText="1"/>
    </xf>
    <xf numFmtId="170" fontId="15" fillId="0" borderId="0" xfId="0" applyNumberFormat="1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14" fontId="15" fillId="34" borderId="12" xfId="0" applyNumberFormat="1" applyFont="1" applyFill="1" applyBorder="1" applyAlignment="1">
      <alignment horizontal="center" vertical="center"/>
    </xf>
    <xf numFmtId="37" fontId="35" fillId="34" borderId="12" xfId="0" applyNumberFormat="1" applyFont="1" applyFill="1" applyBorder="1" applyAlignment="1">
      <alignment vertical="center" wrapText="1"/>
    </xf>
    <xf numFmtId="0" fontId="18" fillId="34" borderId="0" xfId="0" applyFont="1" applyFill="1" applyBorder="1" applyAlignment="1">
      <alignment vertical="center" wrapText="1"/>
    </xf>
    <xf numFmtId="182" fontId="15" fillId="34" borderId="0" xfId="0" applyNumberFormat="1" applyFont="1" applyFill="1" applyBorder="1" applyAlignment="1">
      <alignment horizontal="center" vertical="center"/>
    </xf>
    <xf numFmtId="181" fontId="15" fillId="0" borderId="0" xfId="0" applyNumberFormat="1" applyFont="1" applyFill="1" applyBorder="1" applyAlignment="1">
      <alignment horizontal="center" vertical="center"/>
    </xf>
    <xf numFmtId="181" fontId="15" fillId="34" borderId="0" xfId="0" applyNumberFormat="1" applyFont="1" applyFill="1" applyBorder="1" applyAlignment="1">
      <alignment horizontal="center" vertical="center"/>
    </xf>
    <xf numFmtId="175" fontId="15" fillId="34" borderId="0" xfId="0" applyNumberFormat="1" applyFont="1" applyFill="1" applyBorder="1" applyAlignment="1">
      <alignment horizontal="center" vertical="center"/>
    </xf>
    <xf numFmtId="175" fontId="15" fillId="0" borderId="0" xfId="0" applyNumberFormat="1" applyFont="1" applyFill="1" applyBorder="1" applyAlignment="1">
      <alignment horizontal="center" vertical="center"/>
    </xf>
    <xf numFmtId="0" fontId="35" fillId="34" borderId="0" xfId="0" applyFont="1" applyFill="1" applyAlignment="1">
      <alignment vertical="center"/>
    </xf>
    <xf numFmtId="0" fontId="40" fillId="34" borderId="0" xfId="195" applyFont="1" applyFill="1" applyBorder="1" applyAlignment="1">
      <alignment vertical="center"/>
    </xf>
    <xf numFmtId="2" fontId="19" fillId="34" borderId="0" xfId="0" applyNumberFormat="1" applyFont="1" applyFill="1" applyBorder="1" applyAlignment="1">
      <alignment vertical="center" wrapText="1"/>
    </xf>
    <xf numFmtId="0" fontId="35" fillId="0" borderId="0" xfId="0" applyFont="1" applyFill="1" applyBorder="1" applyAlignment="1">
      <alignment horizontal="left" vertical="center"/>
    </xf>
    <xf numFmtId="2" fontId="19" fillId="0" borderId="0" xfId="0" applyNumberFormat="1" applyFont="1" applyFill="1" applyBorder="1" applyAlignment="1">
      <alignment vertical="center" wrapText="1"/>
    </xf>
    <xf numFmtId="2" fontId="19" fillId="0" borderId="0" xfId="0" applyNumberFormat="1" applyFont="1" applyFill="1" applyBorder="1" applyAlignment="1">
      <alignment horizontal="left" vertical="center" wrapText="1"/>
    </xf>
    <xf numFmtId="46" fontId="13" fillId="34" borderId="0" xfId="0" applyNumberFormat="1" applyFont="1" applyFill="1" applyBorder="1" applyAlignment="1">
      <alignment horizontal="center" vertical="center" wrapText="1"/>
    </xf>
    <xf numFmtId="22" fontId="13" fillId="0" borderId="0" xfId="0" applyNumberFormat="1" applyFont="1" applyFill="1" applyBorder="1" applyAlignment="1">
      <alignment horizontal="center" vertical="center" wrapText="1"/>
    </xf>
    <xf numFmtId="46" fontId="1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2" fontId="8" fillId="0" borderId="0" xfId="0" applyNumberFormat="1" applyFont="1"/>
    <xf numFmtId="165" fontId="15" fillId="0" borderId="0" xfId="0" applyNumberFormat="1" applyFont="1" applyBorder="1"/>
    <xf numFmtId="0" fontId="15" fillId="0" borderId="12" xfId="0" applyFont="1" applyFill="1" applyBorder="1" applyAlignment="1">
      <alignment horizontal="center"/>
    </xf>
    <xf numFmtId="2" fontId="15" fillId="34" borderId="0" xfId="136" quotePrefix="1" applyNumberFormat="1" applyFont="1" applyFill="1" applyBorder="1" applyAlignment="1">
      <alignment horizontal="center" vertical="center"/>
    </xf>
    <xf numFmtId="0" fontId="40" fillId="0" borderId="0" xfId="0" applyFont="1" applyBorder="1" applyAlignment="1"/>
    <xf numFmtId="0" fontId="15" fillId="34" borderId="12" xfId="0" applyFont="1" applyFill="1" applyBorder="1" applyAlignment="1">
      <alignment horizontal="left"/>
    </xf>
    <xf numFmtId="2" fontId="19" fillId="34" borderId="0" xfId="0" applyNumberFormat="1" applyFont="1" applyFill="1" applyBorder="1" applyAlignment="1">
      <alignment horizontal="left" vertical="center" wrapText="1"/>
    </xf>
    <xf numFmtId="164" fontId="124" fillId="0" borderId="12" xfId="0" applyNumberFormat="1" applyFont="1" applyFill="1" applyBorder="1" applyAlignment="1">
      <alignment horizontal="center" vertical="center" wrapText="1"/>
    </xf>
    <xf numFmtId="0" fontId="141" fillId="34" borderId="1" xfId="0" applyFont="1" applyFill="1" applyBorder="1" applyAlignment="1">
      <alignment horizontal="right" readingOrder="1"/>
    </xf>
    <xf numFmtId="0" fontId="126" fillId="0" borderId="21" xfId="0" applyFont="1" applyFill="1" applyBorder="1"/>
    <xf numFmtId="165" fontId="15" fillId="0" borderId="0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141" fillId="0" borderId="1" xfId="0" applyFont="1" applyFill="1" applyBorder="1" applyAlignment="1">
      <alignment horizontal="right" readingOrder="1"/>
    </xf>
    <xf numFmtId="0" fontId="15" fillId="34" borderId="12" xfId="0" applyFont="1" applyFill="1" applyBorder="1" applyAlignment="1">
      <alignment horizontal="right" vertical="center"/>
    </xf>
    <xf numFmtId="43" fontId="15" fillId="0" borderId="0" xfId="136" applyNumberFormat="1" applyFont="1" applyBorder="1"/>
    <xf numFmtId="0" fontId="13" fillId="34" borderId="0" xfId="0" applyFont="1" applyFill="1" applyBorder="1" applyAlignment="1">
      <alignment horizontal="center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129" fillId="0" borderId="2" xfId="0" applyFont="1" applyBorder="1" applyAlignment="1">
      <alignment horizontal="center" vertical="top" wrapText="1"/>
    </xf>
    <xf numFmtId="0" fontId="13" fillId="34" borderId="0" xfId="0" applyFont="1" applyFill="1" applyBorder="1" applyAlignment="1">
      <alignment horizontal="left" vertical="center" wrapText="1"/>
    </xf>
    <xf numFmtId="2" fontId="13" fillId="34" borderId="12" xfId="0" applyNumberFormat="1" applyFont="1" applyFill="1" applyBorder="1" applyAlignment="1">
      <alignment horizontal="center" vertical="center"/>
    </xf>
    <xf numFmtId="0" fontId="43" fillId="34" borderId="12" xfId="0" applyFont="1" applyFill="1" applyBorder="1" applyAlignment="1">
      <alignment horizontal="left" vertical="center"/>
    </xf>
    <xf numFmtId="0" fontId="129" fillId="0" borderId="2" xfId="0" applyFont="1" applyBorder="1" applyAlignment="1">
      <alignment horizontal="center" vertical="top" wrapText="1"/>
    </xf>
    <xf numFmtId="2" fontId="15" fillId="0" borderId="12" xfId="0" applyNumberFormat="1" applyFont="1" applyFill="1" applyBorder="1" applyAlignment="1">
      <alignment horizontal="center" vertical="center"/>
    </xf>
    <xf numFmtId="0" fontId="129" fillId="0" borderId="2" xfId="0" applyFont="1" applyBorder="1" applyAlignment="1">
      <alignment horizontal="center" vertical="top" wrapText="1"/>
    </xf>
    <xf numFmtId="0" fontId="3" fillId="0" borderId="0" xfId="173" applyFill="1" applyAlignment="1" applyProtection="1"/>
    <xf numFmtId="0" fontId="188" fillId="0" borderId="0" xfId="0" applyFont="1" applyAlignment="1"/>
    <xf numFmtId="0" fontId="13" fillId="34" borderId="0" xfId="0" applyFont="1" applyFill="1" applyBorder="1" applyAlignment="1">
      <alignment horizontal="center" vertical="center" wrapText="1"/>
    </xf>
    <xf numFmtId="0" fontId="129" fillId="0" borderId="2" xfId="0" applyFont="1" applyBorder="1" applyAlignment="1">
      <alignment horizontal="center" vertical="top" wrapText="1"/>
    </xf>
    <xf numFmtId="0" fontId="130" fillId="0" borderId="0" xfId="0" applyFont="1" applyAlignment="1">
      <alignment horizontal="center"/>
    </xf>
    <xf numFmtId="0" fontId="17" fillId="34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164" fontId="124" fillId="34" borderId="12" xfId="0" applyNumberFormat="1" applyFont="1" applyFill="1" applyBorder="1" applyAlignment="1">
      <alignment horizontal="center" vertical="center" wrapText="1"/>
    </xf>
    <xf numFmtId="0" fontId="130" fillId="0" borderId="0" xfId="0" applyFont="1" applyBorder="1" applyAlignment="1">
      <alignment horizontal="left"/>
    </xf>
    <xf numFmtId="0" fontId="130" fillId="0" borderId="0" xfId="0" applyFont="1" applyBorder="1" applyAlignment="1">
      <alignment horizontal="center"/>
    </xf>
    <xf numFmtId="0" fontId="130" fillId="0" borderId="12" xfId="0" applyFont="1" applyFill="1" applyBorder="1"/>
    <xf numFmtId="0" fontId="129" fillId="34" borderId="0" xfId="232" applyFont="1" applyFill="1" applyBorder="1" applyAlignment="1">
      <alignment horizontal="left" vertical="center" wrapText="1"/>
    </xf>
    <xf numFmtId="0" fontId="130" fillId="0" borderId="12" xfId="0" applyFont="1" applyFill="1" applyBorder="1" applyAlignment="1">
      <alignment horizontal="center"/>
    </xf>
    <xf numFmtId="164" fontId="139" fillId="0" borderId="0" xfId="0" applyNumberFormat="1" applyFont="1" applyBorder="1"/>
    <xf numFmtId="0" fontId="15" fillId="35" borderId="0" xfId="0" applyFont="1" applyFill="1" applyBorder="1" applyAlignment="1">
      <alignment horizontal="left" vertical="center" wrapText="1"/>
    </xf>
    <xf numFmtId="1" fontId="15" fillId="0" borderId="0" xfId="0" applyNumberFormat="1" applyFont="1" applyFill="1" applyBorder="1" applyAlignment="1">
      <alignment horizontal="center" wrapText="1"/>
    </xf>
    <xf numFmtId="2" fontId="15" fillId="0" borderId="0" xfId="0" applyNumberFormat="1" applyFont="1" applyFill="1" applyBorder="1" applyAlignment="1">
      <alignment horizontal="center" wrapText="1"/>
    </xf>
    <xf numFmtId="165" fontId="7" fillId="0" borderId="0" xfId="0" applyNumberFormat="1" applyFont="1"/>
    <xf numFmtId="164" fontId="139" fillId="0" borderId="0" xfId="0" applyNumberFormat="1" applyFont="1" applyFill="1" applyBorder="1"/>
    <xf numFmtId="164" fontId="191" fillId="0" borderId="0" xfId="0" applyNumberFormat="1" applyFont="1" applyFill="1" applyBorder="1"/>
    <xf numFmtId="0" fontId="129" fillId="0" borderId="0" xfId="232" applyFont="1" applyFill="1" applyBorder="1" applyAlignment="1">
      <alignment horizontal="left" vertical="center" wrapText="1"/>
    </xf>
    <xf numFmtId="0" fontId="129" fillId="0" borderId="0" xfId="0" applyFont="1" applyFill="1" applyBorder="1" applyAlignment="1">
      <alignment horizontal="center"/>
    </xf>
    <xf numFmtId="0" fontId="129" fillId="0" borderId="20" xfId="232" applyFont="1" applyFill="1" applyBorder="1" applyAlignment="1">
      <alignment horizontal="left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5" fillId="0" borderId="0" xfId="136" applyNumberFormat="1" applyFont="1" applyFill="1" applyBorder="1" applyAlignment="1">
      <alignment horizontal="center"/>
    </xf>
    <xf numFmtId="2" fontId="15" fillId="0" borderId="0" xfId="136" applyNumberFormat="1" applyFont="1" applyFill="1" applyBorder="1" applyAlignment="1">
      <alignment horizontal="center"/>
    </xf>
    <xf numFmtId="0" fontId="124" fillId="34" borderId="0" xfId="0" applyFont="1" applyFill="1" applyBorder="1" applyAlignment="1">
      <alignment vertical="center" wrapText="1"/>
    </xf>
    <xf numFmtId="0" fontId="15" fillId="0" borderId="12" xfId="0" applyFont="1" applyFill="1" applyBorder="1" applyAlignment="1">
      <alignment horizontal="right" vertical="center"/>
    </xf>
    <xf numFmtId="1" fontId="23" fillId="34" borderId="0" xfId="0" applyNumberFormat="1" applyFont="1" applyFill="1" applyBorder="1" applyAlignment="1">
      <alignment horizontal="left" wrapText="1"/>
    </xf>
    <xf numFmtId="1" fontId="23" fillId="34" borderId="0" xfId="0" applyNumberFormat="1" applyFont="1" applyFill="1" applyBorder="1" applyAlignment="1">
      <alignment horizontal="right" wrapText="1"/>
    </xf>
    <xf numFmtId="0" fontId="43" fillId="0" borderId="12" xfId="0" applyFont="1" applyFill="1" applyBorder="1" applyAlignment="1">
      <alignment horizontal="left" vertical="center"/>
    </xf>
    <xf numFmtId="165" fontId="35" fillId="0" borderId="0" xfId="0" applyNumberFormat="1" applyFont="1"/>
    <xf numFmtId="0" fontId="13" fillId="0" borderId="0" xfId="0" applyFont="1" applyFill="1" applyBorder="1" applyAlignment="1">
      <alignment horizontal="left" vertical="center" wrapText="1"/>
    </xf>
    <xf numFmtId="164" fontId="124" fillId="37" borderId="0" xfId="0" applyNumberFormat="1" applyFont="1" applyFill="1" applyBorder="1" applyAlignment="1">
      <alignment horizontal="center" vertical="center"/>
    </xf>
    <xf numFmtId="0" fontId="16" fillId="34" borderId="0" xfId="0" applyFont="1" applyFill="1" applyBorder="1" applyAlignment="1">
      <alignment horizontal="center" vertical="center"/>
    </xf>
    <xf numFmtId="0" fontId="30" fillId="34" borderId="0" xfId="0" applyFont="1" applyFill="1" applyBorder="1" applyAlignment="1">
      <alignment horizontal="center" vertical="center"/>
    </xf>
    <xf numFmtId="0" fontId="16" fillId="34" borderId="0" xfId="0" applyFont="1" applyFill="1" applyBorder="1" applyAlignment="1">
      <alignment horizontal="center" vertical="center" wrapText="1"/>
    </xf>
    <xf numFmtId="1" fontId="16" fillId="34" borderId="0" xfId="0" applyNumberFormat="1" applyFont="1" applyFill="1" applyBorder="1" applyAlignment="1">
      <alignment horizontal="center" vertical="center" wrapText="1"/>
    </xf>
    <xf numFmtId="2" fontId="16" fillId="0" borderId="12" xfId="0" applyNumberFormat="1" applyFont="1" applyFill="1" applyBorder="1" applyAlignment="1">
      <alignment horizontal="center" wrapText="1"/>
    </xf>
    <xf numFmtId="1" fontId="16" fillId="0" borderId="12" xfId="0" applyNumberFormat="1" applyFont="1" applyFill="1" applyBorder="1" applyAlignment="1">
      <alignment horizontal="center" wrapText="1"/>
    </xf>
    <xf numFmtId="0" fontId="16" fillId="0" borderId="12" xfId="0" applyFont="1" applyFill="1" applyBorder="1" applyAlignment="1">
      <alignment horizontal="center" wrapText="1"/>
    </xf>
    <xf numFmtId="0" fontId="30" fillId="34" borderId="12" xfId="0" applyFont="1" applyFill="1" applyBorder="1"/>
    <xf numFmtId="2" fontId="30" fillId="34" borderId="12" xfId="0" applyNumberFormat="1" applyFont="1" applyFill="1" applyBorder="1" applyAlignment="1">
      <alignment horizontal="center"/>
    </xf>
    <xf numFmtId="0" fontId="130" fillId="34" borderId="12" xfId="0" applyFont="1" applyFill="1" applyBorder="1"/>
    <xf numFmtId="0" fontId="130" fillId="34" borderId="12" xfId="0" applyFont="1" applyFill="1" applyBorder="1" applyAlignment="1">
      <alignment horizontal="center"/>
    </xf>
    <xf numFmtId="0" fontId="30" fillId="0" borderId="12" xfId="0" applyFont="1" applyBorder="1" applyAlignment="1">
      <alignment horizontal="center"/>
    </xf>
    <xf numFmtId="2" fontId="13" fillId="0" borderId="0" xfId="0" applyNumberFormat="1" applyFont="1" applyBorder="1" applyAlignment="1">
      <alignment wrapText="1"/>
    </xf>
    <xf numFmtId="43" fontId="125" fillId="0" borderId="2" xfId="0" applyNumberFormat="1" applyFont="1" applyBorder="1" applyAlignment="1">
      <alignment vertical="top" wrapText="1"/>
    </xf>
    <xf numFmtId="0" fontId="124" fillId="0" borderId="49" xfId="0" applyFont="1" applyBorder="1" applyAlignment="1">
      <alignment horizontal="left" vertical="top"/>
    </xf>
    <xf numFmtId="0" fontId="124" fillId="38" borderId="49" xfId="0" applyFont="1" applyFill="1" applyBorder="1" applyAlignment="1">
      <alignment horizontal="left" vertical="top"/>
    </xf>
    <xf numFmtId="0" fontId="124" fillId="0" borderId="52" xfId="0" applyFont="1" applyBorder="1" applyAlignment="1">
      <alignment horizontal="left" vertical="top"/>
    </xf>
    <xf numFmtId="0" fontId="124" fillId="0" borderId="53" xfId="0" applyFont="1" applyBorder="1" applyAlignment="1">
      <alignment horizontal="left" vertical="top"/>
    </xf>
    <xf numFmtId="0" fontId="124" fillId="0" borderId="8" xfId="0" applyFont="1" applyBorder="1" applyAlignment="1">
      <alignment horizontal="center" vertical="center" wrapText="1"/>
    </xf>
    <xf numFmtId="0" fontId="124" fillId="0" borderId="51" xfId="0" applyFont="1" applyBorder="1" applyAlignment="1">
      <alignment horizontal="center" vertical="center" wrapText="1"/>
    </xf>
    <xf numFmtId="0" fontId="124" fillId="0" borderId="5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125" fillId="0" borderId="5" xfId="0" applyNumberFormat="1" applyFont="1" applyBorder="1" applyAlignment="1">
      <alignment vertical="top" wrapText="1"/>
    </xf>
    <xf numFmtId="0" fontId="15" fillId="34" borderId="2" xfId="0" applyFont="1" applyFill="1" applyBorder="1" applyAlignment="1">
      <alignment horizontal="center" vertical="center"/>
    </xf>
    <xf numFmtId="43" fontId="124" fillId="0" borderId="56" xfId="136" applyFont="1" applyBorder="1" applyAlignment="1">
      <alignment horizontal="center" vertical="center"/>
    </xf>
    <xf numFmtId="43" fontId="124" fillId="38" borderId="50" xfId="136" applyFont="1" applyFill="1" applyBorder="1" applyAlignment="1">
      <alignment horizontal="center" vertical="center"/>
    </xf>
    <xf numFmtId="43" fontId="124" fillId="0" borderId="50" xfId="136" applyFont="1" applyBorder="1" applyAlignment="1">
      <alignment horizontal="center" vertical="center"/>
    </xf>
    <xf numFmtId="43" fontId="124" fillId="0" borderId="57" xfId="136" applyFont="1" applyBorder="1" applyAlignment="1">
      <alignment horizontal="center" vertical="top"/>
    </xf>
    <xf numFmtId="43" fontId="124" fillId="34" borderId="50" xfId="136" applyFont="1" applyFill="1" applyBorder="1" applyAlignment="1">
      <alignment horizontal="center" vertical="center"/>
    </xf>
    <xf numFmtId="0" fontId="127" fillId="0" borderId="0" xfId="0" applyFont="1" applyBorder="1" applyAlignment="1">
      <alignment horizontal="center"/>
    </xf>
    <xf numFmtId="0" fontId="127" fillId="0" borderId="0" xfId="0" applyFont="1" applyBorder="1" applyAlignment="1">
      <alignment horizontal="center" vertical="center"/>
    </xf>
    <xf numFmtId="0" fontId="126" fillId="0" borderId="59" xfId="0" applyFont="1" applyBorder="1" applyAlignment="1"/>
    <xf numFmtId="0" fontId="116" fillId="0" borderId="59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38" fillId="0" borderId="0" xfId="0" applyFont="1" applyAlignment="1">
      <alignment wrapText="1"/>
    </xf>
    <xf numFmtId="0" fontId="138" fillId="0" borderId="0" xfId="0" applyFont="1" applyFill="1" applyBorder="1" applyAlignment="1">
      <alignment vertical="top"/>
    </xf>
    <xf numFmtId="0" fontId="13" fillId="34" borderId="0" xfId="0" applyFont="1" applyFill="1" applyBorder="1" applyAlignment="1">
      <alignment horizontal="center"/>
    </xf>
    <xf numFmtId="1" fontId="13" fillId="34" borderId="0" xfId="0" applyNumberFormat="1" applyFont="1" applyFill="1" applyBorder="1" applyAlignment="1">
      <alignment horizontal="center"/>
    </xf>
    <xf numFmtId="43" fontId="0" fillId="0" borderId="0" xfId="0" applyNumberFormat="1"/>
    <xf numFmtId="0" fontId="116" fillId="34" borderId="2" xfId="0" applyFont="1" applyFill="1" applyBorder="1"/>
    <xf numFmtId="0" fontId="116" fillId="0" borderId="2" xfId="0" applyFont="1" applyBorder="1"/>
    <xf numFmtId="2" fontId="116" fillId="0" borderId="2" xfId="0" applyNumberFormat="1" applyFont="1" applyBorder="1" applyAlignment="1">
      <alignment horizontal="center" vertical="center"/>
    </xf>
    <xf numFmtId="2" fontId="116" fillId="34" borderId="2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/>
    <xf numFmtId="0" fontId="128" fillId="0" borderId="0" xfId="0" applyFont="1" applyBorder="1" applyAlignment="1"/>
    <xf numFmtId="0" fontId="116" fillId="0" borderId="63" xfId="0" applyFont="1" applyBorder="1" applyAlignment="1">
      <alignment horizontal="center" vertical="center" wrapText="1"/>
    </xf>
    <xf numFmtId="2" fontId="116" fillId="34" borderId="3" xfId="0" applyNumberFormat="1" applyFont="1" applyFill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3" fontId="124" fillId="0" borderId="59" xfId="136" applyFont="1" applyBorder="1" applyAlignment="1">
      <alignment horizontal="center" vertical="top"/>
    </xf>
    <xf numFmtId="0" fontId="15" fillId="0" borderId="59" xfId="0" applyFont="1" applyBorder="1" applyAlignment="1">
      <alignment horizontal="center" vertical="center"/>
    </xf>
    <xf numFmtId="0" fontId="17" fillId="34" borderId="0" xfId="0" applyFont="1" applyFill="1" applyBorder="1" applyAlignment="1">
      <alignment horizontal="left" vertical="center" wrapText="1"/>
    </xf>
    <xf numFmtId="2" fontId="15" fillId="0" borderId="2" xfId="0" applyNumberFormat="1" applyFont="1" applyBorder="1" applyAlignment="1">
      <alignment horizontal="center" vertical="center"/>
    </xf>
    <xf numFmtId="2" fontId="15" fillId="34" borderId="2" xfId="0" applyNumberFormat="1" applyFont="1" applyFill="1" applyBorder="1" applyAlignment="1">
      <alignment horizontal="center" vertical="center"/>
    </xf>
    <xf numFmtId="2" fontId="15" fillId="0" borderId="63" xfId="0" applyNumberFormat="1" applyFont="1" applyBorder="1" applyAlignment="1">
      <alignment horizontal="center" vertical="center"/>
    </xf>
    <xf numFmtId="43" fontId="124" fillId="0" borderId="53" xfId="136" applyFont="1" applyBorder="1" applyAlignment="1">
      <alignment horizontal="center" vertical="center"/>
    </xf>
    <xf numFmtId="43" fontId="124" fillId="34" borderId="49" xfId="136" applyFont="1" applyFill="1" applyBorder="1" applyAlignment="1">
      <alignment horizontal="center" vertical="center"/>
    </xf>
    <xf numFmtId="43" fontId="124" fillId="38" borderId="49" xfId="136" applyFont="1" applyFill="1" applyBorder="1" applyAlignment="1">
      <alignment horizontal="center" vertical="center"/>
    </xf>
    <xf numFmtId="43" fontId="124" fillId="0" borderId="49" xfId="136" applyFont="1" applyBorder="1" applyAlignment="1">
      <alignment horizontal="center" vertical="center"/>
    </xf>
    <xf numFmtId="43" fontId="124" fillId="0" borderId="52" xfId="136" applyFont="1" applyBorder="1" applyAlignment="1">
      <alignment horizontal="center" vertical="center"/>
    </xf>
    <xf numFmtId="43" fontId="124" fillId="0" borderId="52" xfId="136" applyFont="1" applyBorder="1" applyAlignment="1">
      <alignment horizontal="center" vertical="top"/>
    </xf>
    <xf numFmtId="0" fontId="125" fillId="0" borderId="59" xfId="0" applyFont="1" applyBorder="1" applyAlignment="1">
      <alignment horizontal="center" vertical="top"/>
    </xf>
    <xf numFmtId="43" fontId="124" fillId="0" borderId="59" xfId="136" applyFont="1" applyBorder="1" applyAlignment="1">
      <alignment horizontal="center" vertical="center"/>
    </xf>
    <xf numFmtId="1" fontId="15" fillId="0" borderId="0" xfId="0" applyNumberFormat="1" applyFont="1"/>
    <xf numFmtId="1" fontId="116" fillId="0" borderId="0" xfId="0" applyNumberFormat="1" applyFont="1" applyFill="1" applyBorder="1" applyAlignment="1">
      <alignment horizontal="center" vertical="center"/>
    </xf>
    <xf numFmtId="2" fontId="116" fillId="0" borderId="2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left" vertical="center"/>
    </xf>
    <xf numFmtId="2" fontId="13" fillId="0" borderId="12" xfId="0" applyNumberFormat="1" applyFont="1" applyFill="1" applyBorder="1" applyAlignment="1">
      <alignment horizontal="center" vertical="center"/>
    </xf>
    <xf numFmtId="0" fontId="43" fillId="34" borderId="0" xfId="0" applyFont="1" applyFill="1" applyBorder="1" applyAlignment="1">
      <alignment horizontal="center" vertical="center" wrapText="1"/>
    </xf>
    <xf numFmtId="164" fontId="15" fillId="34" borderId="12" xfId="0" applyNumberFormat="1" applyFont="1" applyFill="1" applyBorder="1" applyAlignment="1">
      <alignment horizontal="center"/>
    </xf>
    <xf numFmtId="0" fontId="13" fillId="34" borderId="0" xfId="0" applyFont="1" applyFill="1" applyBorder="1" applyAlignment="1">
      <alignment horizontal="center" vertical="center"/>
    </xf>
    <xf numFmtId="164" fontId="15" fillId="0" borderId="0" xfId="0" applyNumberFormat="1" applyFont="1" applyFill="1" applyBorder="1"/>
    <xf numFmtId="164" fontId="15" fillId="37" borderId="0" xfId="0" applyNumberFormat="1" applyFont="1" applyFill="1" applyBorder="1" applyAlignment="1">
      <alignment horizontal="center" vertical="center"/>
    </xf>
    <xf numFmtId="0" fontId="8" fillId="0" borderId="0" xfId="0" applyFont="1"/>
    <xf numFmtId="2" fontId="15" fillId="0" borderId="0" xfId="0" applyNumberFormat="1" applyFont="1" applyBorder="1" applyAlignment="1">
      <alignment vertical="top"/>
    </xf>
    <xf numFmtId="0" fontId="13" fillId="34" borderId="0" xfId="0" applyFont="1" applyFill="1" applyBorder="1" applyAlignment="1">
      <alignment horizontal="left" vertical="center" wrapText="1"/>
    </xf>
    <xf numFmtId="0" fontId="15" fillId="34" borderId="12" xfId="196" applyFont="1" applyFill="1" applyBorder="1" applyAlignment="1">
      <alignment horizontal="left" vertical="center"/>
    </xf>
    <xf numFmtId="2" fontId="23" fillId="34" borderId="0" xfId="196" applyNumberFormat="1" applyFont="1" applyFill="1" applyBorder="1" applyAlignment="1">
      <alignment horizontal="center" vertical="center"/>
    </xf>
    <xf numFmtId="2" fontId="17" fillId="34" borderId="0" xfId="0" applyNumberFormat="1" applyFont="1" applyFill="1" applyAlignment="1">
      <alignment horizontal="center" vertical="center"/>
    </xf>
    <xf numFmtId="2" fontId="194" fillId="0" borderId="0" xfId="0" applyNumberFormat="1" applyFont="1"/>
    <xf numFmtId="0" fontId="15" fillId="0" borderId="12" xfId="0" applyFont="1" applyFill="1" applyBorder="1" applyAlignment="1">
      <alignment horizontal="left" vertical="center" wrapText="1"/>
    </xf>
    <xf numFmtId="0" fontId="43" fillId="0" borderId="12" xfId="0" applyFont="1" applyFill="1" applyBorder="1" applyAlignment="1">
      <alignment horizontal="left" vertical="center" wrapText="1"/>
    </xf>
    <xf numFmtId="0" fontId="40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40" fillId="0" borderId="2" xfId="0" quotePrefix="1" applyFont="1" applyBorder="1" applyAlignment="1">
      <alignment horizontal="center" vertical="center" wrapText="1"/>
    </xf>
    <xf numFmtId="2" fontId="40" fillId="0" borderId="0" xfId="0" applyNumberFormat="1" applyFont="1" applyBorder="1" applyAlignment="1">
      <alignment horizontal="center" vertical="center" wrapText="1"/>
    </xf>
    <xf numFmtId="0" fontId="14" fillId="34" borderId="0" xfId="0" applyFont="1" applyFill="1" applyBorder="1" applyAlignment="1">
      <alignment horizontal="center" wrapText="1"/>
    </xf>
    <xf numFmtId="0" fontId="25" fillId="0" borderId="0" xfId="0" applyFont="1" applyAlignment="1">
      <alignment horizontal="right" vertical="top"/>
    </xf>
    <xf numFmtId="0" fontId="25" fillId="0" borderId="0" xfId="0" applyFont="1" applyBorder="1" applyAlignment="1">
      <alignment horizontal="left" vertical="center" wrapText="1"/>
    </xf>
    <xf numFmtId="0" fontId="25" fillId="34" borderId="0" xfId="0" applyFont="1" applyFill="1" applyAlignment="1">
      <alignment horizontal="right" vertical="top"/>
    </xf>
    <xf numFmtId="0" fontId="25" fillId="34" borderId="0" xfId="0" applyFont="1" applyFill="1" applyBorder="1" applyAlignment="1">
      <alignment horizontal="left" vertical="center" wrapText="1"/>
    </xf>
    <xf numFmtId="0" fontId="41" fillId="34" borderId="0" xfId="0" applyFont="1" applyFill="1" applyBorder="1" applyAlignment="1">
      <alignment wrapText="1"/>
    </xf>
    <xf numFmtId="0" fontId="40" fillId="34" borderId="0" xfId="0" applyFont="1" applyFill="1" applyBorder="1" applyAlignment="1">
      <alignment wrapText="1"/>
    </xf>
    <xf numFmtId="2" fontId="14" fillId="34" borderId="0" xfId="0" applyNumberFormat="1" applyFont="1" applyFill="1" applyBorder="1" applyAlignment="1">
      <alignment horizontal="center" vertical="center" wrapText="1"/>
    </xf>
    <xf numFmtId="2" fontId="41" fillId="34" borderId="0" xfId="0" applyNumberFormat="1" applyFont="1" applyFill="1" applyBorder="1" applyAlignment="1">
      <alignment horizontal="center" wrapText="1"/>
    </xf>
    <xf numFmtId="2" fontId="14" fillId="0" borderId="0" xfId="0" applyNumberFormat="1" applyFont="1" applyBorder="1" applyAlignment="1">
      <alignment horizontal="center" vertical="center" wrapText="1"/>
    </xf>
    <xf numFmtId="2" fontId="41" fillId="0" borderId="0" xfId="0" applyNumberFormat="1" applyFont="1" applyBorder="1" applyAlignment="1">
      <alignment horizontal="center" wrapText="1"/>
    </xf>
    <xf numFmtId="2" fontId="36" fillId="0" borderId="0" xfId="0" applyNumberFormat="1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4" fillId="34" borderId="0" xfId="0" applyFont="1" applyFill="1"/>
    <xf numFmtId="0" fontId="15" fillId="0" borderId="0" xfId="0" applyFont="1" applyBorder="1" applyAlignment="1">
      <alignment horizontal="left" vertical="center" wrapText="1"/>
    </xf>
    <xf numFmtId="2" fontId="14" fillId="0" borderId="0" xfId="0" applyNumberFormat="1" applyFont="1" applyFill="1" applyBorder="1" applyAlignment="1">
      <alignment horizontal="center" wrapText="1"/>
    </xf>
    <xf numFmtId="2" fontId="40" fillId="0" borderId="0" xfId="0" quotePrefix="1" applyNumberFormat="1" applyFont="1" applyBorder="1" applyAlignment="1">
      <alignment horizontal="center" wrapText="1"/>
    </xf>
    <xf numFmtId="2" fontId="14" fillId="34" borderId="0" xfId="0" quotePrefix="1" applyNumberFormat="1" applyFont="1" applyFill="1" applyBorder="1" applyAlignment="1">
      <alignment horizontal="center" wrapText="1"/>
    </xf>
    <xf numFmtId="2" fontId="40" fillId="34" borderId="0" xfId="0" quotePrefix="1" applyNumberFormat="1" applyFont="1" applyFill="1" applyBorder="1" applyAlignment="1">
      <alignment horizontal="center" wrapText="1"/>
    </xf>
    <xf numFmtId="2" fontId="14" fillId="0" borderId="0" xfId="0" quotePrefix="1" applyNumberFormat="1" applyFont="1" applyBorder="1" applyAlignment="1">
      <alignment horizontal="center" wrapText="1"/>
    </xf>
    <xf numFmtId="0" fontId="40" fillId="34" borderId="0" xfId="0" applyFont="1" applyFill="1"/>
    <xf numFmtId="0" fontId="23" fillId="0" borderId="0" xfId="0" applyFont="1" applyAlignment="1">
      <alignment horizontal="right" vertical="top"/>
    </xf>
    <xf numFmtId="0" fontId="24" fillId="0" borderId="0" xfId="0" applyFont="1" applyBorder="1" applyAlignment="1">
      <alignment horizontal="left" vertical="top" wrapText="1"/>
    </xf>
    <xf numFmtId="0" fontId="36" fillId="0" borderId="0" xfId="0" applyFont="1" applyBorder="1" applyAlignment="1">
      <alignment horizontal="left" vertical="top" wrapText="1"/>
    </xf>
    <xf numFmtId="0" fontId="23" fillId="34" borderId="0" xfId="0" applyFont="1" applyFill="1" applyAlignment="1">
      <alignment horizontal="right" vertical="top"/>
    </xf>
    <xf numFmtId="165" fontId="40" fillId="34" borderId="0" xfId="0" applyNumberFormat="1" applyFont="1" applyFill="1" applyBorder="1" applyAlignment="1">
      <alignment horizontal="center" wrapText="1"/>
    </xf>
    <xf numFmtId="0" fontId="14" fillId="34" borderId="0" xfId="0" quotePrefix="1" applyFont="1" applyFill="1" applyBorder="1" applyAlignment="1">
      <alignment horizontal="center" wrapText="1"/>
    </xf>
    <xf numFmtId="0" fontId="14" fillId="34" borderId="0" xfId="0" applyFont="1" applyFill="1" applyBorder="1" applyAlignment="1">
      <alignment horizontal="center"/>
    </xf>
    <xf numFmtId="2" fontId="14" fillId="0" borderId="0" xfId="0" applyNumberFormat="1" applyFont="1" applyBorder="1" applyAlignment="1">
      <alignment horizontal="center" vertical="center"/>
    </xf>
    <xf numFmtId="2" fontId="14" fillId="0" borderId="12" xfId="0" applyNumberFormat="1" applyFont="1" applyBorder="1" applyAlignment="1">
      <alignment horizontal="center" vertical="center"/>
    </xf>
    <xf numFmtId="2" fontId="40" fillId="0" borderId="12" xfId="0" applyNumberFormat="1" applyFont="1" applyFill="1" applyBorder="1" applyAlignment="1">
      <alignment horizontal="center" wrapText="1"/>
    </xf>
    <xf numFmtId="2" fontId="40" fillId="0" borderId="12" xfId="0" quotePrefix="1" applyNumberFormat="1" applyFont="1" applyFill="1" applyBorder="1" applyAlignment="1">
      <alignment horizontal="center" vertical="center" wrapText="1"/>
    </xf>
    <xf numFmtId="2" fontId="14" fillId="0" borderId="12" xfId="0" applyNumberFormat="1" applyFont="1" applyFill="1" applyBorder="1" applyAlignment="1">
      <alignment horizontal="center" vertical="center"/>
    </xf>
    <xf numFmtId="0" fontId="40" fillId="0" borderId="12" xfId="0" applyFont="1" applyFill="1" applyBorder="1" applyAlignment="1">
      <alignment horizontal="center" vertical="center" wrapText="1"/>
    </xf>
    <xf numFmtId="2" fontId="35" fillId="0" borderId="12" xfId="0" applyNumberFormat="1" applyFont="1" applyFill="1" applyBorder="1" applyAlignment="1">
      <alignment horizontal="center" vertical="center" wrapText="1"/>
    </xf>
    <xf numFmtId="0" fontId="25" fillId="0" borderId="1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/>
    </xf>
    <xf numFmtId="0" fontId="15" fillId="0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/>
    </xf>
    <xf numFmtId="0" fontId="116" fillId="0" borderId="64" xfId="0" applyFont="1" applyFill="1" applyBorder="1" applyAlignment="1">
      <alignment horizontal="right" readingOrder="1"/>
    </xf>
    <xf numFmtId="164" fontId="116" fillId="0" borderId="64" xfId="0" applyNumberFormat="1" applyFont="1" applyFill="1" applyBorder="1" applyAlignment="1">
      <alignment horizontal="right" readingOrder="1"/>
    </xf>
    <xf numFmtId="0" fontId="126" fillId="0" borderId="58" xfId="0" applyFont="1" applyFill="1" applyBorder="1" applyAlignment="1">
      <alignment horizontal="right" readingOrder="1"/>
    </xf>
    <xf numFmtId="164" fontId="126" fillId="0" borderId="58" xfId="0" applyNumberFormat="1" applyFont="1" applyFill="1" applyBorder="1" applyAlignment="1">
      <alignment horizontal="right" readingOrder="1"/>
    </xf>
    <xf numFmtId="0" fontId="116" fillId="0" borderId="64" xfId="0" applyFont="1" applyFill="1" applyBorder="1"/>
    <xf numFmtId="2" fontId="116" fillId="0" borderId="64" xfId="0" applyNumberFormat="1" applyFont="1" applyFill="1" applyBorder="1" applyAlignment="1">
      <alignment horizontal="right" readingOrder="1"/>
    </xf>
    <xf numFmtId="0" fontId="126" fillId="0" borderId="58" xfId="0" applyFont="1" applyFill="1" applyBorder="1"/>
    <xf numFmtId="2" fontId="126" fillId="0" borderId="58" xfId="0" applyNumberFormat="1" applyFont="1" applyFill="1" applyBorder="1" applyAlignment="1">
      <alignment horizontal="right" readingOrder="1"/>
    </xf>
    <xf numFmtId="0" fontId="116" fillId="0" borderId="58" xfId="0" applyFont="1" applyFill="1" applyBorder="1" applyAlignment="1">
      <alignment horizontal="right" vertical="center" readingOrder="1"/>
    </xf>
    <xf numFmtId="0" fontId="141" fillId="0" borderId="59" xfId="0" applyFont="1" applyFill="1" applyBorder="1" applyAlignment="1">
      <alignment horizontal="right" readingOrder="1"/>
    </xf>
    <xf numFmtId="164" fontId="126" fillId="0" borderId="59" xfId="0" applyNumberFormat="1" applyFont="1" applyFill="1" applyBorder="1" applyAlignment="1">
      <alignment horizontal="right" readingOrder="1"/>
    </xf>
    <xf numFmtId="0" fontId="126" fillId="0" borderId="59" xfId="0" applyFont="1" applyFill="1" applyBorder="1" applyAlignment="1">
      <alignment horizontal="right" readingOrder="1"/>
    </xf>
    <xf numFmtId="0" fontId="126" fillId="0" borderId="60" xfId="0" applyFont="1" applyFill="1" applyBorder="1" applyAlignment="1">
      <alignment horizontal="right" readingOrder="1"/>
    </xf>
    <xf numFmtId="0" fontId="116" fillId="34" borderId="65" xfId="0" applyFont="1" applyFill="1" applyBorder="1"/>
    <xf numFmtId="0" fontId="116" fillId="34" borderId="64" xfId="0" applyFont="1" applyFill="1" applyBorder="1" applyAlignment="1">
      <alignment horizontal="right" readingOrder="1"/>
    </xf>
    <xf numFmtId="164" fontId="116" fillId="34" borderId="64" xfId="0" applyNumberFormat="1" applyFont="1" applyFill="1" applyBorder="1" applyAlignment="1">
      <alignment horizontal="right" readingOrder="1"/>
    </xf>
    <xf numFmtId="0" fontId="126" fillId="34" borderId="58" xfId="0" applyFont="1" applyFill="1" applyBorder="1" applyAlignment="1">
      <alignment horizontal="right" readingOrder="1"/>
    </xf>
    <xf numFmtId="164" fontId="126" fillId="34" borderId="58" xfId="0" applyNumberFormat="1" applyFont="1" applyFill="1" applyBorder="1" applyAlignment="1">
      <alignment horizontal="right" readingOrder="1"/>
    </xf>
    <xf numFmtId="2" fontId="116" fillId="34" borderId="64" xfId="0" applyNumberFormat="1" applyFont="1" applyFill="1" applyBorder="1" applyAlignment="1">
      <alignment horizontal="right" readingOrder="1"/>
    </xf>
    <xf numFmtId="2" fontId="126" fillId="34" borderId="58" xfId="0" applyNumberFormat="1" applyFont="1" applyFill="1" applyBorder="1" applyAlignment="1">
      <alignment horizontal="right" readingOrder="1"/>
    </xf>
    <xf numFmtId="0" fontId="116" fillId="34" borderId="66" xfId="0" applyFont="1" applyFill="1" applyBorder="1" applyAlignment="1">
      <alignment horizontal="right" readingOrder="1"/>
    </xf>
    <xf numFmtId="164" fontId="126" fillId="34" borderId="0" xfId="0" applyNumberFormat="1" applyFont="1" applyFill="1" applyBorder="1" applyAlignment="1">
      <alignment horizontal="right" readingOrder="1"/>
    </xf>
    <xf numFmtId="0" fontId="163" fillId="0" borderId="0" xfId="0" applyFont="1" applyFill="1" applyBorder="1"/>
    <xf numFmtId="0" fontId="164" fillId="0" borderId="0" xfId="0" applyFont="1" applyFill="1" applyBorder="1"/>
    <xf numFmtId="0" fontId="13" fillId="34" borderId="0" xfId="0" applyFont="1" applyFill="1" applyBorder="1" applyAlignment="1">
      <alignment horizontal="left" vertical="center" wrapText="1"/>
    </xf>
    <xf numFmtId="164" fontId="116" fillId="34" borderId="12" xfId="0" applyNumberFormat="1" applyFont="1" applyFill="1" applyBorder="1" applyAlignment="1">
      <alignment horizontal="center" vertical="center" wrapText="1"/>
    </xf>
    <xf numFmtId="1" fontId="15" fillId="34" borderId="12" xfId="0" applyNumberFormat="1" applyFont="1" applyFill="1" applyBorder="1" applyAlignment="1">
      <alignment horizontal="center" vertical="center"/>
    </xf>
    <xf numFmtId="166" fontId="15" fillId="34" borderId="12" xfId="0" applyNumberFormat="1" applyFont="1" applyFill="1" applyBorder="1" applyAlignment="1">
      <alignment horizontal="center" vertical="center"/>
    </xf>
    <xf numFmtId="164" fontId="124" fillId="34" borderId="12" xfId="0" applyNumberFormat="1" applyFont="1" applyFill="1" applyBorder="1" applyAlignment="1">
      <alignment horizontal="center" wrapText="1"/>
    </xf>
    <xf numFmtId="164" fontId="124" fillId="34" borderId="12" xfId="0" applyNumberFormat="1" applyFont="1" applyFill="1" applyBorder="1" applyAlignment="1">
      <alignment horizontal="center" vertical="top" wrapText="1"/>
    </xf>
    <xf numFmtId="164" fontId="124" fillId="0" borderId="12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vertical="top"/>
    </xf>
    <xf numFmtId="164" fontId="15" fillId="0" borderId="12" xfId="0" applyNumberFormat="1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left" wrapText="1"/>
    </xf>
    <xf numFmtId="2" fontId="15" fillId="34" borderId="12" xfId="0" applyNumberFormat="1" applyFont="1" applyFill="1" applyBorder="1" applyAlignment="1">
      <alignment horizontal="center"/>
    </xf>
    <xf numFmtId="2" fontId="124" fillId="0" borderId="12" xfId="0" applyNumberFormat="1" applyFont="1" applyFill="1" applyBorder="1" applyAlignment="1">
      <alignment horizontal="center" vertical="center" wrapText="1"/>
    </xf>
    <xf numFmtId="0" fontId="124" fillId="0" borderId="12" xfId="0" applyFont="1" applyFill="1" applyBorder="1" applyAlignment="1">
      <alignment horizontal="center" vertical="center" wrapText="1"/>
    </xf>
    <xf numFmtId="1" fontId="50" fillId="0" borderId="0" xfId="0" applyNumberFormat="1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left" vertical="center"/>
    </xf>
    <xf numFmtId="2" fontId="50" fillId="34" borderId="12" xfId="0" applyNumberFormat="1" applyFont="1" applyFill="1" applyBorder="1" applyAlignment="1">
      <alignment horizontal="center" vertical="center"/>
    </xf>
    <xf numFmtId="2" fontId="133" fillId="34" borderId="12" xfId="198" applyNumberFormat="1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 vertical="center"/>
    </xf>
    <xf numFmtId="2" fontId="116" fillId="0" borderId="12" xfId="0" applyNumberFormat="1" applyFont="1" applyFill="1" applyBorder="1" applyAlignment="1">
      <alignment horizontal="center" vertical="center" wrapText="1"/>
    </xf>
    <xf numFmtId="1" fontId="86" fillId="0" borderId="0" xfId="0" applyNumberFormat="1" applyFont="1"/>
    <xf numFmtId="1" fontId="13" fillId="34" borderId="12" xfId="0" applyNumberFormat="1" applyFont="1" applyFill="1" applyBorder="1" applyAlignment="1">
      <alignment horizontal="left" wrapText="1"/>
    </xf>
    <xf numFmtId="1" fontId="13" fillId="34" borderId="12" xfId="0" applyNumberFormat="1" applyFont="1" applyFill="1" applyBorder="1" applyAlignment="1">
      <alignment horizontal="center" vertical="center" wrapText="1"/>
    </xf>
    <xf numFmtId="1" fontId="15" fillId="34" borderId="12" xfId="0" applyNumberFormat="1" applyFont="1" applyFill="1" applyBorder="1" applyAlignment="1">
      <alignment horizontal="center" vertical="center" wrapText="1"/>
    </xf>
    <xf numFmtId="1" fontId="13" fillId="34" borderId="12" xfId="0" applyNumberFormat="1" applyFont="1" applyFill="1" applyBorder="1" applyAlignment="1">
      <alignment horizontal="right" wrapText="1"/>
    </xf>
    <xf numFmtId="0" fontId="35" fillId="0" borderId="0" xfId="0" applyFont="1" applyBorder="1" applyAlignment="1">
      <alignment horizontal="left" wrapText="1"/>
    </xf>
    <xf numFmtId="0" fontId="13" fillId="34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5" fillId="34" borderId="12" xfId="0" applyFont="1" applyFill="1" applyBorder="1" applyAlignment="1">
      <alignment horizontal="left" vertical="center"/>
    </xf>
    <xf numFmtId="0" fontId="15" fillId="34" borderId="12" xfId="0" applyFont="1" applyFill="1" applyBorder="1" applyAlignment="1">
      <alignment horizontal="center" vertical="center"/>
    </xf>
    <xf numFmtId="174" fontId="116" fillId="34" borderId="12" xfId="0" applyNumberFormat="1" applyFont="1" applyFill="1" applyBorder="1" applyAlignment="1">
      <alignment horizontal="center" wrapText="1"/>
    </xf>
    <xf numFmtId="2" fontId="116" fillId="34" borderId="12" xfId="0" applyNumberFormat="1" applyFont="1" applyFill="1" applyBorder="1" applyAlignment="1">
      <alignment horizontal="center" wrapText="1"/>
    </xf>
    <xf numFmtId="2" fontId="116" fillId="34" borderId="12" xfId="0" applyNumberFormat="1" applyFont="1" applyFill="1" applyBorder="1" applyAlignment="1">
      <alignment horizontal="center"/>
    </xf>
    <xf numFmtId="0" fontId="13" fillId="34" borderId="12" xfId="0" applyFont="1" applyFill="1" applyBorder="1" applyAlignment="1">
      <alignment vertical="center"/>
    </xf>
    <xf numFmtId="0" fontId="13" fillId="34" borderId="12" xfId="0" applyFont="1" applyFill="1" applyBorder="1" applyAlignment="1">
      <alignment horizontal="right" vertical="center"/>
    </xf>
    <xf numFmtId="0" fontId="15" fillId="34" borderId="12" xfId="0" applyFont="1" applyFill="1" applyBorder="1" applyAlignment="1">
      <alignment horizontal="left" vertical="center" wrapText="1"/>
    </xf>
    <xf numFmtId="0" fontId="180" fillId="34" borderId="12" xfId="0" applyFont="1" applyFill="1" applyBorder="1" applyAlignment="1">
      <alignment horizontal="center" vertical="center" wrapText="1"/>
    </xf>
    <xf numFmtId="2" fontId="180" fillId="34" borderId="12" xfId="0" applyNumberFormat="1" applyFont="1" applyFill="1" applyBorder="1" applyAlignment="1">
      <alignment horizontal="center" vertical="center" wrapText="1"/>
    </xf>
    <xf numFmtId="3" fontId="180" fillId="34" borderId="12" xfId="0" applyNumberFormat="1" applyFont="1" applyFill="1" applyBorder="1" applyAlignment="1">
      <alignment horizontal="center" vertical="center" wrapText="1"/>
    </xf>
    <xf numFmtId="4" fontId="180" fillId="34" borderId="12" xfId="0" applyNumberFormat="1" applyFont="1" applyFill="1" applyBorder="1" applyAlignment="1">
      <alignment horizontal="center" vertical="center" wrapText="1"/>
    </xf>
    <xf numFmtId="0" fontId="15" fillId="34" borderId="12" xfId="0" applyFont="1" applyFill="1" applyBorder="1" applyAlignment="1">
      <alignment horizontal="right" vertical="center" wrapText="1"/>
    </xf>
    <xf numFmtId="1" fontId="50" fillId="34" borderId="12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top" wrapText="1"/>
    </xf>
    <xf numFmtId="0" fontId="40" fillId="0" borderId="12" xfId="0" applyFont="1" applyFill="1" applyBorder="1" applyAlignment="1">
      <alignment vertical="center"/>
    </xf>
    <xf numFmtId="0" fontId="40" fillId="0" borderId="12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2" fontId="194" fillId="0" borderId="0" xfId="0" applyNumberFormat="1" applyFont="1" applyFill="1"/>
    <xf numFmtId="0" fontId="15" fillId="34" borderId="12" xfId="0" applyFont="1" applyFill="1" applyBorder="1" applyAlignment="1"/>
    <xf numFmtId="0" fontId="164" fillId="0" borderId="0" xfId="0" applyFont="1" applyBorder="1" applyAlignment="1">
      <alignment horizontal="left" wrapText="1"/>
    </xf>
    <xf numFmtId="0" fontId="173" fillId="2" borderId="16" xfId="0" applyFont="1" applyFill="1" applyBorder="1" applyAlignment="1">
      <alignment horizontal="center"/>
    </xf>
    <xf numFmtId="0" fontId="173" fillId="2" borderId="0" xfId="0" applyFont="1" applyFill="1" applyBorder="1" applyAlignment="1">
      <alignment horizontal="center"/>
    </xf>
    <xf numFmtId="0" fontId="173" fillId="2" borderId="17" xfId="0" applyFont="1" applyFill="1" applyBorder="1" applyAlignment="1">
      <alignment horizontal="center"/>
    </xf>
    <xf numFmtId="176" fontId="173" fillId="0" borderId="16" xfId="0" applyNumberFormat="1" applyFont="1" applyFill="1" applyBorder="1" applyAlignment="1">
      <alignment horizontal="center"/>
    </xf>
    <xf numFmtId="176" fontId="173" fillId="0" borderId="0" xfId="0" applyNumberFormat="1" applyFont="1" applyFill="1" applyBorder="1" applyAlignment="1">
      <alignment horizontal="center"/>
    </xf>
    <xf numFmtId="176" fontId="173" fillId="0" borderId="17" xfId="0" applyNumberFormat="1" applyFont="1" applyFill="1" applyBorder="1" applyAlignment="1">
      <alignment horizontal="center"/>
    </xf>
    <xf numFmtId="0" fontId="165" fillId="0" borderId="0" xfId="0" applyFont="1" applyFill="1" applyAlignment="1">
      <alignment horizontal="left"/>
    </xf>
    <xf numFmtId="0" fontId="171" fillId="0" borderId="0" xfId="0" applyFont="1" applyBorder="1" applyAlignment="1">
      <alignment horizontal="left" wrapText="1"/>
    </xf>
    <xf numFmtId="0" fontId="171" fillId="0" borderId="0" xfId="0" applyFont="1" applyBorder="1" applyAlignment="1">
      <alignment horizontal="left" vertical="center" wrapText="1"/>
    </xf>
    <xf numFmtId="0" fontId="171" fillId="2" borderId="0" xfId="0" applyFont="1" applyFill="1" applyBorder="1" applyAlignment="1">
      <alignment horizontal="left" vertical="top"/>
    </xf>
    <xf numFmtId="0" fontId="166" fillId="0" borderId="0" xfId="0" applyFont="1" applyFill="1" applyBorder="1" applyAlignment="1">
      <alignment horizontal="center"/>
    </xf>
    <xf numFmtId="0" fontId="171" fillId="2" borderId="12" xfId="0" applyFont="1" applyFill="1" applyBorder="1" applyAlignment="1">
      <alignment horizontal="left" vertical="top"/>
    </xf>
    <xf numFmtId="0" fontId="170" fillId="0" borderId="0" xfId="0" applyFont="1" applyFill="1" applyBorder="1" applyAlignment="1">
      <alignment horizontal="center"/>
    </xf>
    <xf numFmtId="0" fontId="142" fillId="0" borderId="0" xfId="0" applyFont="1" applyFill="1" applyBorder="1" applyAlignment="1">
      <alignment horizontal="right" vertical="center"/>
    </xf>
    <xf numFmtId="0" fontId="171" fillId="2" borderId="0" xfId="0" applyFont="1" applyFill="1" applyBorder="1" applyAlignment="1">
      <alignment horizontal="left" vertical="center" wrapText="1"/>
    </xf>
    <xf numFmtId="49" fontId="173" fillId="0" borderId="16" xfId="0" applyNumberFormat="1" applyFont="1" applyFill="1" applyBorder="1" applyAlignment="1">
      <alignment horizontal="center"/>
    </xf>
    <xf numFmtId="49" fontId="173" fillId="0" borderId="0" xfId="0" applyNumberFormat="1" applyFont="1" applyFill="1" applyBorder="1" applyAlignment="1">
      <alignment horizontal="center"/>
    </xf>
    <xf numFmtId="49" fontId="173" fillId="0" borderId="17" xfId="0" applyNumberFormat="1" applyFont="1" applyFill="1" applyBorder="1" applyAlignment="1">
      <alignment horizontal="center"/>
    </xf>
    <xf numFmtId="0" fontId="165" fillId="0" borderId="0" xfId="0" applyFont="1" applyBorder="1" applyAlignment="1">
      <alignment horizontal="left"/>
    </xf>
    <xf numFmtId="0" fontId="164" fillId="0" borderId="0" xfId="0" applyFont="1"/>
    <xf numFmtId="0" fontId="164" fillId="0" borderId="17" xfId="0" applyFont="1" applyBorder="1"/>
    <xf numFmtId="0" fontId="143" fillId="0" borderId="0" xfId="0" applyFont="1" applyFill="1" applyBorder="1" applyAlignment="1">
      <alignment horizontal="left" vertical="center"/>
    </xf>
    <xf numFmtId="0" fontId="142" fillId="0" borderId="0" xfId="0" applyFont="1" applyFill="1" applyBorder="1" applyAlignment="1">
      <alignment horizontal="center"/>
    </xf>
    <xf numFmtId="0" fontId="173" fillId="0" borderId="16" xfId="0" applyFont="1" applyFill="1" applyBorder="1" applyAlignment="1">
      <alignment horizontal="center"/>
    </xf>
    <xf numFmtId="0" fontId="173" fillId="0" borderId="0" xfId="0" applyFont="1" applyFill="1" applyBorder="1" applyAlignment="1">
      <alignment horizontal="center"/>
    </xf>
    <xf numFmtId="0" fontId="173" fillId="0" borderId="17" xfId="0" applyFont="1" applyFill="1" applyBorder="1" applyAlignment="1">
      <alignment horizontal="center"/>
    </xf>
    <xf numFmtId="0" fontId="165" fillId="0" borderId="13" xfId="0" applyFont="1" applyBorder="1" applyAlignment="1">
      <alignment horizontal="center" vertical="top" wrapText="1"/>
    </xf>
    <xf numFmtId="0" fontId="165" fillId="0" borderId="14" xfId="0" applyFont="1" applyBorder="1" applyAlignment="1">
      <alignment horizontal="center" vertical="top" wrapText="1"/>
    </xf>
    <xf numFmtId="0" fontId="165" fillId="0" borderId="15" xfId="0" applyFont="1" applyBorder="1" applyAlignment="1">
      <alignment horizontal="center" vertical="top" wrapText="1"/>
    </xf>
    <xf numFmtId="0" fontId="165" fillId="0" borderId="16" xfId="0" applyFont="1" applyBorder="1" applyAlignment="1">
      <alignment horizontal="center" vertical="top" wrapText="1"/>
    </xf>
    <xf numFmtId="0" fontId="165" fillId="0" borderId="0" xfId="0" applyFont="1" applyBorder="1" applyAlignment="1">
      <alignment horizontal="center" vertical="top" wrapText="1"/>
    </xf>
    <xf numFmtId="0" fontId="165" fillId="0" borderId="17" xfId="0" applyFont="1" applyBorder="1" applyAlignment="1">
      <alignment horizontal="center" vertical="top" wrapText="1"/>
    </xf>
    <xf numFmtId="0" fontId="171" fillId="0" borderId="0" xfId="0" applyFont="1" applyFill="1" applyBorder="1" applyAlignment="1">
      <alignment horizontal="left" vertical="center" wrapText="1"/>
    </xf>
    <xf numFmtId="0" fontId="3" fillId="0" borderId="0" xfId="173" applyAlignment="1" applyProtection="1">
      <alignment horizontal="left"/>
    </xf>
    <xf numFmtId="0" fontId="34" fillId="0" borderId="0" xfId="0" applyFont="1" applyAlignment="1">
      <alignment horizontal="left"/>
    </xf>
    <xf numFmtId="0" fontId="30" fillId="0" borderId="0" xfId="0" applyFont="1" applyBorder="1" applyAlignment="1">
      <alignment horizontal="center" wrapText="1"/>
    </xf>
    <xf numFmtId="0" fontId="36" fillId="0" borderId="5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21" fillId="0" borderId="0" xfId="0" applyNumberFormat="1" applyFont="1" applyBorder="1" applyAlignment="1">
      <alignment horizontal="right" wrapText="1"/>
    </xf>
    <xf numFmtId="0" fontId="30" fillId="0" borderId="0" xfId="0" applyFont="1" applyAlignment="1">
      <alignment horizontal="left" wrapText="1"/>
    </xf>
    <xf numFmtId="0" fontId="40" fillId="0" borderId="3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36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49" fontId="86" fillId="0" borderId="0" xfId="0" applyNumberFormat="1" applyFont="1" applyBorder="1" applyAlignment="1">
      <alignment horizontal="left" wrapText="1"/>
    </xf>
    <xf numFmtId="0" fontId="40" fillId="0" borderId="8" xfId="0" applyFont="1" applyFill="1" applyBorder="1" applyAlignment="1">
      <alignment horizontal="center" vertical="center" wrapText="1"/>
    </xf>
    <xf numFmtId="0" fontId="86" fillId="0" borderId="0" xfId="0" applyFont="1" applyAlignment="1">
      <alignment horizontal="left" wrapText="1"/>
    </xf>
    <xf numFmtId="0" fontId="86" fillId="0" borderId="0" xfId="0" applyFont="1" applyBorder="1" applyAlignment="1">
      <alignment horizontal="left" vertical="justify" wrapText="1"/>
    </xf>
    <xf numFmtId="0" fontId="86" fillId="0" borderId="0" xfId="0" applyFont="1" applyBorder="1" applyAlignment="1">
      <alignment horizontal="left" wrapText="1"/>
    </xf>
    <xf numFmtId="0" fontId="86" fillId="0" borderId="0" xfId="0" applyFont="1" applyBorder="1" applyAlignment="1">
      <alignment horizontal="left"/>
    </xf>
    <xf numFmtId="0" fontId="86" fillId="0" borderId="0" xfId="0" applyFont="1" applyAlignment="1">
      <alignment horizontal="left"/>
    </xf>
    <xf numFmtId="0" fontId="8" fillId="0" borderId="2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right" vertical="center"/>
    </xf>
    <xf numFmtId="0" fontId="8" fillId="0" borderId="11" xfId="0" applyFont="1" applyFill="1" applyBorder="1" applyAlignment="1">
      <alignment horizontal="right" vertical="center"/>
    </xf>
    <xf numFmtId="0" fontId="8" fillId="0" borderId="20" xfId="0" applyFont="1" applyFill="1" applyBorder="1" applyAlignment="1">
      <alignment horizontal="right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30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1" fillId="0" borderId="0" xfId="0" applyFont="1" applyBorder="1" applyAlignment="1">
      <alignment horizontal="right" wrapText="1"/>
    </xf>
    <xf numFmtId="0" fontId="7" fillId="0" borderId="2" xfId="0" applyFont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 vertical="center" wrapText="1"/>
    </xf>
    <xf numFmtId="0" fontId="0" fillId="0" borderId="26" xfId="0" applyFill="1" applyBorder="1"/>
    <xf numFmtId="0" fontId="0" fillId="0" borderId="3" xfId="0" applyFill="1" applyBorder="1"/>
    <xf numFmtId="0" fontId="30" fillId="0" borderId="0" xfId="0" applyFont="1" applyBorder="1" applyAlignment="1">
      <alignment horizontal="right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0" fillId="0" borderId="8" xfId="0" applyNumberFormat="1" applyFont="1" applyFill="1" applyBorder="1" applyAlignment="1">
      <alignment horizontal="center" vertical="center" wrapText="1"/>
    </xf>
    <xf numFmtId="0" fontId="30" fillId="0" borderId="3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0" fontId="30" fillId="0" borderId="0" xfId="0" applyFont="1" applyAlignment="1">
      <alignment horizontal="right" wrapText="1"/>
    </xf>
    <xf numFmtId="0" fontId="28" fillId="0" borderId="0" xfId="0" applyFont="1" applyAlignment="1">
      <alignment horizontal="right" wrapText="1"/>
    </xf>
    <xf numFmtId="0" fontId="21" fillId="0" borderId="0" xfId="0" applyFont="1" applyAlignment="1">
      <alignment horizontal="right" wrapText="1"/>
    </xf>
    <xf numFmtId="0" fontId="7" fillId="0" borderId="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14" fillId="0" borderId="8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21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 wrapText="1"/>
    </xf>
    <xf numFmtId="0" fontId="28" fillId="0" borderId="5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 vertical="center"/>
    </xf>
    <xf numFmtId="0" fontId="28" fillId="0" borderId="9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 wrapText="1"/>
    </xf>
    <xf numFmtId="0" fontId="28" fillId="0" borderId="6" xfId="0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9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/>
    </xf>
    <xf numFmtId="0" fontId="144" fillId="0" borderId="0" xfId="0" applyFont="1" applyAlignment="1">
      <alignment horizontal="left"/>
    </xf>
    <xf numFmtId="0" fontId="35" fillId="0" borderId="0" xfId="0" applyFont="1" applyBorder="1" applyAlignment="1">
      <alignment horizontal="left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>
      <alignment horizontal="center" vertical="center" wrapText="1"/>
    </xf>
    <xf numFmtId="0" fontId="28" fillId="0" borderId="22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30" fillId="0" borderId="30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 vertical="center" wrapText="1"/>
    </xf>
    <xf numFmtId="0" fontId="30" fillId="0" borderId="48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wrapText="1"/>
    </xf>
    <xf numFmtId="0" fontId="28" fillId="0" borderId="30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justify" wrapText="1"/>
    </xf>
    <xf numFmtId="0" fontId="28" fillId="0" borderId="31" xfId="0" applyFont="1" applyFill="1" applyBorder="1" applyAlignment="1">
      <alignment horizontal="center" vertical="center" wrapText="1"/>
    </xf>
    <xf numFmtId="0" fontId="7" fillId="0" borderId="32" xfId="0" applyFont="1" applyFill="1" applyBorder="1"/>
    <xf numFmtId="0" fontId="7" fillId="0" borderId="4" xfId="0" applyFont="1" applyFill="1" applyBorder="1"/>
    <xf numFmtId="0" fontId="30" fillId="0" borderId="28" xfId="0" applyFont="1" applyFill="1" applyBorder="1" applyAlignment="1">
      <alignment horizontal="center" vertical="center" wrapText="1"/>
    </xf>
    <xf numFmtId="0" fontId="30" fillId="0" borderId="29" xfId="0" applyFont="1" applyFill="1" applyBorder="1" applyAlignment="1">
      <alignment horizontal="center" vertical="center" wrapText="1"/>
    </xf>
    <xf numFmtId="0" fontId="28" fillId="0" borderId="32" xfId="0" applyFont="1" applyFill="1" applyBorder="1" applyAlignment="1">
      <alignment horizontal="center" wrapText="1"/>
    </xf>
    <xf numFmtId="0" fontId="28" fillId="0" borderId="4" xfId="0" applyFont="1" applyFill="1" applyBorder="1" applyAlignment="1">
      <alignment horizontal="center" wrapText="1"/>
    </xf>
    <xf numFmtId="0" fontId="30" fillId="0" borderId="33" xfId="0" applyFont="1" applyFill="1" applyBorder="1" applyAlignment="1">
      <alignment horizontal="center" vertical="center" wrapText="1"/>
    </xf>
    <xf numFmtId="0" fontId="30" fillId="0" borderId="34" xfId="0" applyFont="1" applyFill="1" applyBorder="1" applyAlignment="1">
      <alignment horizontal="center" vertical="center" wrapText="1"/>
    </xf>
    <xf numFmtId="0" fontId="30" fillId="0" borderId="35" xfId="0" applyFont="1" applyFill="1" applyBorder="1" applyAlignment="1">
      <alignment horizontal="center" vertical="center" wrapText="1"/>
    </xf>
    <xf numFmtId="0" fontId="30" fillId="0" borderId="36" xfId="0" applyFont="1" applyFill="1" applyBorder="1" applyAlignment="1">
      <alignment horizontal="center" vertical="center" wrapText="1"/>
    </xf>
    <xf numFmtId="0" fontId="30" fillId="0" borderId="37" xfId="0" applyFont="1" applyFill="1" applyBorder="1" applyAlignment="1">
      <alignment horizontal="center" vertical="center" wrapText="1"/>
    </xf>
    <xf numFmtId="0" fontId="30" fillId="0" borderId="38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wrapText="1"/>
    </xf>
    <xf numFmtId="0" fontId="30" fillId="0" borderId="31" xfId="0" applyFont="1" applyFill="1" applyBorder="1" applyAlignment="1">
      <alignment horizontal="center" vertical="center" wrapText="1"/>
    </xf>
    <xf numFmtId="0" fontId="30" fillId="0" borderId="32" xfId="0" applyFont="1" applyFill="1" applyBorder="1" applyAlignment="1">
      <alignment horizontal="center" vertical="center" wrapText="1"/>
    </xf>
    <xf numFmtId="0" fontId="30" fillId="0" borderId="4" xfId="0" applyFont="1" applyFill="1" applyBorder="1" applyAlignment="1">
      <alignment horizontal="center" vertical="center" wrapText="1"/>
    </xf>
    <xf numFmtId="0" fontId="30" fillId="0" borderId="27" xfId="0" applyFont="1" applyBorder="1" applyAlignment="1">
      <alignment horizontal="right" wrapText="1"/>
    </xf>
    <xf numFmtId="0" fontId="30" fillId="0" borderId="27" xfId="0" applyFont="1" applyBorder="1" applyAlignment="1"/>
    <xf numFmtId="0" fontId="21" fillId="0" borderId="0" xfId="0" applyFont="1" applyBorder="1" applyAlignment="1">
      <alignment horizontal="left"/>
    </xf>
    <xf numFmtId="0" fontId="21" fillId="0" borderId="0" xfId="0" applyFont="1" applyFill="1" applyAlignment="1">
      <alignment horizontal="right"/>
    </xf>
    <xf numFmtId="0" fontId="30" fillId="0" borderId="5" xfId="0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left"/>
    </xf>
    <xf numFmtId="0" fontId="30" fillId="0" borderId="0" xfId="0" applyFont="1" applyFill="1" applyAlignment="1">
      <alignment horizontal="right"/>
    </xf>
    <xf numFmtId="0" fontId="14" fillId="0" borderId="0" xfId="0" applyFont="1" applyFill="1" applyAlignment="1">
      <alignment horizontal="left"/>
    </xf>
    <xf numFmtId="0" fontId="30" fillId="0" borderId="2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wrapText="1"/>
    </xf>
    <xf numFmtId="0" fontId="0" fillId="0" borderId="3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30" fillId="0" borderId="0" xfId="0" applyFont="1" applyBorder="1" applyAlignment="1"/>
    <xf numFmtId="0" fontId="15" fillId="0" borderId="26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right"/>
    </xf>
    <xf numFmtId="0" fontId="30" fillId="0" borderId="1" xfId="0" applyFont="1" applyFill="1" applyBorder="1" applyAlignment="1">
      <alignment horizontal="right"/>
    </xf>
    <xf numFmtId="0" fontId="31" fillId="0" borderId="0" xfId="0" applyFont="1" applyFill="1" applyAlignment="1">
      <alignment horizontal="right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right" vertical="center" wrapText="1"/>
    </xf>
    <xf numFmtId="0" fontId="31" fillId="0" borderId="0" xfId="0" applyFont="1" applyFill="1" applyAlignment="1">
      <alignment horizontal="left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right" vertical="top" wrapText="1"/>
    </xf>
    <xf numFmtId="0" fontId="16" fillId="0" borderId="2" xfId="0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 vertical="center" wrapText="1"/>
    </xf>
    <xf numFmtId="164" fontId="14" fillId="0" borderId="0" xfId="0" applyNumberFormat="1" applyFont="1" applyFill="1" applyBorder="1" applyAlignment="1">
      <alignment horizontal="left"/>
    </xf>
    <xf numFmtId="0" fontId="16" fillId="0" borderId="8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 wrapText="1"/>
    </xf>
    <xf numFmtId="0" fontId="127" fillId="0" borderId="0" xfId="0" applyFont="1" applyFill="1" applyBorder="1" applyAlignment="1">
      <alignment horizontal="right" vertical="center"/>
    </xf>
    <xf numFmtId="0" fontId="127" fillId="0" borderId="0" xfId="0" applyFont="1" applyFill="1" applyBorder="1" applyAlignment="1">
      <alignment horizontal="center" vertical="center" wrapText="1"/>
    </xf>
    <xf numFmtId="49" fontId="116" fillId="0" borderId="2" xfId="0" applyNumberFormat="1" applyFont="1" applyFill="1" applyBorder="1" applyAlignment="1">
      <alignment horizontal="center" vertical="center" wrapText="1"/>
    </xf>
    <xf numFmtId="49" fontId="130" fillId="0" borderId="2" xfId="0" applyNumberFormat="1" applyFont="1" applyFill="1" applyBorder="1" applyAlignment="1">
      <alignment horizontal="center" vertical="center" wrapText="1"/>
    </xf>
    <xf numFmtId="49" fontId="129" fillId="0" borderId="2" xfId="0" applyNumberFormat="1" applyFont="1" applyFill="1" applyBorder="1" applyAlignment="1">
      <alignment horizontal="center" vertical="center" wrapText="1"/>
    </xf>
    <xf numFmtId="49" fontId="146" fillId="0" borderId="2" xfId="0" applyNumberFormat="1" applyFont="1" applyFill="1" applyBorder="1" applyAlignment="1">
      <alignment horizontal="center" vertical="center" wrapText="1"/>
    </xf>
    <xf numFmtId="1" fontId="130" fillId="0" borderId="2" xfId="0" applyNumberFormat="1" applyFont="1" applyFill="1" applyBorder="1" applyAlignment="1">
      <alignment horizontal="center" vertical="center" wrapText="1"/>
    </xf>
    <xf numFmtId="0" fontId="130" fillId="0" borderId="9" xfId="0" applyFont="1" applyFill="1" applyBorder="1" applyAlignment="1">
      <alignment horizontal="center" vertical="center" wrapText="1"/>
    </xf>
    <xf numFmtId="0" fontId="130" fillId="0" borderId="22" xfId="0" applyFont="1" applyFill="1" applyBorder="1" applyAlignment="1">
      <alignment horizontal="center" vertical="center" wrapText="1"/>
    </xf>
    <xf numFmtId="0" fontId="130" fillId="0" borderId="21" xfId="0" applyFont="1" applyFill="1" applyBorder="1" applyAlignment="1">
      <alignment horizontal="center" vertical="center" wrapText="1"/>
    </xf>
    <xf numFmtId="0" fontId="130" fillId="0" borderId="23" xfId="0" applyFont="1" applyFill="1" applyBorder="1" applyAlignment="1">
      <alignment horizontal="center" vertical="center" wrapText="1"/>
    </xf>
    <xf numFmtId="0" fontId="130" fillId="0" borderId="7" xfId="0" applyFont="1" applyFill="1" applyBorder="1" applyAlignment="1">
      <alignment horizontal="center" vertical="center" wrapText="1"/>
    </xf>
    <xf numFmtId="0" fontId="130" fillId="0" borderId="10" xfId="0" applyFont="1" applyFill="1" applyBorder="1" applyAlignment="1">
      <alignment horizontal="center" vertical="center" wrapText="1"/>
    </xf>
    <xf numFmtId="1" fontId="134" fillId="0" borderId="2" xfId="0" applyNumberFormat="1" applyFont="1" applyFill="1" applyBorder="1" applyAlignment="1">
      <alignment horizontal="center" vertical="center"/>
    </xf>
    <xf numFmtId="49" fontId="138" fillId="0" borderId="2" xfId="0" applyNumberFormat="1" applyFont="1" applyFill="1" applyBorder="1" applyAlignment="1">
      <alignment horizontal="center" vertical="center" wrapText="1"/>
    </xf>
    <xf numFmtId="0" fontId="128" fillId="0" borderId="9" xfId="0" applyFont="1" applyFill="1" applyBorder="1" applyAlignment="1">
      <alignment horizontal="left" vertical="center"/>
    </xf>
    <xf numFmtId="0" fontId="128" fillId="0" borderId="20" xfId="0" applyFont="1" applyFill="1" applyBorder="1" applyAlignment="1">
      <alignment horizontal="left" vertical="center"/>
    </xf>
    <xf numFmtId="0" fontId="128" fillId="0" borderId="22" xfId="0" applyFont="1" applyFill="1" applyBorder="1" applyAlignment="1">
      <alignment horizontal="left" vertical="center"/>
    </xf>
    <xf numFmtId="0" fontId="128" fillId="0" borderId="7" xfId="0" applyFont="1" applyFill="1" applyBorder="1" applyAlignment="1">
      <alignment horizontal="left" vertical="center"/>
    </xf>
    <xf numFmtId="0" fontId="128" fillId="0" borderId="1" xfId="0" applyFont="1" applyFill="1" applyBorder="1" applyAlignment="1">
      <alignment horizontal="left" vertical="center"/>
    </xf>
    <xf numFmtId="0" fontId="128" fillId="0" borderId="10" xfId="0" applyFont="1" applyFill="1" applyBorder="1" applyAlignment="1">
      <alignment horizontal="left" vertical="center"/>
    </xf>
    <xf numFmtId="0" fontId="128" fillId="0" borderId="2" xfId="0" applyFont="1" applyFill="1" applyBorder="1" applyAlignment="1">
      <alignment horizontal="center" vertical="center"/>
    </xf>
    <xf numFmtId="49" fontId="145" fillId="0" borderId="2" xfId="0" applyNumberFormat="1" applyFont="1" applyFill="1" applyBorder="1" applyAlignment="1">
      <alignment horizontal="center" vertical="center" wrapText="1"/>
    </xf>
    <xf numFmtId="49" fontId="126" fillId="0" borderId="2" xfId="0" applyNumberFormat="1" applyFont="1" applyFill="1" applyBorder="1" applyAlignment="1">
      <alignment horizontal="center" vertical="center" wrapText="1"/>
    </xf>
    <xf numFmtId="0" fontId="23" fillId="35" borderId="11" xfId="0" applyFont="1" applyFill="1" applyBorder="1" applyAlignment="1">
      <alignment horizontal="left" vertical="center"/>
    </xf>
    <xf numFmtId="0" fontId="73" fillId="0" borderId="20" xfId="0" applyFont="1" applyBorder="1" applyAlignment="1">
      <alignment horizontal="left"/>
    </xf>
    <xf numFmtId="49" fontId="116" fillId="0" borderId="8" xfId="0" applyNumberFormat="1" applyFont="1" applyFill="1" applyBorder="1" applyAlignment="1">
      <alignment horizontal="center" vertical="center" wrapText="1"/>
    </xf>
    <xf numFmtId="49" fontId="116" fillId="0" borderId="3" xfId="0" applyNumberFormat="1" applyFont="1" applyFill="1" applyBorder="1" applyAlignment="1">
      <alignment horizontal="center" vertical="center" wrapText="1"/>
    </xf>
    <xf numFmtId="1" fontId="134" fillId="0" borderId="5" xfId="0" applyNumberFormat="1" applyFont="1" applyFill="1" applyBorder="1" applyAlignment="1">
      <alignment horizontal="center" vertical="center" wrapText="1"/>
    </xf>
    <xf numFmtId="1" fontId="134" fillId="0" borderId="6" xfId="0" applyNumberFormat="1" applyFont="1" applyFill="1" applyBorder="1" applyAlignment="1">
      <alignment horizontal="center" vertical="center" wrapText="1"/>
    </xf>
    <xf numFmtId="1" fontId="134" fillId="0" borderId="5" xfId="0" applyNumberFormat="1" applyFont="1" applyFill="1" applyBorder="1" applyAlignment="1">
      <alignment horizontal="center" vertical="center"/>
    </xf>
    <xf numFmtId="1" fontId="134" fillId="0" borderId="6" xfId="0" applyNumberFormat="1" applyFont="1" applyFill="1" applyBorder="1" applyAlignment="1">
      <alignment horizontal="center" vertical="center"/>
    </xf>
    <xf numFmtId="0" fontId="137" fillId="0" borderId="2" xfId="0" applyFont="1" applyFill="1" applyBorder="1" applyAlignment="1">
      <alignment horizontal="center" vertical="center" wrapText="1"/>
    </xf>
    <xf numFmtId="0" fontId="15" fillId="0" borderId="26" xfId="0" applyFont="1" applyFill="1" applyBorder="1" applyAlignment="1">
      <alignment horizontal="center" vertical="center" textRotation="90"/>
    </xf>
    <xf numFmtId="0" fontId="15" fillId="0" borderId="3" xfId="0" applyFont="1" applyFill="1" applyBorder="1" applyAlignment="1">
      <alignment horizontal="center" vertical="center" textRotation="90"/>
    </xf>
    <xf numFmtId="0" fontId="128" fillId="0" borderId="5" xfId="0" applyFont="1" applyFill="1" applyBorder="1" applyAlignment="1">
      <alignment vertical="center"/>
    </xf>
    <xf numFmtId="0" fontId="128" fillId="0" borderId="11" xfId="0" applyFont="1" applyFill="1" applyBorder="1" applyAlignment="1">
      <alignment vertical="center"/>
    </xf>
    <xf numFmtId="0" fontId="128" fillId="0" borderId="6" xfId="0" applyFont="1" applyFill="1" applyBorder="1" applyAlignment="1">
      <alignment vertical="center"/>
    </xf>
    <xf numFmtId="49" fontId="129" fillId="0" borderId="5" xfId="0" applyNumberFormat="1" applyFont="1" applyFill="1" applyBorder="1" applyAlignment="1">
      <alignment horizontal="left" vertical="center" wrapText="1"/>
    </xf>
    <xf numFmtId="49" fontId="129" fillId="0" borderId="11" xfId="0" applyNumberFormat="1" applyFont="1" applyFill="1" applyBorder="1" applyAlignment="1">
      <alignment horizontal="left" vertical="center" wrapText="1"/>
    </xf>
    <xf numFmtId="49" fontId="129" fillId="0" borderId="6" xfId="0" applyNumberFormat="1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center" vertical="center" textRotation="90"/>
    </xf>
    <xf numFmtId="0" fontId="15" fillId="0" borderId="63" xfId="0" applyFont="1" applyFill="1" applyBorder="1" applyAlignment="1">
      <alignment horizontal="center" vertical="center" textRotation="90"/>
    </xf>
    <xf numFmtId="0" fontId="73" fillId="0" borderId="0" xfId="0" applyFont="1" applyBorder="1" applyAlignment="1">
      <alignment horizontal="left"/>
    </xf>
    <xf numFmtId="0" fontId="73" fillId="0" borderId="64" xfId="0" applyFont="1" applyBorder="1" applyAlignment="1">
      <alignment horizontal="left"/>
    </xf>
    <xf numFmtId="0" fontId="138" fillId="0" borderId="0" xfId="0" applyFont="1" applyFill="1" applyBorder="1" applyAlignment="1"/>
    <xf numFmtId="0" fontId="0" fillId="0" borderId="0" xfId="0" applyBorder="1" applyAlignment="1"/>
    <xf numFmtId="0" fontId="15" fillId="0" borderId="2" xfId="0" applyFont="1" applyFill="1" applyBorder="1" applyAlignment="1">
      <alignment horizontal="center" vertical="center" textRotation="90"/>
    </xf>
    <xf numFmtId="0" fontId="15" fillId="0" borderId="62" xfId="0" applyFont="1" applyFill="1" applyBorder="1" applyAlignment="1">
      <alignment horizontal="center" vertical="center" textRotation="90"/>
    </xf>
    <xf numFmtId="0" fontId="7" fillId="0" borderId="9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right" wrapText="1"/>
    </xf>
    <xf numFmtId="0" fontId="30" fillId="0" borderId="1" xfId="0" applyFont="1" applyFill="1" applyBorder="1" applyAlignment="1">
      <alignment horizontal="right" vertical="top" wrapText="1"/>
    </xf>
    <xf numFmtId="0" fontId="79" fillId="0" borderId="2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8" fillId="0" borderId="2" xfId="0" applyFont="1" applyFill="1" applyBorder="1" applyAlignment="1">
      <alignment horizontal="center" wrapText="1"/>
    </xf>
    <xf numFmtId="0" fontId="28" fillId="0" borderId="5" xfId="0" applyFont="1" applyFill="1" applyBorder="1" applyAlignment="1">
      <alignment horizontal="center" wrapText="1"/>
    </xf>
    <xf numFmtId="0" fontId="28" fillId="0" borderId="11" xfId="0" applyFont="1" applyFill="1" applyBorder="1" applyAlignment="1">
      <alignment horizontal="center" wrapText="1"/>
    </xf>
    <xf numFmtId="0" fontId="28" fillId="0" borderId="6" xfId="0" applyFont="1" applyFill="1" applyBorder="1" applyAlignment="1">
      <alignment horizont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26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wrapText="1"/>
    </xf>
    <xf numFmtId="0" fontId="28" fillId="0" borderId="3" xfId="0" applyFont="1" applyFill="1" applyBorder="1" applyAlignment="1">
      <alignment horizont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14" fillId="0" borderId="0" xfId="196" applyFont="1" applyFill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0" borderId="0" xfId="196" applyFont="1" applyAlignment="1">
      <alignment horizontal="center" wrapText="1"/>
    </xf>
    <xf numFmtId="0" fontId="30" fillId="0" borderId="1" xfId="196" applyFont="1" applyBorder="1" applyAlignment="1">
      <alignment horizontal="right"/>
    </xf>
    <xf numFmtId="0" fontId="8" fillId="0" borderId="8" xfId="196" applyFont="1" applyBorder="1" applyAlignment="1">
      <alignment horizontal="center" vertical="center" wrapText="1"/>
    </xf>
    <xf numFmtId="0" fontId="8" fillId="0" borderId="3" xfId="196" applyFont="1" applyBorder="1" applyAlignment="1">
      <alignment horizontal="center" vertical="center" wrapText="1"/>
    </xf>
    <xf numFmtId="0" fontId="49" fillId="0" borderId="5" xfId="196" applyFont="1" applyBorder="1" applyAlignment="1">
      <alignment horizontal="center"/>
    </xf>
    <xf numFmtId="0" fontId="49" fillId="0" borderId="11" xfId="196" applyFont="1" applyBorder="1" applyAlignment="1">
      <alignment horizontal="center"/>
    </xf>
    <xf numFmtId="0" fontId="49" fillId="0" borderId="6" xfId="196" applyFont="1" applyBorder="1" applyAlignment="1">
      <alignment horizontal="center"/>
    </xf>
    <xf numFmtId="0" fontId="31" fillId="0" borderId="0" xfId="0" applyFont="1" applyAlignment="1">
      <alignment horizontal="left"/>
    </xf>
    <xf numFmtId="0" fontId="29" fillId="0" borderId="1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right" vertical="top" wrapText="1"/>
    </xf>
    <xf numFmtId="0" fontId="16" fillId="0" borderId="9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16" fillId="0" borderId="8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1" fontId="18" fillId="0" borderId="0" xfId="0" applyNumberFormat="1" applyFont="1" applyBorder="1" applyAlignment="1">
      <alignment horizontal="left" wrapText="1"/>
    </xf>
    <xf numFmtId="0" fontId="18" fillId="0" borderId="0" xfId="0" applyFont="1" applyBorder="1" applyAlignment="1">
      <alignment horizontal="left" wrapText="1"/>
    </xf>
    <xf numFmtId="0" fontId="13" fillId="0" borderId="6" xfId="0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vertical="center" wrapText="1"/>
    </xf>
    <xf numFmtId="0" fontId="16" fillId="0" borderId="3" xfId="0" applyFont="1" applyFill="1" applyBorder="1" applyAlignment="1">
      <alignment vertical="center" wrapText="1"/>
    </xf>
    <xf numFmtId="0" fontId="13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left" wrapText="1"/>
    </xf>
    <xf numFmtId="0" fontId="31" fillId="0" borderId="0" xfId="0" applyFont="1" applyBorder="1" applyAlignment="1">
      <alignment horizontal="right" wrapText="1"/>
    </xf>
    <xf numFmtId="0" fontId="31" fillId="0" borderId="0" xfId="0" applyFont="1" applyAlignment="1">
      <alignment horizontal="right" wrapText="1"/>
    </xf>
    <xf numFmtId="0" fontId="31" fillId="0" borderId="0" xfId="0" applyFont="1" applyAlignment="1">
      <alignment horizontal="left" wrapText="1"/>
    </xf>
    <xf numFmtId="0" fontId="9" fillId="0" borderId="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5" fillId="0" borderId="0" xfId="0" applyFont="1" applyBorder="1" applyAlignment="1">
      <alignment wrapText="1"/>
    </xf>
    <xf numFmtId="0" fontId="7" fillId="0" borderId="2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Alignment="1">
      <alignment horizontal="left" wrapText="1"/>
    </xf>
    <xf numFmtId="0" fontId="30" fillId="0" borderId="1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wrapText="1"/>
    </xf>
    <xf numFmtId="0" fontId="17" fillId="0" borderId="11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43" fillId="0" borderId="24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left" wrapText="1"/>
    </xf>
    <xf numFmtId="0" fontId="16" fillId="0" borderId="3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wrapText="1"/>
    </xf>
    <xf numFmtId="0" fontId="13" fillId="0" borderId="2" xfId="0" applyFont="1" applyBorder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4" fillId="0" borderId="0" xfId="0" applyFont="1" applyBorder="1" applyAlignment="1">
      <alignment horizontal="left" wrapText="1"/>
    </xf>
    <xf numFmtId="0" fontId="174" fillId="0" borderId="0" xfId="0" applyFont="1" applyBorder="1" applyAlignment="1">
      <alignment horizontal="right" wrapText="1"/>
    </xf>
    <xf numFmtId="0" fontId="178" fillId="0" borderId="2" xfId="0" applyFont="1" applyFill="1" applyBorder="1" applyAlignment="1">
      <alignment horizontal="center" vertical="center" wrapText="1"/>
    </xf>
    <xf numFmtId="0" fontId="177" fillId="0" borderId="2" xfId="0" applyFont="1" applyFill="1" applyBorder="1" applyAlignment="1">
      <alignment horizontal="center" vertical="center" wrapText="1"/>
    </xf>
    <xf numFmtId="0" fontId="179" fillId="0" borderId="2" xfId="0" applyFont="1" applyFill="1" applyBorder="1" applyAlignment="1">
      <alignment horizontal="center" vertical="center" wrapText="1"/>
    </xf>
    <xf numFmtId="0" fontId="176" fillId="0" borderId="9" xfId="0" applyFont="1" applyFill="1" applyBorder="1" applyAlignment="1">
      <alignment horizontal="center" vertical="center" wrapText="1"/>
    </xf>
    <xf numFmtId="0" fontId="176" fillId="0" borderId="21" xfId="0" applyFont="1" applyFill="1" applyBorder="1" applyAlignment="1">
      <alignment horizontal="center" vertical="center" wrapText="1"/>
    </xf>
    <xf numFmtId="0" fontId="176" fillId="0" borderId="7" xfId="0" applyFont="1" applyFill="1" applyBorder="1" applyAlignment="1">
      <alignment horizontal="center" vertical="center" wrapText="1"/>
    </xf>
    <xf numFmtId="0" fontId="176" fillId="0" borderId="2" xfId="0" applyFont="1" applyFill="1" applyBorder="1" applyAlignment="1">
      <alignment horizontal="center" vertical="center" wrapText="1"/>
    </xf>
    <xf numFmtId="0" fontId="183" fillId="0" borderId="0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9" fillId="0" borderId="0" xfId="0" applyFont="1" applyBorder="1" applyAlignment="1">
      <alignment horizontal="left" wrapText="1"/>
    </xf>
    <xf numFmtId="0" fontId="43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0" fillId="0" borderId="1" xfId="0" applyFont="1" applyBorder="1" applyAlignment="1">
      <alignment horizontal="right"/>
    </xf>
    <xf numFmtId="0" fontId="43" fillId="0" borderId="0" xfId="0" applyFont="1" applyBorder="1" applyAlignment="1">
      <alignment horizontal="left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right" wrapText="1"/>
    </xf>
    <xf numFmtId="0" fontId="21" fillId="0" borderId="0" xfId="0" applyFont="1" applyBorder="1" applyAlignment="1">
      <alignment horizontal="left" wrapText="1"/>
    </xf>
    <xf numFmtId="49" fontId="7" fillId="0" borderId="1" xfId="0" applyNumberFormat="1" applyFont="1" applyBorder="1" applyAlignment="1">
      <alignment horizontal="left" vertical="top" wrapText="1"/>
    </xf>
    <xf numFmtId="0" fontId="15" fillId="0" borderId="0" xfId="0" applyFont="1" applyAlignment="1">
      <alignment horizontal="left" vertical="center" wrapText="1"/>
    </xf>
    <xf numFmtId="49" fontId="15" fillId="34" borderId="0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3" fillId="0" borderId="0" xfId="0" applyFont="1" applyBorder="1" applyAlignment="1">
      <alignment horizontal="left" wrapText="1"/>
    </xf>
    <xf numFmtId="0" fontId="23" fillId="0" borderId="5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36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right" wrapText="1"/>
    </xf>
    <xf numFmtId="0" fontId="92" fillId="0" borderId="0" xfId="0" applyFont="1" applyAlignment="1">
      <alignment horizontal="left"/>
    </xf>
    <xf numFmtId="2" fontId="36" fillId="0" borderId="0" xfId="0" applyNumberFormat="1" applyFont="1" applyBorder="1" applyAlignment="1">
      <alignment horizontal="left"/>
    </xf>
    <xf numFmtId="0" fontId="38" fillId="0" borderId="0" xfId="0" applyFont="1" applyBorder="1" applyAlignment="1">
      <alignment horizontal="left" vertical="top" wrapText="1"/>
    </xf>
    <xf numFmtId="0" fontId="38" fillId="0" borderId="0" xfId="0" applyFont="1" applyBorder="1" applyAlignment="1">
      <alignment horizontal="right" vertical="top" wrapText="1"/>
    </xf>
    <xf numFmtId="0" fontId="10" fillId="0" borderId="0" xfId="0" applyFont="1" applyBorder="1" applyAlignment="1">
      <alignment horizontal="right" vertical="top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top" wrapText="1"/>
    </xf>
    <xf numFmtId="0" fontId="9" fillId="0" borderId="2" xfId="0" applyFont="1" applyBorder="1" applyAlignment="1">
      <alignment horizontal="center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right" vertical="center" wrapText="1"/>
    </xf>
    <xf numFmtId="0" fontId="20" fillId="0" borderId="2" xfId="0" applyFont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right" vertical="center" wrapText="1"/>
    </xf>
    <xf numFmtId="49" fontId="27" fillId="0" borderId="0" xfId="0" applyNumberFormat="1" applyFont="1" applyFill="1" applyBorder="1" applyAlignment="1">
      <alignment horizontal="left" vertical="center" wrapText="1"/>
    </xf>
    <xf numFmtId="0" fontId="75" fillId="34" borderId="12" xfId="0" applyFont="1" applyFill="1" applyBorder="1" applyAlignment="1">
      <alignment horizontal="left" vertical="center" wrapText="1"/>
    </xf>
    <xf numFmtId="0" fontId="40" fillId="0" borderId="0" xfId="0" applyFont="1" applyFill="1" applyAlignment="1">
      <alignment horizontal="left" wrapText="1"/>
    </xf>
    <xf numFmtId="0" fontId="76" fillId="34" borderId="0" xfId="0" applyFont="1" applyFill="1" applyAlignment="1">
      <alignment horizontal="left" wrapText="1"/>
    </xf>
    <xf numFmtId="0" fontId="76" fillId="0" borderId="0" xfId="0" applyFont="1" applyFill="1" applyAlignment="1">
      <alignment horizontal="left" wrapText="1"/>
    </xf>
    <xf numFmtId="0" fontId="40" fillId="34" borderId="0" xfId="0" applyFont="1" applyFill="1" applyAlignment="1">
      <alignment horizontal="left" wrapText="1"/>
    </xf>
    <xf numFmtId="0" fontId="13" fillId="0" borderId="0" xfId="0" applyFont="1" applyFill="1" applyBorder="1" applyAlignment="1">
      <alignment horizontal="left" vertical="center" wrapText="1"/>
    </xf>
    <xf numFmtId="0" fontId="85" fillId="34" borderId="0" xfId="0" applyFont="1" applyFill="1" applyBorder="1" applyAlignment="1">
      <alignment horizontal="left" vertical="top" wrapText="1"/>
    </xf>
    <xf numFmtId="0" fontId="13" fillId="34" borderId="0" xfId="0" applyFont="1" applyFill="1" applyBorder="1" applyAlignment="1">
      <alignment horizontal="left" vertical="center" wrapText="1"/>
    </xf>
    <xf numFmtId="0" fontId="75" fillId="0" borderId="0" xfId="0" applyFont="1" applyFill="1" applyBorder="1" applyAlignment="1">
      <alignment horizontal="left" vertical="center" wrapText="1"/>
    </xf>
    <xf numFmtId="0" fontId="40" fillId="0" borderId="0" xfId="0" applyFont="1" applyFill="1" applyAlignment="1">
      <alignment horizontal="left"/>
    </xf>
    <xf numFmtId="0" fontId="29" fillId="34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 wrapText="1"/>
    </xf>
    <xf numFmtId="0" fontId="16" fillId="34" borderId="0" xfId="0" applyFont="1" applyFill="1" applyBorder="1" applyAlignment="1">
      <alignment vertical="center" wrapText="1"/>
    </xf>
    <xf numFmtId="0" fontId="15" fillId="34" borderId="0" xfId="0" applyFont="1" applyFill="1" applyBorder="1" applyAlignment="1">
      <alignment horizontal="left" vertical="center" wrapText="1" indent="2"/>
    </xf>
    <xf numFmtId="0" fontId="14" fillId="0" borderId="0" xfId="0" applyFont="1" applyFill="1" applyBorder="1" applyAlignment="1">
      <alignment horizontal="left" vertical="center" wrapText="1" indent="2"/>
    </xf>
    <xf numFmtId="0" fontId="94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34" borderId="0" xfId="0" applyFont="1" applyFill="1" applyBorder="1" applyAlignment="1">
      <alignment horizontal="left" vertical="center" wrapText="1"/>
    </xf>
    <xf numFmtId="0" fontId="81" fillId="34" borderId="0" xfId="0" applyFont="1" applyFill="1" applyBorder="1" applyAlignment="1">
      <alignment horizontal="left" vertical="justify" wrapText="1"/>
    </xf>
    <xf numFmtId="0" fontId="82" fillId="0" borderId="0" xfId="0" applyFont="1" applyBorder="1" applyAlignment="1">
      <alignment horizontal="right" wrapText="1"/>
    </xf>
    <xf numFmtId="0" fontId="78" fillId="0" borderId="0" xfId="0" applyFont="1" applyBorder="1" applyAlignment="1">
      <alignment horizontal="right" wrapText="1"/>
    </xf>
    <xf numFmtId="0" fontId="78" fillId="0" borderId="0" xfId="0" applyFont="1" applyBorder="1" applyAlignment="1">
      <alignment horizontal="left" wrapText="1"/>
    </xf>
    <xf numFmtId="0" fontId="10" fillId="0" borderId="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5" fillId="34" borderId="0" xfId="0" applyFont="1" applyFill="1" applyBorder="1" applyAlignment="1">
      <alignment horizontal="left"/>
    </xf>
    <xf numFmtId="0" fontId="90" fillId="0" borderId="0" xfId="0" applyFont="1" applyFill="1" applyBorder="1" applyAlignment="1">
      <alignment horizontal="left" wrapText="1"/>
    </xf>
    <xf numFmtId="0" fontId="76" fillId="0" borderId="0" xfId="0" applyFont="1" applyFill="1" applyBorder="1" applyAlignment="1">
      <alignment horizontal="left" vertical="center" wrapText="1" indent="2"/>
    </xf>
    <xf numFmtId="0" fontId="28" fillId="34" borderId="0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wrapText="1"/>
    </xf>
    <xf numFmtId="0" fontId="76" fillId="34" borderId="0" xfId="0" applyFont="1" applyFill="1" applyBorder="1" applyAlignment="1">
      <alignment horizontal="left" vertical="center" wrapText="1" indent="2"/>
    </xf>
    <xf numFmtId="10" fontId="76" fillId="34" borderId="0" xfId="0" applyNumberFormat="1" applyFont="1" applyFill="1" applyAlignment="1">
      <alignment horizontal="left" wrapText="1"/>
    </xf>
    <xf numFmtId="10" fontId="76" fillId="0" borderId="0" xfId="0" applyNumberFormat="1" applyFont="1" applyFill="1" applyBorder="1" applyAlignment="1">
      <alignment horizontal="left" wrapText="1"/>
    </xf>
    <xf numFmtId="0" fontId="23" fillId="0" borderId="0" xfId="0" applyFont="1" applyBorder="1" applyAlignment="1">
      <alignment horizontal="left" vertical="center" wrapText="1"/>
    </xf>
    <xf numFmtId="0" fontId="23" fillId="34" borderId="0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wrapText="1"/>
    </xf>
    <xf numFmtId="0" fontId="150" fillId="0" borderId="0" xfId="0" applyFont="1" applyAlignment="1">
      <alignment horizontal="right" wrapText="1"/>
    </xf>
    <xf numFmtId="0" fontId="8" fillId="0" borderId="0" xfId="0" applyFont="1" applyAlignment="1">
      <alignment horizontal="left" wrapText="1"/>
    </xf>
    <xf numFmtId="0" fontId="150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50" fillId="0" borderId="0" xfId="0" applyFont="1" applyAlignment="1">
      <alignment horizontal="center" wrapText="1"/>
    </xf>
    <xf numFmtId="0" fontId="25" fillId="0" borderId="14" xfId="0" applyFont="1" applyBorder="1" applyAlignment="1">
      <alignment horizontal="left" vertical="center" wrapText="1"/>
    </xf>
    <xf numFmtId="0" fontId="23" fillId="34" borderId="0" xfId="0" applyFont="1" applyFill="1" applyBorder="1" applyAlignment="1">
      <alignment horizontal="left" vertical="center"/>
    </xf>
    <xf numFmtId="0" fontId="151" fillId="0" borderId="0" xfId="0" applyFont="1" applyBorder="1" applyAlignment="1">
      <alignment horizontal="left" wrapText="1"/>
    </xf>
    <xf numFmtId="0" fontId="53" fillId="34" borderId="0" xfId="0" applyFont="1" applyFill="1" applyBorder="1" applyAlignment="1">
      <alignment horizontal="left" vertical="center" wrapText="1"/>
    </xf>
    <xf numFmtId="0" fontId="41" fillId="34" borderId="0" xfId="0" applyFont="1" applyFill="1" applyBorder="1" applyAlignment="1">
      <alignment horizontal="left" vertical="center" wrapText="1"/>
    </xf>
    <xf numFmtId="0" fontId="23" fillId="0" borderId="64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51" fillId="0" borderId="0" xfId="0" applyFont="1" applyBorder="1" applyAlignment="1">
      <alignment horizontal="right" wrapText="1"/>
    </xf>
    <xf numFmtId="0" fontId="28" fillId="0" borderId="0" xfId="0" applyFont="1" applyAlignment="1">
      <alignment horizontal="left" wrapText="1"/>
    </xf>
    <xf numFmtId="0" fontId="151" fillId="0" borderId="0" xfId="0" applyFont="1" applyBorder="1" applyAlignment="1">
      <alignment horizont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wrapText="1"/>
    </xf>
    <xf numFmtId="0" fontId="17" fillId="34" borderId="0" xfId="0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4" fillId="0" borderId="0" xfId="0" applyFont="1" applyAlignment="1"/>
    <xf numFmtId="0" fontId="13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/>
    </xf>
    <xf numFmtId="0" fontId="16" fillId="0" borderId="1" xfId="0" applyFont="1" applyBorder="1" applyAlignment="1">
      <alignment horizontal="right" vertical="center" wrapText="1"/>
    </xf>
    <xf numFmtId="0" fontId="29" fillId="0" borderId="0" xfId="0" applyFont="1" applyAlignment="1">
      <alignment horizontal="right" vertical="top"/>
    </xf>
    <xf numFmtId="0" fontId="29" fillId="0" borderId="0" xfId="0" applyFont="1" applyBorder="1" applyAlignment="1">
      <alignment horizontal="left" wrapText="1"/>
    </xf>
    <xf numFmtId="0" fontId="31" fillId="0" borderId="0" xfId="0" applyFont="1" applyBorder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right" wrapText="1"/>
    </xf>
    <xf numFmtId="0" fontId="29" fillId="0" borderId="22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8" fillId="0" borderId="0" xfId="0" applyFont="1" applyBorder="1" applyAlignment="1">
      <alignment horizontal="right" wrapTex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left" wrapText="1"/>
    </xf>
    <xf numFmtId="0" fontId="9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40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 vertical="top" wrapText="1"/>
    </xf>
    <xf numFmtId="0" fontId="40" fillId="0" borderId="0" xfId="0" applyFont="1" applyBorder="1" applyAlignment="1">
      <alignment horizontal="left" vertical="top" wrapText="1"/>
    </xf>
    <xf numFmtId="0" fontId="43" fillId="0" borderId="0" xfId="0" applyFont="1" applyBorder="1" applyAlignment="1">
      <alignment horizontal="left" vertical="top" wrapText="1"/>
    </xf>
    <xf numFmtId="0" fontId="49" fillId="0" borderId="1" xfId="0" applyFont="1" applyBorder="1" applyAlignment="1">
      <alignment horizontal="center" wrapText="1"/>
    </xf>
    <xf numFmtId="0" fontId="29" fillId="0" borderId="9" xfId="0" applyFont="1" applyFill="1" applyBorder="1" applyAlignment="1">
      <alignment horizontal="center" vertical="center" wrapText="1"/>
    </xf>
    <xf numFmtId="0" fontId="29" fillId="0" borderId="7" xfId="0" applyFont="1" applyFill="1" applyBorder="1" applyAlignment="1">
      <alignment horizontal="center" vertical="center" wrapText="1"/>
    </xf>
    <xf numFmtId="0" fontId="29" fillId="0" borderId="6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wrapText="1"/>
    </xf>
    <xf numFmtId="0" fontId="27" fillId="0" borderId="0" xfId="0" applyFont="1" applyBorder="1" applyAlignment="1">
      <alignment horizontal="left" wrapText="1"/>
    </xf>
    <xf numFmtId="0" fontId="44" fillId="0" borderId="0" xfId="0" applyFont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0" fontId="31" fillId="0" borderId="0" xfId="0" applyFont="1" applyAlignment="1">
      <alignment horizontal="left" vertical="center" wrapText="1"/>
    </xf>
    <xf numFmtId="0" fontId="31" fillId="0" borderId="0" xfId="0" applyFont="1" applyBorder="1" applyAlignment="1">
      <alignment horizontal="right"/>
    </xf>
    <xf numFmtId="0" fontId="32" fillId="0" borderId="0" xfId="0" applyFont="1" applyAlignment="1">
      <alignment horizontal="left" wrapText="1"/>
    </xf>
    <xf numFmtId="0" fontId="19" fillId="0" borderId="2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7" fillId="0" borderId="0" xfId="0" applyFont="1" applyAlignment="1">
      <alignment horizontal="left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right" wrapText="1"/>
    </xf>
    <xf numFmtId="0" fontId="16" fillId="0" borderId="2" xfId="0" applyFont="1" applyBorder="1" applyAlignment="1">
      <alignment horizontal="center" wrapText="1"/>
    </xf>
    <xf numFmtId="0" fontId="38" fillId="0" borderId="0" xfId="0" applyFont="1" applyAlignment="1">
      <alignment horizontal="left"/>
    </xf>
    <xf numFmtId="0" fontId="13" fillId="0" borderId="1" xfId="0" applyFont="1" applyBorder="1" applyAlignment="1">
      <alignment horizontal="right"/>
    </xf>
    <xf numFmtId="0" fontId="16" fillId="0" borderId="8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38" fillId="0" borderId="0" xfId="0" applyFont="1" applyAlignment="1">
      <alignment horizontal="center" wrapText="1"/>
    </xf>
    <xf numFmtId="0" fontId="130" fillId="0" borderId="0" xfId="232" applyFont="1" applyBorder="1" applyAlignment="1">
      <alignment horizontal="center"/>
    </xf>
    <xf numFmtId="0" fontId="129" fillId="0" borderId="8" xfId="0" applyFont="1" applyBorder="1" applyAlignment="1">
      <alignment horizontal="center" vertical="top" wrapText="1"/>
    </xf>
    <xf numFmtId="0" fontId="129" fillId="0" borderId="3" xfId="0" applyFont="1" applyBorder="1" applyAlignment="1">
      <alignment horizontal="center" vertical="top" wrapText="1"/>
    </xf>
    <xf numFmtId="0" fontId="129" fillId="0" borderId="2" xfId="0" applyFont="1" applyBorder="1" applyAlignment="1">
      <alignment horizontal="center"/>
    </xf>
    <xf numFmtId="0" fontId="126" fillId="0" borderId="2" xfId="0" applyFont="1" applyBorder="1" applyAlignment="1">
      <alignment horizontal="center" vertical="top" wrapText="1"/>
    </xf>
    <xf numFmtId="0" fontId="129" fillId="0" borderId="2" xfId="0" applyFont="1" applyBorder="1" applyAlignment="1">
      <alignment horizontal="center" vertical="top" wrapText="1"/>
    </xf>
    <xf numFmtId="0" fontId="129" fillId="0" borderId="5" xfId="0" applyFont="1" applyBorder="1" applyAlignment="1">
      <alignment horizontal="left"/>
    </xf>
    <xf numFmtId="0" fontId="129" fillId="0" borderId="11" xfId="0" applyFont="1" applyBorder="1" applyAlignment="1">
      <alignment horizontal="left"/>
    </xf>
    <xf numFmtId="0" fontId="129" fillId="0" borderId="6" xfId="0" applyFont="1" applyBorder="1" applyAlignment="1">
      <alignment horizontal="left"/>
    </xf>
    <xf numFmtId="0" fontId="129" fillId="0" borderId="2" xfId="232" applyFont="1" applyBorder="1" applyAlignment="1">
      <alignment horizontal="center" vertical="center" wrapText="1"/>
    </xf>
    <xf numFmtId="0" fontId="130" fillId="0" borderId="0" xfId="232" applyFont="1" applyBorder="1" applyAlignment="1">
      <alignment horizontal="right"/>
    </xf>
    <xf numFmtId="0" fontId="189" fillId="0" borderId="2" xfId="0" applyFont="1" applyBorder="1" applyAlignment="1">
      <alignment horizontal="center"/>
    </xf>
    <xf numFmtId="0" fontId="49" fillId="0" borderId="0" xfId="0" applyFont="1" applyAlignment="1">
      <alignment horizontal="center" vertical="top"/>
    </xf>
    <xf numFmtId="0" fontId="124" fillId="0" borderId="49" xfId="0" applyFont="1" applyBorder="1" applyAlignment="1">
      <alignment horizontal="left" vertical="center" textRotation="90"/>
    </xf>
    <xf numFmtId="0" fontId="124" fillId="0" borderId="52" xfId="0" applyFont="1" applyBorder="1" applyAlignment="1">
      <alignment horizontal="left" vertical="center" textRotation="90"/>
    </xf>
    <xf numFmtId="0" fontId="125" fillId="0" borderId="59" xfId="0" applyFont="1" applyBorder="1" applyAlignment="1">
      <alignment horizontal="left" vertical="top"/>
    </xf>
    <xf numFmtId="0" fontId="124" fillId="0" borderId="54" xfId="0" applyFont="1" applyBorder="1" applyAlignment="1">
      <alignment horizontal="left" vertical="center" textRotation="90"/>
    </xf>
    <xf numFmtId="0" fontId="116" fillId="0" borderId="54" xfId="0" applyFont="1" applyBorder="1" applyAlignment="1">
      <alignment vertical="center" textRotation="90"/>
    </xf>
    <xf numFmtId="0" fontId="116" fillId="0" borderId="53" xfId="0" applyFont="1" applyBorder="1" applyAlignment="1">
      <alignment vertical="center" textRotation="90"/>
    </xf>
    <xf numFmtId="0" fontId="124" fillId="0" borderId="50" xfId="0" applyFont="1" applyBorder="1" applyAlignment="1">
      <alignment horizontal="center" vertical="center"/>
    </xf>
    <xf numFmtId="0" fontId="124" fillId="0" borderId="55" xfId="0" applyFont="1" applyBorder="1" applyAlignment="1">
      <alignment horizontal="center" vertical="center"/>
    </xf>
    <xf numFmtId="0" fontId="125" fillId="0" borderId="49" xfId="0" applyFont="1" applyBorder="1" applyAlignment="1">
      <alignment horizontal="left" vertical="top"/>
    </xf>
    <xf numFmtId="0" fontId="125" fillId="0" borderId="50" xfId="0" applyFont="1" applyBorder="1" applyAlignment="1">
      <alignment horizontal="left" vertical="top"/>
    </xf>
    <xf numFmtId="0" fontId="128" fillId="0" borderId="0" xfId="0" applyFont="1" applyBorder="1" applyAlignment="1">
      <alignment horizontal="center"/>
    </xf>
    <xf numFmtId="49" fontId="116" fillId="0" borderId="61" xfId="0" applyNumberFormat="1" applyFont="1" applyBorder="1" applyAlignment="1">
      <alignment horizontal="center" vertical="center" textRotation="88"/>
    </xf>
    <xf numFmtId="0" fontId="130" fillId="0" borderId="58" xfId="0" applyFont="1" applyBorder="1" applyAlignment="1">
      <alignment horizontal="right"/>
    </xf>
    <xf numFmtId="0" fontId="116" fillId="0" borderId="59" xfId="0" applyFont="1" applyBorder="1" applyAlignment="1">
      <alignment horizontal="right"/>
    </xf>
    <xf numFmtId="0" fontId="116" fillId="0" borderId="62" xfId="0" applyFont="1" applyBorder="1" applyAlignment="1">
      <alignment horizontal="center" vertical="center" wrapText="1"/>
    </xf>
    <xf numFmtId="0" fontId="116" fillId="0" borderId="60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wrapText="1"/>
    </xf>
  </cellXfs>
  <cellStyles count="233">
    <cellStyle name="20% - Accent1 2" xfId="1"/>
    <cellStyle name="20% - Accent1 3" xfId="2"/>
    <cellStyle name="20% - Accent1 4" xfId="3"/>
    <cellStyle name="20% - Accent1 5" xfId="4"/>
    <cellStyle name="20% - Accent1 6" xfId="5"/>
    <cellStyle name="20% - Accent2 2" xfId="6"/>
    <cellStyle name="20% - Accent2 3" xfId="7"/>
    <cellStyle name="20% - Accent2 4" xfId="8"/>
    <cellStyle name="20% - Accent2 5" xfId="9"/>
    <cellStyle name="20% - Accent2 6" xfId="10"/>
    <cellStyle name="20% - Accent3 2" xfId="11"/>
    <cellStyle name="20% - Accent3 3" xfId="12"/>
    <cellStyle name="20% - Accent3 4" xfId="13"/>
    <cellStyle name="20% - Accent3 5" xfId="14"/>
    <cellStyle name="20% - Accent3 6" xfId="15"/>
    <cellStyle name="20% - Accent4 2" xfId="16"/>
    <cellStyle name="20% - Accent4 3" xfId="17"/>
    <cellStyle name="20% - Accent4 4" xfId="18"/>
    <cellStyle name="20% - Accent4 5" xfId="19"/>
    <cellStyle name="20% - Accent4 6" xfId="20"/>
    <cellStyle name="20% - Accent5 2" xfId="21"/>
    <cellStyle name="20% - Accent5 3" xfId="22"/>
    <cellStyle name="20% - Accent5 4" xfId="23"/>
    <cellStyle name="20% - Accent5 5" xfId="24"/>
    <cellStyle name="20% - Accent5 6" xfId="25"/>
    <cellStyle name="20% - Accent6 2" xfId="26"/>
    <cellStyle name="20% - Accent6 3" xfId="27"/>
    <cellStyle name="20% - Accent6 4" xfId="28"/>
    <cellStyle name="20% - Accent6 5" xfId="29"/>
    <cellStyle name="20% - Accent6 6" xfId="30"/>
    <cellStyle name="40% - Accent1 2" xfId="31"/>
    <cellStyle name="40% - Accent1 3" xfId="32"/>
    <cellStyle name="40% - Accent1 4" xfId="33"/>
    <cellStyle name="40% - Accent1 5" xfId="34"/>
    <cellStyle name="40% - Accent1 6" xfId="35"/>
    <cellStyle name="40% - Accent2 2" xfId="36"/>
    <cellStyle name="40% - Accent2 3" xfId="37"/>
    <cellStyle name="40% - Accent2 4" xfId="38"/>
    <cellStyle name="40% - Accent2 5" xfId="39"/>
    <cellStyle name="40% - Accent2 6" xfId="40"/>
    <cellStyle name="40% - Accent3 2" xfId="41"/>
    <cellStyle name="40% - Accent3 3" xfId="42"/>
    <cellStyle name="40% - Accent3 4" xfId="43"/>
    <cellStyle name="40% - Accent3 5" xfId="44"/>
    <cellStyle name="40% - Accent3 6" xfId="45"/>
    <cellStyle name="40% - Accent4 2" xfId="46"/>
    <cellStyle name="40% - Accent4 3" xfId="47"/>
    <cellStyle name="40% - Accent4 4" xfId="48"/>
    <cellStyle name="40% - Accent4 5" xfId="49"/>
    <cellStyle name="40% - Accent4 6" xfId="50"/>
    <cellStyle name="40% - Accent5 2" xfId="51"/>
    <cellStyle name="40% - Accent5 3" xfId="52"/>
    <cellStyle name="40% - Accent5 4" xfId="53"/>
    <cellStyle name="40% - Accent5 5" xfId="54"/>
    <cellStyle name="40% - Accent5 6" xfId="55"/>
    <cellStyle name="40% - Accent6 2" xfId="56"/>
    <cellStyle name="40% - Accent6 3" xfId="57"/>
    <cellStyle name="40% - Accent6 4" xfId="58"/>
    <cellStyle name="40% - Accent6 5" xfId="59"/>
    <cellStyle name="40% - Accent6 6" xfId="60"/>
    <cellStyle name="60% - Accent1 2" xfId="61"/>
    <cellStyle name="60% - Accent1 3" xfId="62"/>
    <cellStyle name="60% - Accent1 4" xfId="63"/>
    <cellStyle name="60% - Accent1 5" xfId="64"/>
    <cellStyle name="60% - Accent1 6" xfId="65"/>
    <cellStyle name="60% - Accent2 2" xfId="66"/>
    <cellStyle name="60% - Accent2 3" xfId="67"/>
    <cellStyle name="60% - Accent2 4" xfId="68"/>
    <cellStyle name="60% - Accent2 5" xfId="69"/>
    <cellStyle name="60% - Accent2 6" xfId="70"/>
    <cellStyle name="60% - Accent3 2" xfId="71"/>
    <cellStyle name="60% - Accent3 3" xfId="72"/>
    <cellStyle name="60% - Accent3 4" xfId="73"/>
    <cellStyle name="60% - Accent3 5" xfId="74"/>
    <cellStyle name="60% - Accent3 6" xfId="75"/>
    <cellStyle name="60% - Accent4 2" xfId="76"/>
    <cellStyle name="60% - Accent4 3" xfId="77"/>
    <cellStyle name="60% - Accent4 4" xfId="78"/>
    <cellStyle name="60% - Accent4 5" xfId="79"/>
    <cellStyle name="60% - Accent4 6" xfId="80"/>
    <cellStyle name="60% - Accent5 2" xfId="81"/>
    <cellStyle name="60% - Accent5 3" xfId="82"/>
    <cellStyle name="60% - Accent5 4" xfId="83"/>
    <cellStyle name="60% - Accent5 5" xfId="84"/>
    <cellStyle name="60% - Accent5 6" xfId="85"/>
    <cellStyle name="60% - Accent6 2" xfId="86"/>
    <cellStyle name="60% - Accent6 3" xfId="87"/>
    <cellStyle name="60% - Accent6 4" xfId="88"/>
    <cellStyle name="60% - Accent6 5" xfId="89"/>
    <cellStyle name="60% - Accent6 6" xfId="90"/>
    <cellStyle name="Accent1 2" xfId="91"/>
    <cellStyle name="Accent1 3" xfId="92"/>
    <cellStyle name="Accent1 4" xfId="93"/>
    <cellStyle name="Accent1 5" xfId="94"/>
    <cellStyle name="Accent1 6" xfId="95"/>
    <cellStyle name="Accent2 2" xfId="96"/>
    <cellStyle name="Accent2 3" xfId="97"/>
    <cellStyle name="Accent2 4" xfId="98"/>
    <cellStyle name="Accent2 5" xfId="99"/>
    <cellStyle name="Accent2 6" xfId="100"/>
    <cellStyle name="Accent3 2" xfId="101"/>
    <cellStyle name="Accent3 3" xfId="102"/>
    <cellStyle name="Accent3 4" xfId="103"/>
    <cellStyle name="Accent3 5" xfId="104"/>
    <cellStyle name="Accent3 6" xfId="105"/>
    <cellStyle name="Accent4 2" xfId="106"/>
    <cellStyle name="Accent4 3" xfId="107"/>
    <cellStyle name="Accent4 4" xfId="108"/>
    <cellStyle name="Accent4 5" xfId="109"/>
    <cellStyle name="Accent4 6" xfId="110"/>
    <cellStyle name="Accent5 2" xfId="111"/>
    <cellStyle name="Accent5 3" xfId="112"/>
    <cellStyle name="Accent5 4" xfId="113"/>
    <cellStyle name="Accent5 5" xfId="114"/>
    <cellStyle name="Accent5 6" xfId="115"/>
    <cellStyle name="Accent6 2" xfId="116"/>
    <cellStyle name="Accent6 3" xfId="117"/>
    <cellStyle name="Accent6 4" xfId="118"/>
    <cellStyle name="Accent6 5" xfId="119"/>
    <cellStyle name="Accent6 6" xfId="120"/>
    <cellStyle name="Bad 2" xfId="121"/>
    <cellStyle name="Bad 3" xfId="122"/>
    <cellStyle name="Bad 4" xfId="123"/>
    <cellStyle name="Bad 5" xfId="124"/>
    <cellStyle name="Bad 6" xfId="125"/>
    <cellStyle name="Calculation 2" xfId="126"/>
    <cellStyle name="Calculation 3" xfId="127"/>
    <cellStyle name="Calculation 4" xfId="128"/>
    <cellStyle name="Calculation 5" xfId="129"/>
    <cellStyle name="Calculation 6" xfId="130"/>
    <cellStyle name="Check Cell 2" xfId="131"/>
    <cellStyle name="Check Cell 3" xfId="132"/>
    <cellStyle name="Check Cell 4" xfId="133"/>
    <cellStyle name="Check Cell 5" xfId="134"/>
    <cellStyle name="Check Cell 6" xfId="135"/>
    <cellStyle name="Comma" xfId="136" builtinId="3"/>
    <cellStyle name="Comma 2" xfId="137"/>
    <cellStyle name="Explanatory Text 2" xfId="138"/>
    <cellStyle name="Explanatory Text 3" xfId="139"/>
    <cellStyle name="Explanatory Text 4" xfId="140"/>
    <cellStyle name="Explanatory Text 5" xfId="141"/>
    <cellStyle name="Explanatory Text 6" xfId="142"/>
    <cellStyle name="Followed Hyperlink 2" xfId="143"/>
    <cellStyle name="Followed Hyperlink 3" xfId="144"/>
    <cellStyle name="Followed Hyperlink 4" xfId="145"/>
    <cellStyle name="Followed Hyperlink 5" xfId="146"/>
    <cellStyle name="Followed Hyperlink 6" xfId="147"/>
    <cellStyle name="Good 2" xfId="148"/>
    <cellStyle name="Good 3" xfId="149"/>
    <cellStyle name="Good 4" xfId="150"/>
    <cellStyle name="Good 5" xfId="151"/>
    <cellStyle name="Good 6" xfId="152"/>
    <cellStyle name="Heading 1 2" xfId="153"/>
    <cellStyle name="Heading 1 3" xfId="154"/>
    <cellStyle name="Heading 1 4" xfId="155"/>
    <cellStyle name="Heading 1 5" xfId="156"/>
    <cellStyle name="Heading 1 6" xfId="157"/>
    <cellStyle name="Heading 2 2" xfId="158"/>
    <cellStyle name="Heading 2 3" xfId="159"/>
    <cellStyle name="Heading 2 4" xfId="160"/>
    <cellStyle name="Heading 2 5" xfId="161"/>
    <cellStyle name="Heading 2 6" xfId="162"/>
    <cellStyle name="Heading 3 2" xfId="163"/>
    <cellStyle name="Heading 3 3" xfId="164"/>
    <cellStyle name="Heading 3 4" xfId="165"/>
    <cellStyle name="Heading 3 5" xfId="166"/>
    <cellStyle name="Heading 3 6" xfId="167"/>
    <cellStyle name="Heading 4 2" xfId="168"/>
    <cellStyle name="Heading 4 3" xfId="169"/>
    <cellStyle name="Heading 4 4" xfId="170"/>
    <cellStyle name="Heading 4 5" xfId="171"/>
    <cellStyle name="Heading 4 6" xfId="172"/>
    <cellStyle name="Hyperlink" xfId="173" builtinId="8"/>
    <cellStyle name="Hyperlink 2" xfId="174"/>
    <cellStyle name="Hyperlink 3" xfId="175"/>
    <cellStyle name="Hyperlink 4" xfId="176"/>
    <cellStyle name="Hyperlink 5" xfId="177"/>
    <cellStyle name="Hyperlink 6" xfId="178"/>
    <cellStyle name="Input 2" xfId="179"/>
    <cellStyle name="Input 3" xfId="180"/>
    <cellStyle name="Input 4" xfId="181"/>
    <cellStyle name="Input 5" xfId="182"/>
    <cellStyle name="Input 6" xfId="183"/>
    <cellStyle name="Linked Cell 2" xfId="184"/>
    <cellStyle name="Linked Cell 3" xfId="185"/>
    <cellStyle name="Linked Cell 4" xfId="186"/>
    <cellStyle name="Linked Cell 5" xfId="187"/>
    <cellStyle name="Linked Cell 6" xfId="188"/>
    <cellStyle name="Neutral 2" xfId="189"/>
    <cellStyle name="Neutral 3" xfId="190"/>
    <cellStyle name="Neutral 4" xfId="191"/>
    <cellStyle name="Neutral 5" xfId="192"/>
    <cellStyle name="Neutral 6" xfId="193"/>
    <cellStyle name="Normal" xfId="0" builtinId="0"/>
    <cellStyle name="Normal 10" xfId="194"/>
    <cellStyle name="Normal 13" xfId="195"/>
    <cellStyle name="Normal 14" xfId="232"/>
    <cellStyle name="Normal 2" xfId="196"/>
    <cellStyle name="Normal 2 2" xfId="197"/>
    <cellStyle name="Normal 20" xfId="198"/>
    <cellStyle name="Normal 3 2" xfId="199"/>
    <cellStyle name="Normal 4 2" xfId="200"/>
    <cellStyle name="Normal 5 2" xfId="201"/>
    <cellStyle name="Normal 6" xfId="202"/>
    <cellStyle name="Normal 6 2" xfId="203"/>
    <cellStyle name="Normal 7" xfId="204"/>
    <cellStyle name="Normal 8" xfId="205"/>
    <cellStyle name="Normal 9" xfId="206"/>
    <cellStyle name="Note 2" xfId="207"/>
    <cellStyle name="Note 3" xfId="208"/>
    <cellStyle name="Note 4" xfId="209"/>
    <cellStyle name="Note 5" xfId="210"/>
    <cellStyle name="Note 6" xfId="211"/>
    <cellStyle name="Output 2" xfId="212"/>
    <cellStyle name="Output 3" xfId="213"/>
    <cellStyle name="Output 4" xfId="214"/>
    <cellStyle name="Output 5" xfId="215"/>
    <cellStyle name="Output 6" xfId="216"/>
    <cellStyle name="Title 2" xfId="217"/>
    <cellStyle name="Title 3" xfId="218"/>
    <cellStyle name="Title 4" xfId="219"/>
    <cellStyle name="Title 5" xfId="220"/>
    <cellStyle name="Title 6" xfId="221"/>
    <cellStyle name="Total 2" xfId="222"/>
    <cellStyle name="Total 3" xfId="223"/>
    <cellStyle name="Total 4" xfId="224"/>
    <cellStyle name="Total 5" xfId="225"/>
    <cellStyle name="Total 6" xfId="226"/>
    <cellStyle name="Warning Text 2" xfId="227"/>
    <cellStyle name="Warning Text 3" xfId="228"/>
    <cellStyle name="Warning Text 4" xfId="229"/>
    <cellStyle name="Warning Text 5" xfId="230"/>
    <cellStyle name="Warning Text 6" xfId="231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39</xdr:row>
      <xdr:rowOff>91440</xdr:rowOff>
    </xdr:from>
    <xdr:to>
      <xdr:col>7</xdr:col>
      <xdr:colOff>99060</xdr:colOff>
      <xdr:row>41</xdr:row>
      <xdr:rowOff>678180</xdr:rowOff>
    </xdr:to>
    <xdr:pic>
      <xdr:nvPicPr>
        <xdr:cNvPr id="142594" name="Picture 1562">
          <a:extLst>
            <a:ext uri="{FF2B5EF4-FFF2-40B4-BE49-F238E27FC236}">
              <a16:creationId xmlns:a16="http://schemas.microsoft.com/office/drawing/2014/main" xmlns="" id="{00000000-0008-0000-0000-0000022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84120" y="10607040"/>
          <a:ext cx="861060" cy="10134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8</xdr:col>
      <xdr:colOff>704850</xdr:colOff>
      <xdr:row>23</xdr:row>
      <xdr:rowOff>219075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57225" y="819150"/>
          <a:ext cx="3838575" cy="5114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CR595"/>
  <sheetViews>
    <sheetView showGridLines="0" topLeftCell="A34" zoomScale="80" zoomScaleNormal="80" workbookViewId="0">
      <selection activeCell="V15" sqref="V15"/>
    </sheetView>
  </sheetViews>
  <sheetFormatPr defaultRowHeight="12.75"/>
  <cols>
    <col min="1" max="1" width="0.42578125" style="281" customWidth="1"/>
    <col min="2" max="2" width="4.28515625" style="564" customWidth="1"/>
    <col min="3" max="3" width="5.140625" customWidth="1"/>
    <col min="4" max="4" width="14.7109375" customWidth="1"/>
    <col min="5" max="5" width="7.5703125" customWidth="1"/>
    <col min="6" max="6" width="5.5703125" customWidth="1"/>
    <col min="7" max="7" width="9.7109375" customWidth="1"/>
    <col min="8" max="8" width="9.42578125" customWidth="1"/>
    <col min="9" max="10" width="11.5703125" customWidth="1"/>
    <col min="11" max="11" width="6.85546875" customWidth="1"/>
    <col min="12" max="12" width="4.7109375" style="292" customWidth="1"/>
    <col min="13" max="13" width="3.140625" style="292" customWidth="1"/>
    <col min="14" max="14" width="7.42578125" style="292" customWidth="1"/>
    <col min="15" max="15" width="8.5703125" style="292" customWidth="1"/>
    <col min="16" max="18" width="9.140625" style="292" customWidth="1"/>
    <col min="19" max="19" width="11" style="292" customWidth="1"/>
    <col min="20" max="96" width="9.140625" style="292" customWidth="1"/>
  </cols>
  <sheetData>
    <row r="1" spans="1:20">
      <c r="B1" s="600"/>
      <c r="C1" s="296"/>
      <c r="D1" s="296"/>
      <c r="E1" s="296"/>
      <c r="F1" s="296"/>
      <c r="G1" s="296"/>
      <c r="H1" s="296"/>
      <c r="I1" s="296"/>
      <c r="J1" s="296"/>
      <c r="K1" s="296"/>
    </row>
    <row r="2" spans="1:20">
      <c r="B2" s="601"/>
      <c r="C2" s="296"/>
      <c r="D2" s="296"/>
      <c r="E2" s="296"/>
      <c r="F2" s="296"/>
      <c r="G2" s="296"/>
      <c r="H2" s="296"/>
      <c r="I2" s="296"/>
      <c r="J2" s="296"/>
      <c r="K2" s="296"/>
    </row>
    <row r="3" spans="1:20">
      <c r="B3" s="601"/>
      <c r="C3" s="296"/>
      <c r="D3" s="296"/>
      <c r="E3" s="296"/>
      <c r="F3" s="296"/>
      <c r="G3" s="296"/>
      <c r="H3" s="296"/>
      <c r="I3" s="296"/>
      <c r="J3" s="296"/>
      <c r="K3" s="296"/>
    </row>
    <row r="4" spans="1:20">
      <c r="B4" s="601"/>
      <c r="C4" s="296"/>
      <c r="D4" s="296"/>
      <c r="E4" s="296"/>
      <c r="F4" s="296"/>
      <c r="G4" s="296"/>
      <c r="H4" s="296"/>
      <c r="I4" s="296"/>
      <c r="J4" s="296"/>
      <c r="K4" s="296"/>
      <c r="M4" s="293"/>
    </row>
    <row r="5" spans="1:20" ht="13.5" thickBot="1">
      <c r="B5" s="601"/>
      <c r="C5" s="296"/>
      <c r="D5" s="296"/>
      <c r="E5" s="296"/>
      <c r="F5" s="296"/>
      <c r="G5" s="296"/>
      <c r="H5" s="296"/>
      <c r="I5" s="296"/>
      <c r="J5" s="296"/>
      <c r="K5" s="296"/>
    </row>
    <row r="6" spans="1:20">
      <c r="B6" s="601"/>
      <c r="C6" s="296"/>
      <c r="D6" s="296"/>
      <c r="E6" s="296"/>
      <c r="F6" s="296"/>
      <c r="G6" s="296"/>
      <c r="H6" s="296"/>
      <c r="I6" s="296"/>
      <c r="J6" s="296"/>
      <c r="K6" s="296"/>
      <c r="M6" s="567"/>
      <c r="N6" s="568"/>
      <c r="O6" s="568"/>
      <c r="P6" s="568"/>
      <c r="Q6" s="568"/>
      <c r="R6" s="568"/>
      <c r="S6" s="568"/>
      <c r="T6" s="569"/>
    </row>
    <row r="7" spans="1:20" ht="15.75">
      <c r="A7" s="282"/>
      <c r="B7" s="601"/>
      <c r="C7" s="282"/>
      <c r="D7" s="548"/>
      <c r="E7" s="282"/>
      <c r="F7" s="282"/>
      <c r="G7" s="282"/>
      <c r="H7" s="282"/>
      <c r="I7" s="282"/>
      <c r="J7" s="282"/>
      <c r="K7" s="282"/>
      <c r="M7" s="570"/>
      <c r="N7" s="1227"/>
      <c r="O7" s="1227"/>
      <c r="P7" s="1227"/>
      <c r="Q7" s="1227"/>
      <c r="R7" s="1227"/>
      <c r="S7" s="1227"/>
      <c r="T7" s="571"/>
    </row>
    <row r="8" spans="1:20" ht="21">
      <c r="A8" s="282"/>
      <c r="B8" s="601"/>
      <c r="C8" s="282"/>
      <c r="D8" s="548"/>
      <c r="E8" s="282"/>
      <c r="F8" s="282"/>
      <c r="G8" s="282"/>
      <c r="H8" s="282"/>
      <c r="I8" s="282"/>
      <c r="J8" s="282"/>
      <c r="K8" s="282"/>
      <c r="M8" s="570"/>
      <c r="N8" s="1227"/>
      <c r="O8" s="1227"/>
      <c r="P8" s="1249"/>
      <c r="Q8" s="1250" t="s">
        <v>1254</v>
      </c>
      <c r="R8" s="1249"/>
      <c r="S8" s="1227"/>
      <c r="T8" s="571"/>
    </row>
    <row r="9" spans="1:20" ht="14.25" customHeight="1">
      <c r="A9" s="282"/>
      <c r="B9" s="601"/>
      <c r="C9" s="282"/>
      <c r="D9" s="548"/>
      <c r="E9" s="282"/>
      <c r="F9" s="282"/>
      <c r="G9" s="282"/>
      <c r="H9" s="282"/>
      <c r="I9" s="282"/>
      <c r="J9" s="282"/>
      <c r="K9" s="282"/>
      <c r="M9" s="570"/>
      <c r="N9" s="1227"/>
      <c r="O9" s="1227"/>
      <c r="P9" s="1236"/>
      <c r="Q9" s="1236"/>
      <c r="R9" s="1236"/>
      <c r="S9" s="1227"/>
      <c r="T9" s="571"/>
    </row>
    <row r="10" spans="1:20" ht="18.75" customHeight="1">
      <c r="A10" s="282"/>
      <c r="B10" s="601"/>
      <c r="C10" s="282"/>
      <c r="D10" s="548"/>
      <c r="E10" s="282"/>
      <c r="F10" s="282"/>
      <c r="G10" s="282"/>
      <c r="H10" s="282"/>
      <c r="I10" s="282"/>
      <c r="J10" s="282"/>
      <c r="K10" s="282"/>
      <c r="M10" s="570"/>
      <c r="N10" s="1227"/>
      <c r="O10" s="1227"/>
      <c r="P10" s="1236"/>
      <c r="Q10" s="1251" t="s">
        <v>1255</v>
      </c>
      <c r="R10" s="1236"/>
      <c r="S10" s="1227"/>
      <c r="T10" s="571"/>
    </row>
    <row r="11" spans="1:20" ht="16.5" customHeight="1">
      <c r="A11" s="282"/>
      <c r="B11" s="601"/>
      <c r="C11" s="282"/>
      <c r="D11" s="548"/>
      <c r="E11" s="282"/>
      <c r="F11" s="282"/>
      <c r="G11" s="282"/>
      <c r="H11" s="282"/>
      <c r="I11" s="282"/>
      <c r="J11" s="282"/>
      <c r="K11" s="282"/>
      <c r="M11" s="570"/>
      <c r="N11" s="1638"/>
      <c r="O11" s="1700" t="s">
        <v>2807</v>
      </c>
      <c r="P11" s="1700"/>
      <c r="Q11" s="1700"/>
      <c r="R11" s="1700"/>
      <c r="S11" s="1700"/>
      <c r="T11" s="571"/>
    </row>
    <row r="12" spans="1:20" ht="15" customHeight="1">
      <c r="A12" s="282"/>
      <c r="B12" s="601"/>
      <c r="C12" s="282"/>
      <c r="D12" s="548"/>
      <c r="E12" s="282"/>
      <c r="F12" s="282"/>
      <c r="G12" s="282"/>
      <c r="H12" s="282"/>
      <c r="I12" s="282"/>
      <c r="J12" s="282"/>
      <c r="K12" s="282"/>
      <c r="M12" s="570"/>
      <c r="N12" s="1698" t="s">
        <v>2869</v>
      </c>
      <c r="O12" s="1698"/>
      <c r="P12" s="1698"/>
      <c r="Q12" s="1698"/>
      <c r="R12" s="1698"/>
      <c r="S12" s="1698"/>
      <c r="T12" s="571"/>
    </row>
    <row r="13" spans="1:20" ht="14.25" customHeight="1">
      <c r="A13" s="282"/>
      <c r="B13" s="601"/>
      <c r="C13" s="282"/>
      <c r="D13" s="548"/>
      <c r="E13" s="282"/>
      <c r="F13" s="282"/>
      <c r="G13" s="282"/>
      <c r="H13" s="282"/>
      <c r="I13" s="282"/>
      <c r="J13" s="282"/>
      <c r="K13" s="282"/>
      <c r="M13" s="570"/>
      <c r="N13" s="1638"/>
      <c r="O13" s="1638"/>
      <c r="P13" s="1639"/>
      <c r="Q13" s="1639"/>
      <c r="R13" s="1639"/>
      <c r="S13" s="1638"/>
      <c r="T13" s="571"/>
    </row>
    <row r="14" spans="1:20" ht="11.25" customHeight="1">
      <c r="A14" s="282"/>
      <c r="B14" s="601"/>
      <c r="C14" s="282"/>
      <c r="D14" s="548"/>
      <c r="E14" s="282"/>
      <c r="F14" s="282"/>
      <c r="G14" s="282"/>
      <c r="H14" s="282"/>
      <c r="I14" s="282"/>
      <c r="J14" s="282"/>
      <c r="K14" s="282"/>
      <c r="M14" s="570"/>
      <c r="N14" s="1227"/>
      <c r="O14" s="1227"/>
      <c r="P14" s="1236"/>
      <c r="Q14" s="1236"/>
      <c r="R14" s="1236"/>
      <c r="S14" s="1227"/>
      <c r="T14" s="571"/>
    </row>
    <row r="15" spans="1:20" ht="39.75" customHeight="1">
      <c r="A15" s="282"/>
      <c r="B15" s="601"/>
      <c r="C15" s="282"/>
      <c r="D15" s="548"/>
      <c r="E15" s="282"/>
      <c r="F15" s="1709"/>
      <c r="G15" s="1709"/>
      <c r="H15" s="1709"/>
      <c r="I15" s="1709"/>
      <c r="J15" s="1709"/>
      <c r="K15" s="282"/>
      <c r="M15" s="570"/>
      <c r="N15" s="1227"/>
      <c r="O15" s="1227"/>
      <c r="P15" s="1236"/>
      <c r="Q15" s="1251" t="s">
        <v>1256</v>
      </c>
      <c r="R15" s="1236"/>
      <c r="S15" s="1227"/>
      <c r="T15" s="571"/>
    </row>
    <row r="16" spans="1:20" ht="50.25" customHeight="1">
      <c r="A16" s="282"/>
      <c r="B16" s="601"/>
      <c r="C16" s="282"/>
      <c r="D16" s="548"/>
      <c r="E16" s="1710"/>
      <c r="F16" s="1710"/>
      <c r="G16" s="1710"/>
      <c r="H16" s="1710"/>
      <c r="I16" s="1710"/>
      <c r="J16" s="1710"/>
      <c r="K16" s="1710"/>
      <c r="M16" s="570"/>
      <c r="N16" s="1227"/>
      <c r="O16" s="1227"/>
      <c r="P16" s="1696" t="s">
        <v>2833</v>
      </c>
      <c r="Q16" s="1696"/>
      <c r="R16" s="1696"/>
      <c r="S16" s="1696"/>
      <c r="T16" s="571"/>
    </row>
    <row r="17" spans="1:96" ht="47.25" customHeight="1">
      <c r="A17" s="282"/>
      <c r="B17" s="601"/>
      <c r="C17" s="282"/>
      <c r="D17" s="548"/>
      <c r="E17" s="549"/>
      <c r="F17" s="1701"/>
      <c r="G17" s="1701"/>
      <c r="H17" s="1701"/>
      <c r="I17" s="1701"/>
      <c r="J17" s="1701"/>
      <c r="K17" s="549"/>
      <c r="M17" s="570"/>
      <c r="N17" s="1227"/>
      <c r="O17" s="1227"/>
      <c r="P17" s="1702" t="s">
        <v>2688</v>
      </c>
      <c r="Q17" s="1702"/>
      <c r="R17" s="1702"/>
      <c r="S17" s="1702"/>
      <c r="T17" s="571"/>
    </row>
    <row r="18" spans="1:96" ht="24.75" customHeight="1">
      <c r="A18" s="282"/>
      <c r="B18" s="601"/>
      <c r="C18" s="282"/>
      <c r="D18" s="548"/>
      <c r="E18" s="282"/>
      <c r="F18" s="282"/>
      <c r="G18" s="282"/>
      <c r="H18" s="282"/>
      <c r="I18" s="282"/>
      <c r="J18" s="282"/>
      <c r="K18" s="282"/>
      <c r="M18" s="570"/>
      <c r="N18" s="1227"/>
      <c r="O18" s="1227"/>
      <c r="P18" s="1720" t="s">
        <v>2834</v>
      </c>
      <c r="Q18" s="1720"/>
      <c r="R18" s="1720"/>
      <c r="S18" s="1720"/>
      <c r="T18" s="571"/>
    </row>
    <row r="19" spans="1:96" ht="12" customHeight="1">
      <c r="A19" s="282"/>
      <c r="B19" s="601"/>
      <c r="C19" s="282"/>
      <c r="D19" s="548"/>
      <c r="E19" s="282"/>
      <c r="F19" s="282"/>
      <c r="G19" s="282"/>
      <c r="H19" s="282"/>
      <c r="I19" s="282"/>
      <c r="J19" s="282"/>
      <c r="K19" s="282"/>
      <c r="M19" s="570"/>
      <c r="N19" s="1227"/>
      <c r="O19" s="1227"/>
      <c r="P19" s="1720"/>
      <c r="Q19" s="1720"/>
      <c r="R19" s="1720"/>
      <c r="S19" s="1720"/>
      <c r="T19" s="571"/>
    </row>
    <row r="20" spans="1:96" ht="13.5" customHeight="1">
      <c r="A20" s="282"/>
      <c r="B20" s="601"/>
      <c r="C20" s="282"/>
      <c r="D20" s="548"/>
      <c r="E20" s="282"/>
      <c r="F20" s="282"/>
      <c r="G20" s="282"/>
      <c r="H20" s="282"/>
      <c r="I20" s="282"/>
      <c r="J20" s="282"/>
      <c r="K20" s="282"/>
      <c r="M20" s="570"/>
      <c r="N20" s="1227"/>
      <c r="O20" s="1227"/>
      <c r="P20" s="1720"/>
      <c r="Q20" s="1720"/>
      <c r="R20" s="1720"/>
      <c r="S20" s="1720"/>
      <c r="T20" s="571"/>
    </row>
    <row r="21" spans="1:96" ht="15" customHeight="1">
      <c r="A21" s="282"/>
      <c r="B21" s="601"/>
      <c r="C21" s="282"/>
      <c r="D21" s="548"/>
      <c r="E21" s="282"/>
      <c r="F21" s="282"/>
      <c r="G21" s="282"/>
      <c r="H21" s="282"/>
      <c r="I21" s="282"/>
      <c r="J21" s="282"/>
      <c r="K21" s="282"/>
      <c r="M21" s="570"/>
      <c r="N21" s="1227"/>
      <c r="O21" s="1227"/>
      <c r="P21" s="1695" t="s">
        <v>2802</v>
      </c>
      <c r="Q21" s="1695"/>
      <c r="R21" s="1695"/>
      <c r="S21" s="1695"/>
      <c r="T21" s="571"/>
    </row>
    <row r="22" spans="1:96" ht="16.5" customHeight="1">
      <c r="A22" s="282"/>
      <c r="B22" s="601"/>
      <c r="C22" s="282"/>
      <c r="D22" s="548"/>
      <c r="E22" s="282"/>
      <c r="F22" s="282"/>
      <c r="G22" s="282"/>
      <c r="H22" s="282"/>
      <c r="I22" s="282"/>
      <c r="J22" s="282"/>
      <c r="K22" s="282"/>
      <c r="M22" s="570"/>
      <c r="N22" s="1227"/>
      <c r="O22" s="1227"/>
      <c r="P22" s="1697" t="s">
        <v>2803</v>
      </c>
      <c r="Q22" s="1697"/>
      <c r="R22" s="1697"/>
      <c r="S22" s="1227"/>
      <c r="T22" s="571"/>
      <c r="U22" s="318"/>
    </row>
    <row r="23" spans="1:96" ht="27" customHeight="1">
      <c r="A23" s="282"/>
      <c r="B23" s="601"/>
      <c r="C23" s="282"/>
      <c r="D23" s="548"/>
      <c r="E23" s="282"/>
      <c r="F23" s="282"/>
      <c r="G23" s="282"/>
      <c r="H23" s="282"/>
      <c r="I23" s="282"/>
      <c r="J23" s="282"/>
      <c r="K23" s="282"/>
      <c r="M23" s="570"/>
      <c r="N23" s="1227"/>
      <c r="O23" s="1227"/>
      <c r="P23" s="1695" t="s">
        <v>2801</v>
      </c>
      <c r="Q23" s="1695"/>
      <c r="R23" s="1695"/>
      <c r="S23" s="1695"/>
      <c r="T23" s="571"/>
    </row>
    <row r="24" spans="1:96" ht="49.5" customHeight="1" thickBot="1">
      <c r="A24" s="282"/>
      <c r="B24" s="601"/>
      <c r="C24" s="282"/>
      <c r="D24" s="548"/>
      <c r="E24" s="282"/>
      <c r="F24" s="282"/>
      <c r="G24" s="282"/>
      <c r="H24" s="282"/>
      <c r="I24" s="282"/>
      <c r="J24" s="282"/>
      <c r="K24" s="282"/>
      <c r="M24" s="572"/>
      <c r="N24" s="1232"/>
      <c r="O24" s="1232"/>
      <c r="P24" s="1699" t="s">
        <v>2800</v>
      </c>
      <c r="Q24" s="1699"/>
      <c r="R24" s="1699"/>
      <c r="S24" s="1232"/>
      <c r="T24" s="574"/>
    </row>
    <row r="25" spans="1:96" ht="15" customHeight="1">
      <c r="A25" s="282"/>
      <c r="B25" s="601"/>
      <c r="C25" s="282"/>
      <c r="D25" s="548"/>
      <c r="E25" s="282"/>
      <c r="F25" s="282"/>
      <c r="G25" s="282"/>
      <c r="H25" s="282"/>
      <c r="I25" s="282"/>
      <c r="J25" s="282"/>
      <c r="K25" s="282"/>
    </row>
    <row r="26" spans="1:96" ht="15" customHeight="1">
      <c r="A26" s="282"/>
      <c r="B26" s="601"/>
      <c r="C26" s="282"/>
      <c r="D26" s="548"/>
      <c r="E26" s="282"/>
      <c r="F26" s="282"/>
      <c r="G26" s="282"/>
      <c r="H26" s="282"/>
      <c r="I26" s="282"/>
      <c r="J26" s="282"/>
      <c r="K26" s="282"/>
    </row>
    <row r="27" spans="1:96" ht="15" customHeight="1">
      <c r="A27" s="282"/>
      <c r="B27" s="601"/>
      <c r="C27" s="282"/>
      <c r="D27" s="548"/>
      <c r="E27" s="282"/>
      <c r="F27" s="282"/>
      <c r="G27" s="282"/>
      <c r="H27" s="282"/>
      <c r="I27" s="282"/>
      <c r="J27" s="282"/>
      <c r="K27" s="282"/>
    </row>
    <row r="28" spans="1:96" ht="15" customHeight="1">
      <c r="A28" s="282"/>
      <c r="B28" s="601"/>
      <c r="C28" s="282"/>
      <c r="D28" s="548"/>
      <c r="E28" s="282"/>
      <c r="F28" s="282"/>
      <c r="G28" s="282"/>
      <c r="H28" s="282"/>
      <c r="I28" s="282"/>
      <c r="J28" s="282"/>
      <c r="K28" s="282"/>
    </row>
    <row r="29" spans="1:96" ht="15.75">
      <c r="A29" s="282"/>
      <c r="B29" s="601"/>
      <c r="C29" s="282"/>
      <c r="D29" s="548"/>
      <c r="E29" s="282"/>
      <c r="F29" s="282"/>
      <c r="G29" s="282"/>
      <c r="H29" s="282"/>
      <c r="I29" s="282"/>
      <c r="J29" s="282"/>
      <c r="K29" s="282"/>
      <c r="N29" s="293"/>
      <c r="O29" s="293"/>
      <c r="P29" s="322"/>
      <c r="Q29" s="1721"/>
      <c r="R29" s="1722"/>
      <c r="S29" s="1722"/>
      <c r="T29" s="293"/>
    </row>
    <row r="30" spans="1:96" ht="15.75" thickBot="1">
      <c r="A30" s="282"/>
      <c r="B30" s="601"/>
      <c r="C30" s="282"/>
      <c r="D30" s="548"/>
      <c r="E30" s="282"/>
      <c r="F30" s="282"/>
      <c r="G30" s="282"/>
      <c r="H30" s="282"/>
      <c r="I30" s="282"/>
      <c r="J30" s="282"/>
      <c r="K30" s="282"/>
      <c r="N30" s="293"/>
      <c r="O30" s="293"/>
      <c r="P30" s="293"/>
      <c r="Q30" s="293"/>
      <c r="R30" s="293"/>
      <c r="S30" s="293"/>
      <c r="T30" s="293"/>
    </row>
    <row r="31" spans="1:96" ht="41.25" customHeight="1">
      <c r="A31" s="282"/>
      <c r="B31" s="601"/>
      <c r="C31" s="1252"/>
      <c r="D31" s="1253"/>
      <c r="E31" s="1253"/>
      <c r="F31" s="1253"/>
      <c r="G31" s="1253"/>
      <c r="H31" s="1253"/>
      <c r="I31" s="1253"/>
      <c r="J31" s="1254"/>
      <c r="K31" s="282"/>
      <c r="M31" s="1714" t="s">
        <v>2259</v>
      </c>
      <c r="N31" s="1715"/>
      <c r="O31" s="1715"/>
      <c r="P31" s="1715"/>
      <c r="Q31" s="1715"/>
      <c r="R31" s="1715"/>
      <c r="S31" s="1715"/>
      <c r="T31" s="1716"/>
    </row>
    <row r="32" spans="1:96" s="320" customFormat="1" ht="27.75" customHeight="1">
      <c r="A32" s="317"/>
      <c r="B32" s="601"/>
      <c r="C32" s="1711" t="s">
        <v>1401</v>
      </c>
      <c r="D32" s="1712"/>
      <c r="E32" s="1712"/>
      <c r="F32" s="1712"/>
      <c r="G32" s="1712"/>
      <c r="H32" s="1712"/>
      <c r="I32" s="1712"/>
      <c r="J32" s="1713"/>
      <c r="K32" s="576"/>
      <c r="L32" s="318"/>
      <c r="M32" s="1717"/>
      <c r="N32" s="1718"/>
      <c r="O32" s="1718"/>
      <c r="P32" s="1718"/>
      <c r="Q32" s="1718"/>
      <c r="R32" s="1718"/>
      <c r="S32" s="1718"/>
      <c r="T32" s="1719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  <c r="AN32" s="318"/>
      <c r="AO32" s="318"/>
      <c r="AP32" s="318"/>
      <c r="AQ32" s="318"/>
      <c r="AR32" s="318"/>
      <c r="AS32" s="318"/>
      <c r="AT32" s="318"/>
      <c r="AU32" s="318"/>
      <c r="AV32" s="318"/>
      <c r="AW32" s="318"/>
      <c r="AX32" s="318"/>
      <c r="AY32" s="318"/>
      <c r="AZ32" s="318"/>
      <c r="BA32" s="318"/>
      <c r="BB32" s="318"/>
      <c r="BC32" s="318"/>
      <c r="BD32" s="318"/>
      <c r="BE32" s="318"/>
      <c r="BF32" s="318"/>
      <c r="BG32" s="318"/>
      <c r="BH32" s="318"/>
      <c r="BI32" s="318"/>
      <c r="BJ32" s="318"/>
      <c r="BK32" s="318"/>
      <c r="BL32" s="318"/>
      <c r="BM32" s="318"/>
      <c r="BN32" s="318"/>
      <c r="BO32" s="318"/>
      <c r="BP32" s="318"/>
      <c r="BQ32" s="318"/>
      <c r="BR32" s="318"/>
      <c r="BS32" s="318"/>
      <c r="BT32" s="318"/>
      <c r="BU32" s="318"/>
      <c r="BV32" s="318"/>
      <c r="BW32" s="318"/>
      <c r="BX32" s="318"/>
      <c r="BY32" s="318"/>
      <c r="BZ32" s="318"/>
      <c r="CA32" s="318"/>
      <c r="CB32" s="318"/>
      <c r="CC32" s="318"/>
      <c r="CD32" s="318"/>
      <c r="CE32" s="318"/>
      <c r="CF32" s="318"/>
      <c r="CG32" s="318"/>
      <c r="CH32" s="318"/>
      <c r="CI32" s="318"/>
      <c r="CJ32" s="318"/>
      <c r="CK32" s="318"/>
      <c r="CL32" s="318"/>
      <c r="CM32" s="318"/>
      <c r="CN32" s="318"/>
      <c r="CO32" s="318"/>
      <c r="CP32" s="318"/>
      <c r="CQ32" s="318"/>
      <c r="CR32" s="318"/>
    </row>
    <row r="33" spans="1:96" s="550" customFormat="1" ht="27" customHeight="1">
      <c r="A33" s="317"/>
      <c r="B33" s="551"/>
      <c r="C33" s="1691" t="s">
        <v>1402</v>
      </c>
      <c r="D33" s="1692"/>
      <c r="E33" s="1692"/>
      <c r="F33" s="1692"/>
      <c r="G33" s="1692"/>
      <c r="H33" s="1692"/>
      <c r="I33" s="1692"/>
      <c r="J33" s="1693"/>
      <c r="K33" s="577"/>
      <c r="L33" s="319"/>
      <c r="M33" s="1717"/>
      <c r="N33" s="1718"/>
      <c r="O33" s="1718"/>
      <c r="P33" s="1718"/>
      <c r="Q33" s="1718"/>
      <c r="R33" s="1718"/>
      <c r="S33" s="1718"/>
      <c r="T33" s="17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319"/>
      <c r="AY33" s="319"/>
      <c r="AZ33" s="319"/>
      <c r="BA33" s="319"/>
      <c r="BB33" s="319"/>
      <c r="BC33" s="319"/>
      <c r="BD33" s="319"/>
      <c r="BE33" s="319"/>
      <c r="BF33" s="319"/>
      <c r="BG33" s="319"/>
      <c r="BH33" s="319"/>
      <c r="BI33" s="319"/>
      <c r="BJ33" s="319"/>
      <c r="BK33" s="319"/>
      <c r="BL33" s="319"/>
      <c r="BM33" s="319"/>
      <c r="BN33" s="319"/>
      <c r="BO33" s="319"/>
      <c r="BP33" s="319"/>
      <c r="BQ33" s="319"/>
      <c r="BR33" s="319"/>
      <c r="BS33" s="319"/>
      <c r="BT33" s="319"/>
      <c r="BU33" s="319"/>
      <c r="BV33" s="319"/>
      <c r="BW33" s="319"/>
      <c r="BX33" s="319"/>
      <c r="BY33" s="319"/>
      <c r="BZ33" s="319"/>
      <c r="CA33" s="319"/>
      <c r="CB33" s="319"/>
      <c r="CC33" s="319"/>
      <c r="CD33" s="319"/>
      <c r="CE33" s="319"/>
      <c r="CF33" s="319"/>
      <c r="CG33" s="319"/>
      <c r="CH33" s="319"/>
      <c r="CI33" s="319"/>
      <c r="CJ33" s="319"/>
      <c r="CK33" s="319"/>
      <c r="CL33" s="319"/>
      <c r="CM33" s="319"/>
      <c r="CN33" s="319"/>
      <c r="CO33" s="319"/>
      <c r="CP33" s="319"/>
      <c r="CQ33" s="319"/>
      <c r="CR33" s="319"/>
    </row>
    <row r="34" spans="1:96" s="550" customFormat="1" ht="24.75" customHeight="1">
      <c r="A34" s="317"/>
      <c r="B34" s="551"/>
      <c r="C34" s="1703" t="s">
        <v>2832</v>
      </c>
      <c r="D34" s="1704"/>
      <c r="E34" s="1704"/>
      <c r="F34" s="1704"/>
      <c r="G34" s="1704"/>
      <c r="H34" s="1704"/>
      <c r="I34" s="1704"/>
      <c r="J34" s="1705"/>
      <c r="K34" s="578"/>
      <c r="L34" s="319"/>
      <c r="M34" s="1717"/>
      <c r="N34" s="1718"/>
      <c r="O34" s="1718"/>
      <c r="P34" s="1718"/>
      <c r="Q34" s="1718"/>
      <c r="R34" s="1718"/>
      <c r="S34" s="1718"/>
      <c r="T34" s="17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  <c r="AK34" s="319"/>
      <c r="AL34" s="319"/>
      <c r="AM34" s="319"/>
      <c r="AN34" s="319"/>
      <c r="AO34" s="319"/>
      <c r="AP34" s="319"/>
      <c r="AQ34" s="319"/>
      <c r="AR34" s="319"/>
      <c r="AS34" s="319"/>
      <c r="AT34" s="319"/>
      <c r="AU34" s="319"/>
      <c r="AV34" s="319"/>
      <c r="AW34" s="319"/>
      <c r="AX34" s="319"/>
      <c r="AY34" s="319"/>
      <c r="AZ34" s="319"/>
      <c r="BA34" s="319"/>
      <c r="BB34" s="319"/>
      <c r="BC34" s="319"/>
      <c r="BD34" s="319"/>
      <c r="BE34" s="319"/>
      <c r="BF34" s="319"/>
      <c r="BG34" s="319"/>
      <c r="BH34" s="319"/>
      <c r="BI34" s="319"/>
      <c r="BJ34" s="319"/>
      <c r="BK34" s="319"/>
      <c r="BL34" s="319"/>
      <c r="BM34" s="319"/>
      <c r="BN34" s="319"/>
      <c r="BO34" s="319"/>
      <c r="BP34" s="319"/>
      <c r="BQ34" s="319"/>
      <c r="BR34" s="319"/>
      <c r="BS34" s="319"/>
      <c r="BT34" s="319"/>
      <c r="BU34" s="319"/>
      <c r="BV34" s="319"/>
      <c r="BW34" s="319"/>
      <c r="BX34" s="319"/>
      <c r="BY34" s="319"/>
      <c r="BZ34" s="319"/>
      <c r="CA34" s="319"/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</row>
    <row r="35" spans="1:96" s="550" customFormat="1" ht="33.75" customHeight="1">
      <c r="A35" s="317"/>
      <c r="B35" s="547"/>
      <c r="C35" s="1255"/>
      <c r="D35" s="1256"/>
      <c r="E35" s="1257"/>
      <c r="F35" s="1257"/>
      <c r="G35" s="1257"/>
      <c r="H35" s="1257"/>
      <c r="I35" s="1257"/>
      <c r="J35" s="1258"/>
      <c r="K35" s="566"/>
      <c r="L35" s="319"/>
      <c r="M35" s="1717"/>
      <c r="N35" s="1718"/>
      <c r="O35" s="1718"/>
      <c r="P35" s="1718"/>
      <c r="Q35" s="1718"/>
      <c r="R35" s="1718"/>
      <c r="S35" s="1718"/>
      <c r="T35" s="1719"/>
      <c r="U35" s="319"/>
      <c r="V35" s="319"/>
      <c r="W35" s="319"/>
      <c r="X35" s="319"/>
      <c r="Y35" s="319"/>
      <c r="Z35" s="319"/>
      <c r="AA35" s="319"/>
      <c r="AB35" s="319"/>
      <c r="AC35" s="319"/>
      <c r="AD35" s="319"/>
      <c r="AE35" s="319"/>
      <c r="AF35" s="319"/>
      <c r="AG35" s="319"/>
      <c r="AH35" s="319"/>
      <c r="AI35" s="319"/>
      <c r="AJ35" s="319"/>
      <c r="AK35" s="319"/>
      <c r="AL35" s="319"/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319"/>
      <c r="AY35" s="319"/>
      <c r="AZ35" s="319"/>
      <c r="BA35" s="319"/>
      <c r="BB35" s="319"/>
      <c r="BC35" s="319"/>
      <c r="BD35" s="319"/>
      <c r="BE35" s="319"/>
      <c r="BF35" s="319"/>
      <c r="BG35" s="319"/>
      <c r="BH35" s="319"/>
      <c r="BI35" s="319"/>
      <c r="BJ35" s="319"/>
      <c r="BK35" s="319"/>
      <c r="BL35" s="319"/>
      <c r="BM35" s="319"/>
      <c r="BN35" s="319"/>
      <c r="BO35" s="319"/>
      <c r="BP35" s="319"/>
      <c r="BQ35" s="319"/>
      <c r="BR35" s="319"/>
      <c r="BS35" s="319"/>
      <c r="BT35" s="319"/>
      <c r="BU35" s="319"/>
      <c r="BV35" s="319"/>
      <c r="BW35" s="319"/>
      <c r="BX35" s="319"/>
      <c r="BY35" s="319"/>
      <c r="BZ35" s="319"/>
      <c r="CA35" s="319"/>
      <c r="CB35" s="319"/>
      <c r="CC35" s="319"/>
      <c r="CD35" s="319"/>
      <c r="CE35" s="319"/>
      <c r="CF35" s="319"/>
      <c r="CG35" s="319"/>
      <c r="CH35" s="319"/>
      <c r="CI35" s="319"/>
      <c r="CJ35" s="319"/>
      <c r="CK35" s="319"/>
      <c r="CL35" s="319"/>
      <c r="CM35" s="319"/>
      <c r="CN35" s="319"/>
      <c r="CO35" s="319"/>
      <c r="CP35" s="319"/>
      <c r="CQ35" s="319"/>
      <c r="CR35" s="319"/>
    </row>
    <row r="36" spans="1:96" s="296" customFormat="1" ht="24" customHeight="1">
      <c r="A36" s="282"/>
      <c r="B36" s="547"/>
      <c r="C36" s="1243"/>
      <c r="D36" s="1244"/>
      <c r="E36" s="1244"/>
      <c r="F36" s="1244"/>
      <c r="G36" s="1244"/>
      <c r="H36" s="1244"/>
      <c r="I36" s="1244"/>
      <c r="J36" s="1245"/>
      <c r="K36" s="566"/>
      <c r="L36" s="293"/>
      <c r="M36" s="1717"/>
      <c r="N36" s="1718"/>
      <c r="O36" s="1718"/>
      <c r="P36" s="1718"/>
      <c r="Q36" s="1718"/>
      <c r="R36" s="1718"/>
      <c r="S36" s="1718"/>
      <c r="T36" s="1719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3"/>
      <c r="BI36" s="293"/>
      <c r="BJ36" s="293"/>
      <c r="BK36" s="293"/>
      <c r="BL36" s="293"/>
      <c r="BM36" s="293"/>
      <c r="BN36" s="293"/>
      <c r="BO36" s="293"/>
      <c r="BP36" s="293"/>
      <c r="BQ36" s="293"/>
      <c r="BR36" s="293"/>
      <c r="BS36" s="293"/>
      <c r="BT36" s="293"/>
      <c r="BU36" s="293"/>
      <c r="BV36" s="293"/>
      <c r="BW36" s="293"/>
      <c r="BX36" s="293"/>
      <c r="BY36" s="293"/>
      <c r="BZ36" s="293"/>
      <c r="CA36" s="293"/>
      <c r="CB36" s="293"/>
      <c r="CC36" s="293"/>
      <c r="CD36" s="293"/>
      <c r="CE36" s="293"/>
      <c r="CF36" s="293"/>
      <c r="CG36" s="293"/>
      <c r="CH36" s="293"/>
      <c r="CI36" s="293"/>
      <c r="CJ36" s="293"/>
      <c r="CK36" s="293"/>
      <c r="CL36" s="293"/>
      <c r="CM36" s="293"/>
      <c r="CN36" s="293"/>
      <c r="CO36" s="293"/>
      <c r="CP36" s="293"/>
      <c r="CQ36" s="293"/>
      <c r="CR36" s="293"/>
    </row>
    <row r="37" spans="1:96" s="296" customFormat="1" ht="24" customHeight="1">
      <c r="A37" s="282"/>
      <c r="B37" s="547"/>
      <c r="C37" s="1243"/>
      <c r="D37" s="1244"/>
      <c r="E37" s="1244"/>
      <c r="F37" s="1244"/>
      <c r="G37" s="1244"/>
      <c r="H37" s="1244"/>
      <c r="I37" s="1244"/>
      <c r="J37" s="1245"/>
      <c r="K37" s="566"/>
      <c r="L37" s="293"/>
      <c r="M37" s="1233"/>
      <c r="N37" s="1234"/>
      <c r="O37" s="1706" t="s">
        <v>2799</v>
      </c>
      <c r="P37" s="1707"/>
      <c r="Q37" s="1707"/>
      <c r="R37" s="1707"/>
      <c r="S37" s="1707"/>
      <c r="T37" s="1708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3"/>
      <c r="BI37" s="293"/>
      <c r="BJ37" s="293"/>
      <c r="BK37" s="293"/>
      <c r="BL37" s="293"/>
      <c r="BM37" s="293"/>
      <c r="BN37" s="293"/>
      <c r="BO37" s="293"/>
      <c r="BP37" s="293"/>
      <c r="BQ37" s="293"/>
      <c r="BR37" s="293"/>
      <c r="BS37" s="293"/>
      <c r="BT37" s="293"/>
      <c r="BU37" s="293"/>
      <c r="BV37" s="293"/>
      <c r="BW37" s="293"/>
      <c r="BX37" s="293"/>
      <c r="BY37" s="293"/>
      <c r="BZ37" s="293"/>
      <c r="CA37" s="293"/>
      <c r="CB37" s="293"/>
      <c r="CC37" s="293"/>
      <c r="CD37" s="293"/>
      <c r="CE37" s="293"/>
      <c r="CF37" s="293"/>
      <c r="CG37" s="293"/>
      <c r="CH37" s="293"/>
      <c r="CI37" s="293"/>
      <c r="CJ37" s="293"/>
      <c r="CK37" s="293"/>
      <c r="CL37" s="293"/>
      <c r="CM37" s="293"/>
      <c r="CN37" s="293"/>
      <c r="CO37" s="293"/>
      <c r="CP37" s="293"/>
      <c r="CQ37" s="293"/>
      <c r="CR37" s="293"/>
    </row>
    <row r="38" spans="1:96" s="292" customFormat="1" ht="20.25" customHeight="1">
      <c r="B38" s="564"/>
      <c r="C38" s="1246"/>
      <c r="D38" s="1247"/>
      <c r="E38" s="1247"/>
      <c r="F38" s="1247"/>
      <c r="G38" s="1247"/>
      <c r="H38" s="1247"/>
      <c r="I38" s="1247"/>
      <c r="J38" s="1248"/>
      <c r="K38" s="575"/>
      <c r="M38" s="1235"/>
      <c r="N38" s="1236"/>
      <c r="O38" s="1687" t="s">
        <v>1360</v>
      </c>
      <c r="P38" s="1687"/>
      <c r="Q38" s="1687"/>
      <c r="R38" s="1228"/>
      <c r="S38" s="1228"/>
      <c r="T38" s="1229"/>
    </row>
    <row r="39" spans="1:96" s="292" customFormat="1" ht="19.5" customHeight="1">
      <c r="B39" s="564"/>
      <c r="C39" s="1246"/>
      <c r="D39" s="1247"/>
      <c r="E39" s="1247"/>
      <c r="F39" s="1247"/>
      <c r="G39" s="1247"/>
      <c r="H39" s="1247"/>
      <c r="I39" s="1247"/>
      <c r="J39" s="1248"/>
      <c r="K39" s="575"/>
      <c r="M39" s="1235"/>
      <c r="N39" s="1236"/>
      <c r="O39" s="1687" t="s">
        <v>1257</v>
      </c>
      <c r="P39" s="1687"/>
      <c r="Q39" s="1687"/>
      <c r="R39" s="1230"/>
      <c r="S39" s="1236"/>
      <c r="T39" s="1237"/>
    </row>
    <row r="40" spans="1:96" s="292" customFormat="1" ht="17.25" customHeight="1">
      <c r="B40" s="564"/>
      <c r="C40" s="1246"/>
      <c r="D40" s="1247"/>
      <c r="E40" s="1247"/>
      <c r="F40" s="1247"/>
      <c r="G40" s="1247"/>
      <c r="H40" s="1247"/>
      <c r="I40" s="1247"/>
      <c r="J40" s="1248"/>
      <c r="K40" s="575"/>
      <c r="M40" s="1235"/>
      <c r="N40" s="1231"/>
      <c r="O40" s="1687" t="s">
        <v>1258</v>
      </c>
      <c r="P40" s="1687"/>
      <c r="Q40" s="1687"/>
      <c r="R40" s="1231"/>
      <c r="S40" s="1231"/>
      <c r="T40" s="1237"/>
    </row>
    <row r="41" spans="1:96" s="292" customFormat="1" ht="17.25" customHeight="1">
      <c r="B41" s="564"/>
      <c r="C41" s="1246"/>
      <c r="D41" s="1247"/>
      <c r="E41" s="1247"/>
      <c r="F41" s="1247"/>
      <c r="G41" s="1247"/>
      <c r="H41" s="1247"/>
      <c r="I41" s="1247"/>
      <c r="J41" s="1248"/>
      <c r="K41" s="575"/>
      <c r="M41" s="1238"/>
      <c r="N41" s="1231"/>
      <c r="O41" s="1687" t="s">
        <v>2260</v>
      </c>
      <c r="P41" s="1687"/>
      <c r="Q41" s="1687"/>
      <c r="R41" s="1231"/>
      <c r="S41" s="1231"/>
      <c r="T41" s="1237"/>
    </row>
    <row r="42" spans="1:96" s="292" customFormat="1" ht="60" customHeight="1">
      <c r="B42" s="564"/>
      <c r="C42" s="1246"/>
      <c r="D42" s="1247"/>
      <c r="E42" s="1247"/>
      <c r="F42" s="1247"/>
      <c r="G42" s="1247"/>
      <c r="H42" s="1247"/>
      <c r="I42" s="1247"/>
      <c r="J42" s="1248"/>
      <c r="K42" s="575"/>
      <c r="M42" s="1238"/>
      <c r="N42" s="1231"/>
      <c r="O42" s="1694" t="s">
        <v>2835</v>
      </c>
      <c r="P42" s="1694"/>
      <c r="Q42" s="1694"/>
      <c r="R42" s="1694"/>
      <c r="S42" s="1694"/>
      <c r="T42" s="1237"/>
    </row>
    <row r="43" spans="1:96" s="292" customFormat="1" ht="15.75" customHeight="1">
      <c r="B43" s="564"/>
      <c r="C43" s="1259"/>
      <c r="D43" s="1260"/>
      <c r="E43" s="1260"/>
      <c r="F43" s="1260"/>
      <c r="G43" s="1260"/>
      <c r="H43" s="1260"/>
      <c r="I43" s="1260"/>
      <c r="J43" s="1261"/>
      <c r="K43" s="575"/>
      <c r="M43" s="1238"/>
      <c r="N43" s="1231"/>
      <c r="O43" s="1687" t="s">
        <v>2804</v>
      </c>
      <c r="P43" s="1687"/>
      <c r="Q43" s="1687"/>
      <c r="R43" s="1231"/>
      <c r="S43" s="1231"/>
      <c r="T43" s="1237"/>
    </row>
    <row r="44" spans="1:96" s="292" customFormat="1" ht="22.5" customHeight="1">
      <c r="B44" s="564"/>
      <c r="C44" s="1688" t="s">
        <v>1257</v>
      </c>
      <c r="D44" s="1689"/>
      <c r="E44" s="1689"/>
      <c r="F44" s="1689"/>
      <c r="G44" s="1689"/>
      <c r="H44" s="1689"/>
      <c r="I44" s="1689"/>
      <c r="J44" s="1690"/>
      <c r="K44" s="579"/>
      <c r="M44" s="1238"/>
      <c r="N44" s="1231"/>
      <c r="O44" s="1687" t="s">
        <v>1257</v>
      </c>
      <c r="P44" s="1687"/>
      <c r="Q44" s="1687"/>
      <c r="R44" s="1239"/>
      <c r="S44" s="1231"/>
      <c r="T44" s="1237"/>
    </row>
    <row r="45" spans="1:96" s="292" customFormat="1" ht="18.75" customHeight="1">
      <c r="B45" s="564"/>
      <c r="C45" s="1688" t="s">
        <v>1400</v>
      </c>
      <c r="D45" s="1689"/>
      <c r="E45" s="1689"/>
      <c r="F45" s="1689"/>
      <c r="G45" s="1689"/>
      <c r="H45" s="1689"/>
      <c r="I45" s="1689"/>
      <c r="J45" s="1690"/>
      <c r="K45" s="579"/>
      <c r="M45" s="1235"/>
      <c r="N45" s="1236"/>
      <c r="O45" s="1687" t="s">
        <v>1258</v>
      </c>
      <c r="P45" s="1687"/>
      <c r="Q45" s="1687"/>
      <c r="R45" s="1236"/>
      <c r="S45" s="1236"/>
      <c r="T45" s="1237"/>
    </row>
    <row r="46" spans="1:96" s="292" customFormat="1" ht="14.25" customHeight="1">
      <c r="B46" s="564"/>
      <c r="C46" s="1262"/>
      <c r="D46" s="1263"/>
      <c r="E46" s="1263"/>
      <c r="F46" s="1263"/>
      <c r="G46" s="1263"/>
      <c r="H46" s="1263"/>
      <c r="I46" s="1263"/>
      <c r="J46" s="1264"/>
      <c r="K46" s="293"/>
      <c r="M46" s="1235"/>
      <c r="N46" s="1236"/>
      <c r="O46" s="1687" t="s">
        <v>2805</v>
      </c>
      <c r="P46" s="1687"/>
      <c r="Q46" s="1687"/>
      <c r="R46" s="1236"/>
      <c r="S46" s="1236"/>
      <c r="T46" s="1237"/>
    </row>
    <row r="47" spans="1:96" s="292" customFormat="1" ht="24" customHeight="1" thickBot="1">
      <c r="B47" s="564"/>
      <c r="C47" s="572"/>
      <c r="D47" s="573"/>
      <c r="E47" s="573"/>
      <c r="F47" s="573"/>
      <c r="G47" s="573"/>
      <c r="H47" s="573"/>
      <c r="I47" s="573"/>
      <c r="J47" s="574"/>
      <c r="K47" s="293"/>
      <c r="M47" s="1240"/>
      <c r="N47" s="1241"/>
      <c r="O47" s="1241"/>
      <c r="P47" s="1241"/>
      <c r="Q47" s="1241"/>
      <c r="R47" s="1241"/>
      <c r="S47" s="1241"/>
      <c r="T47" s="1242"/>
    </row>
    <row r="48" spans="1:96" s="292" customFormat="1">
      <c r="B48" s="564"/>
      <c r="C48" s="293"/>
      <c r="D48" s="293"/>
      <c r="E48" s="293"/>
      <c r="F48" s="293"/>
      <c r="G48" s="293"/>
      <c r="H48" s="293"/>
      <c r="I48" s="293"/>
      <c r="J48" s="293"/>
      <c r="K48" s="293"/>
    </row>
    <row r="49" spans="2:2" s="292" customFormat="1">
      <c r="B49" s="564"/>
    </row>
    <row r="50" spans="2:2" s="292" customFormat="1">
      <c r="B50" s="564"/>
    </row>
    <row r="51" spans="2:2" s="292" customFormat="1">
      <c r="B51" s="564"/>
    </row>
    <row r="52" spans="2:2" s="292" customFormat="1">
      <c r="B52" s="564"/>
    </row>
    <row r="53" spans="2:2" s="292" customFormat="1">
      <c r="B53" s="564"/>
    </row>
    <row r="54" spans="2:2" s="292" customFormat="1">
      <c r="B54" s="564"/>
    </row>
    <row r="55" spans="2:2" s="292" customFormat="1">
      <c r="B55" s="564"/>
    </row>
    <row r="56" spans="2:2" s="292" customFormat="1">
      <c r="B56" s="564"/>
    </row>
    <row r="57" spans="2:2" s="292" customFormat="1">
      <c r="B57" s="564"/>
    </row>
    <row r="58" spans="2:2" s="292" customFormat="1">
      <c r="B58" s="564"/>
    </row>
    <row r="59" spans="2:2" s="292" customFormat="1">
      <c r="B59" s="564"/>
    </row>
    <row r="60" spans="2:2" s="292" customFormat="1">
      <c r="B60" s="564"/>
    </row>
    <row r="61" spans="2:2" s="292" customFormat="1">
      <c r="B61" s="564"/>
    </row>
    <row r="62" spans="2:2" s="292" customFormat="1">
      <c r="B62" s="564"/>
    </row>
    <row r="63" spans="2:2" s="292" customFormat="1">
      <c r="B63" s="564"/>
    </row>
    <row r="64" spans="2:2" s="292" customFormat="1">
      <c r="B64" s="564"/>
    </row>
    <row r="65" spans="2:2" s="292" customFormat="1">
      <c r="B65" s="564"/>
    </row>
    <row r="66" spans="2:2" s="292" customFormat="1">
      <c r="B66" s="564"/>
    </row>
    <row r="67" spans="2:2" s="292" customFormat="1">
      <c r="B67" s="564"/>
    </row>
    <row r="68" spans="2:2" s="292" customFormat="1">
      <c r="B68" s="564"/>
    </row>
    <row r="69" spans="2:2" s="292" customFormat="1">
      <c r="B69" s="564"/>
    </row>
    <row r="70" spans="2:2" s="292" customFormat="1">
      <c r="B70" s="564"/>
    </row>
    <row r="71" spans="2:2" s="292" customFormat="1">
      <c r="B71" s="564"/>
    </row>
    <row r="72" spans="2:2" s="292" customFormat="1">
      <c r="B72" s="564"/>
    </row>
    <row r="73" spans="2:2" s="292" customFormat="1">
      <c r="B73" s="564"/>
    </row>
    <row r="74" spans="2:2" s="292" customFormat="1">
      <c r="B74" s="564"/>
    </row>
    <row r="75" spans="2:2" s="292" customFormat="1">
      <c r="B75" s="564"/>
    </row>
    <row r="76" spans="2:2" s="292" customFormat="1">
      <c r="B76" s="564"/>
    </row>
    <row r="77" spans="2:2" s="292" customFormat="1">
      <c r="B77" s="564"/>
    </row>
    <row r="78" spans="2:2" s="292" customFormat="1">
      <c r="B78" s="564"/>
    </row>
    <row r="79" spans="2:2" s="292" customFormat="1">
      <c r="B79" s="564"/>
    </row>
    <row r="80" spans="2:2" s="292" customFormat="1">
      <c r="B80" s="564"/>
    </row>
    <row r="81" spans="2:2" s="292" customFormat="1">
      <c r="B81" s="564"/>
    </row>
    <row r="82" spans="2:2" s="292" customFormat="1">
      <c r="B82" s="564"/>
    </row>
    <row r="83" spans="2:2" s="292" customFormat="1">
      <c r="B83" s="564"/>
    </row>
    <row r="84" spans="2:2" s="292" customFormat="1">
      <c r="B84" s="564"/>
    </row>
    <row r="85" spans="2:2" s="292" customFormat="1">
      <c r="B85" s="564"/>
    </row>
    <row r="86" spans="2:2" s="292" customFormat="1">
      <c r="B86" s="564"/>
    </row>
    <row r="87" spans="2:2" s="292" customFormat="1">
      <c r="B87" s="564"/>
    </row>
    <row r="88" spans="2:2" s="292" customFormat="1">
      <c r="B88" s="564"/>
    </row>
    <row r="89" spans="2:2" s="292" customFormat="1">
      <c r="B89" s="564"/>
    </row>
    <row r="90" spans="2:2" s="292" customFormat="1">
      <c r="B90" s="564"/>
    </row>
    <row r="91" spans="2:2" s="292" customFormat="1">
      <c r="B91" s="564"/>
    </row>
    <row r="92" spans="2:2" s="292" customFormat="1">
      <c r="B92" s="564"/>
    </row>
    <row r="93" spans="2:2" s="292" customFormat="1">
      <c r="B93" s="564"/>
    </row>
    <row r="94" spans="2:2" s="292" customFormat="1">
      <c r="B94" s="564"/>
    </row>
    <row r="95" spans="2:2" s="292" customFormat="1">
      <c r="B95" s="564"/>
    </row>
    <row r="96" spans="2:2" s="292" customFormat="1">
      <c r="B96" s="564"/>
    </row>
    <row r="97" spans="2:2" s="292" customFormat="1">
      <c r="B97" s="564"/>
    </row>
    <row r="98" spans="2:2" s="292" customFormat="1">
      <c r="B98" s="564"/>
    </row>
    <row r="99" spans="2:2" s="292" customFormat="1">
      <c r="B99" s="564"/>
    </row>
    <row r="100" spans="2:2" s="292" customFormat="1">
      <c r="B100" s="564"/>
    </row>
    <row r="101" spans="2:2" s="292" customFormat="1">
      <c r="B101" s="564"/>
    </row>
    <row r="102" spans="2:2" s="292" customFormat="1">
      <c r="B102" s="564"/>
    </row>
    <row r="103" spans="2:2" s="292" customFormat="1">
      <c r="B103" s="564"/>
    </row>
    <row r="104" spans="2:2" s="292" customFormat="1">
      <c r="B104" s="564"/>
    </row>
    <row r="105" spans="2:2" s="292" customFormat="1">
      <c r="B105" s="564"/>
    </row>
    <row r="106" spans="2:2" s="292" customFormat="1">
      <c r="B106" s="564"/>
    </row>
    <row r="107" spans="2:2" s="292" customFormat="1">
      <c r="B107" s="564"/>
    </row>
    <row r="108" spans="2:2" s="292" customFormat="1">
      <c r="B108" s="564"/>
    </row>
    <row r="109" spans="2:2" s="292" customFormat="1">
      <c r="B109" s="564"/>
    </row>
    <row r="110" spans="2:2" s="292" customFormat="1">
      <c r="B110" s="564"/>
    </row>
    <row r="111" spans="2:2" s="292" customFormat="1">
      <c r="B111" s="564"/>
    </row>
    <row r="112" spans="2:2" s="292" customFormat="1">
      <c r="B112" s="564"/>
    </row>
    <row r="113" spans="2:2" s="292" customFormat="1">
      <c r="B113" s="564"/>
    </row>
    <row r="114" spans="2:2" s="292" customFormat="1">
      <c r="B114" s="564"/>
    </row>
    <row r="115" spans="2:2" s="292" customFormat="1">
      <c r="B115" s="564"/>
    </row>
    <row r="116" spans="2:2" s="292" customFormat="1">
      <c r="B116" s="564"/>
    </row>
    <row r="117" spans="2:2" s="292" customFormat="1">
      <c r="B117" s="564"/>
    </row>
    <row r="118" spans="2:2" s="292" customFormat="1">
      <c r="B118" s="564"/>
    </row>
    <row r="119" spans="2:2" s="292" customFormat="1">
      <c r="B119" s="564"/>
    </row>
    <row r="120" spans="2:2" s="292" customFormat="1">
      <c r="B120" s="564"/>
    </row>
    <row r="121" spans="2:2" s="292" customFormat="1">
      <c r="B121" s="564"/>
    </row>
    <row r="122" spans="2:2" s="292" customFormat="1">
      <c r="B122" s="564"/>
    </row>
    <row r="123" spans="2:2" s="292" customFormat="1">
      <c r="B123" s="564"/>
    </row>
    <row r="124" spans="2:2" s="292" customFormat="1">
      <c r="B124" s="564"/>
    </row>
    <row r="125" spans="2:2" s="292" customFormat="1">
      <c r="B125" s="564"/>
    </row>
    <row r="126" spans="2:2" s="292" customFormat="1">
      <c r="B126" s="564"/>
    </row>
    <row r="127" spans="2:2" s="292" customFormat="1">
      <c r="B127" s="564"/>
    </row>
    <row r="128" spans="2:2" s="292" customFormat="1">
      <c r="B128" s="564"/>
    </row>
    <row r="129" spans="2:2" s="292" customFormat="1">
      <c r="B129" s="564"/>
    </row>
    <row r="130" spans="2:2" s="292" customFormat="1">
      <c r="B130" s="564"/>
    </row>
    <row r="131" spans="2:2" s="292" customFormat="1">
      <c r="B131" s="564"/>
    </row>
    <row r="132" spans="2:2" s="292" customFormat="1">
      <c r="B132" s="564"/>
    </row>
    <row r="133" spans="2:2" s="292" customFormat="1">
      <c r="B133" s="564"/>
    </row>
    <row r="134" spans="2:2" s="292" customFormat="1">
      <c r="B134" s="564"/>
    </row>
    <row r="135" spans="2:2" s="292" customFormat="1">
      <c r="B135" s="564"/>
    </row>
    <row r="136" spans="2:2" s="292" customFormat="1">
      <c r="B136" s="564"/>
    </row>
    <row r="137" spans="2:2" s="292" customFormat="1">
      <c r="B137" s="564"/>
    </row>
    <row r="138" spans="2:2" s="292" customFormat="1">
      <c r="B138" s="564"/>
    </row>
    <row r="139" spans="2:2" s="292" customFormat="1">
      <c r="B139" s="564"/>
    </row>
    <row r="140" spans="2:2" s="292" customFormat="1">
      <c r="B140" s="564"/>
    </row>
    <row r="141" spans="2:2" s="292" customFormat="1">
      <c r="B141" s="564"/>
    </row>
    <row r="142" spans="2:2" s="292" customFormat="1">
      <c r="B142" s="564"/>
    </row>
    <row r="143" spans="2:2" s="292" customFormat="1">
      <c r="B143" s="564"/>
    </row>
    <row r="144" spans="2:2" s="292" customFormat="1">
      <c r="B144" s="564"/>
    </row>
    <row r="145" spans="2:2" s="292" customFormat="1">
      <c r="B145" s="564"/>
    </row>
    <row r="146" spans="2:2" s="292" customFormat="1">
      <c r="B146" s="564"/>
    </row>
    <row r="147" spans="2:2" s="292" customFormat="1">
      <c r="B147" s="564"/>
    </row>
    <row r="148" spans="2:2" s="292" customFormat="1">
      <c r="B148" s="564"/>
    </row>
    <row r="149" spans="2:2" s="292" customFormat="1">
      <c r="B149" s="564"/>
    </row>
    <row r="150" spans="2:2" s="292" customFormat="1">
      <c r="B150" s="564"/>
    </row>
    <row r="151" spans="2:2" s="292" customFormat="1">
      <c r="B151" s="564"/>
    </row>
    <row r="152" spans="2:2" s="292" customFormat="1">
      <c r="B152" s="564"/>
    </row>
    <row r="153" spans="2:2" s="292" customFormat="1">
      <c r="B153" s="564"/>
    </row>
    <row r="154" spans="2:2" s="292" customFormat="1">
      <c r="B154" s="564"/>
    </row>
    <row r="155" spans="2:2" s="292" customFormat="1">
      <c r="B155" s="564"/>
    </row>
    <row r="156" spans="2:2" s="292" customFormat="1">
      <c r="B156" s="564"/>
    </row>
    <row r="157" spans="2:2" s="292" customFormat="1">
      <c r="B157" s="564"/>
    </row>
    <row r="158" spans="2:2" s="292" customFormat="1">
      <c r="B158" s="564"/>
    </row>
    <row r="159" spans="2:2" s="292" customFormat="1">
      <c r="B159" s="564"/>
    </row>
    <row r="160" spans="2:2" s="292" customFormat="1">
      <c r="B160" s="564"/>
    </row>
    <row r="161" spans="2:2" s="292" customFormat="1">
      <c r="B161" s="564"/>
    </row>
    <row r="162" spans="2:2" s="292" customFormat="1">
      <c r="B162" s="564"/>
    </row>
    <row r="163" spans="2:2" s="292" customFormat="1">
      <c r="B163" s="564"/>
    </row>
    <row r="164" spans="2:2" s="292" customFormat="1">
      <c r="B164" s="564"/>
    </row>
    <row r="165" spans="2:2" s="292" customFormat="1">
      <c r="B165" s="564"/>
    </row>
    <row r="166" spans="2:2" s="292" customFormat="1">
      <c r="B166" s="564"/>
    </row>
    <row r="167" spans="2:2" s="292" customFormat="1">
      <c r="B167" s="564"/>
    </row>
    <row r="168" spans="2:2" s="292" customFormat="1">
      <c r="B168" s="564"/>
    </row>
    <row r="169" spans="2:2" s="292" customFormat="1">
      <c r="B169" s="564"/>
    </row>
    <row r="170" spans="2:2" s="292" customFormat="1">
      <c r="B170" s="564"/>
    </row>
    <row r="171" spans="2:2" s="292" customFormat="1">
      <c r="B171" s="564"/>
    </row>
    <row r="172" spans="2:2" s="292" customFormat="1">
      <c r="B172" s="564"/>
    </row>
    <row r="173" spans="2:2" s="292" customFormat="1">
      <c r="B173" s="564"/>
    </row>
    <row r="174" spans="2:2" s="292" customFormat="1">
      <c r="B174" s="564"/>
    </row>
    <row r="175" spans="2:2" s="292" customFormat="1">
      <c r="B175" s="564"/>
    </row>
    <row r="176" spans="2:2" s="292" customFormat="1">
      <c r="B176" s="564"/>
    </row>
    <row r="177" spans="2:2" s="292" customFormat="1">
      <c r="B177" s="564"/>
    </row>
    <row r="178" spans="2:2" s="292" customFormat="1">
      <c r="B178" s="564"/>
    </row>
    <row r="179" spans="2:2" s="292" customFormat="1">
      <c r="B179" s="564"/>
    </row>
    <row r="180" spans="2:2" s="292" customFormat="1">
      <c r="B180" s="564"/>
    </row>
    <row r="181" spans="2:2" s="292" customFormat="1">
      <c r="B181" s="564"/>
    </row>
    <row r="182" spans="2:2" s="292" customFormat="1">
      <c r="B182" s="564"/>
    </row>
    <row r="183" spans="2:2" s="292" customFormat="1">
      <c r="B183" s="564"/>
    </row>
    <row r="184" spans="2:2" s="292" customFormat="1">
      <c r="B184" s="564"/>
    </row>
    <row r="185" spans="2:2" s="292" customFormat="1">
      <c r="B185" s="564"/>
    </row>
    <row r="186" spans="2:2" s="292" customFormat="1">
      <c r="B186" s="564"/>
    </row>
    <row r="187" spans="2:2" s="292" customFormat="1">
      <c r="B187" s="564"/>
    </row>
    <row r="188" spans="2:2" s="292" customFormat="1">
      <c r="B188" s="564"/>
    </row>
    <row r="189" spans="2:2" s="292" customFormat="1">
      <c r="B189" s="564"/>
    </row>
    <row r="190" spans="2:2" s="292" customFormat="1">
      <c r="B190" s="564"/>
    </row>
    <row r="191" spans="2:2" s="292" customFormat="1">
      <c r="B191" s="564"/>
    </row>
    <row r="192" spans="2:2" s="292" customFormat="1">
      <c r="B192" s="564"/>
    </row>
    <row r="193" spans="2:2" s="292" customFormat="1">
      <c r="B193" s="564"/>
    </row>
    <row r="194" spans="2:2" s="292" customFormat="1">
      <c r="B194" s="564"/>
    </row>
    <row r="195" spans="2:2" s="292" customFormat="1">
      <c r="B195" s="564"/>
    </row>
    <row r="196" spans="2:2" s="292" customFormat="1">
      <c r="B196" s="564"/>
    </row>
    <row r="197" spans="2:2" s="292" customFormat="1">
      <c r="B197" s="564"/>
    </row>
    <row r="198" spans="2:2" s="292" customFormat="1">
      <c r="B198" s="564"/>
    </row>
    <row r="199" spans="2:2" s="292" customFormat="1">
      <c r="B199" s="564"/>
    </row>
    <row r="200" spans="2:2" s="292" customFormat="1">
      <c r="B200" s="564"/>
    </row>
    <row r="201" spans="2:2" s="292" customFormat="1">
      <c r="B201" s="564"/>
    </row>
    <row r="202" spans="2:2" s="292" customFormat="1">
      <c r="B202" s="564"/>
    </row>
    <row r="203" spans="2:2" s="292" customFormat="1">
      <c r="B203" s="564"/>
    </row>
    <row r="204" spans="2:2" s="292" customFormat="1">
      <c r="B204" s="564"/>
    </row>
    <row r="205" spans="2:2" s="292" customFormat="1">
      <c r="B205" s="564"/>
    </row>
    <row r="206" spans="2:2" s="292" customFormat="1">
      <c r="B206" s="564"/>
    </row>
    <row r="207" spans="2:2" s="292" customFormat="1">
      <c r="B207" s="564"/>
    </row>
    <row r="208" spans="2:2" s="292" customFormat="1">
      <c r="B208" s="564"/>
    </row>
    <row r="209" spans="2:2" s="292" customFormat="1">
      <c r="B209" s="564"/>
    </row>
    <row r="210" spans="2:2" s="292" customFormat="1">
      <c r="B210" s="564"/>
    </row>
    <row r="211" spans="2:2" s="292" customFormat="1">
      <c r="B211" s="564"/>
    </row>
    <row r="212" spans="2:2" s="292" customFormat="1">
      <c r="B212" s="564"/>
    </row>
    <row r="213" spans="2:2" s="292" customFormat="1">
      <c r="B213" s="564"/>
    </row>
    <row r="214" spans="2:2" s="292" customFormat="1">
      <c r="B214" s="564"/>
    </row>
    <row r="215" spans="2:2" s="292" customFormat="1">
      <c r="B215" s="564"/>
    </row>
    <row r="216" spans="2:2" s="292" customFormat="1">
      <c r="B216" s="564"/>
    </row>
    <row r="217" spans="2:2" s="292" customFormat="1">
      <c r="B217" s="564"/>
    </row>
    <row r="218" spans="2:2" s="292" customFormat="1">
      <c r="B218" s="564"/>
    </row>
    <row r="219" spans="2:2" s="292" customFormat="1">
      <c r="B219" s="564"/>
    </row>
    <row r="220" spans="2:2" s="292" customFormat="1">
      <c r="B220" s="564"/>
    </row>
    <row r="221" spans="2:2" s="292" customFormat="1">
      <c r="B221" s="564"/>
    </row>
    <row r="222" spans="2:2" s="292" customFormat="1">
      <c r="B222" s="564"/>
    </row>
    <row r="223" spans="2:2" s="292" customFormat="1">
      <c r="B223" s="564"/>
    </row>
    <row r="224" spans="2:2" s="292" customFormat="1">
      <c r="B224" s="564"/>
    </row>
    <row r="225" spans="2:2" s="292" customFormat="1">
      <c r="B225" s="564"/>
    </row>
    <row r="226" spans="2:2" s="292" customFormat="1">
      <c r="B226" s="564"/>
    </row>
    <row r="227" spans="2:2" s="292" customFormat="1">
      <c r="B227" s="564"/>
    </row>
    <row r="228" spans="2:2" s="292" customFormat="1">
      <c r="B228" s="564"/>
    </row>
    <row r="229" spans="2:2" s="292" customFormat="1">
      <c r="B229" s="564"/>
    </row>
    <row r="230" spans="2:2" s="292" customFormat="1">
      <c r="B230" s="564"/>
    </row>
    <row r="231" spans="2:2" s="292" customFormat="1">
      <c r="B231" s="564"/>
    </row>
    <row r="232" spans="2:2" s="292" customFormat="1">
      <c r="B232" s="564"/>
    </row>
    <row r="233" spans="2:2" s="292" customFormat="1">
      <c r="B233" s="564"/>
    </row>
    <row r="234" spans="2:2" s="292" customFormat="1">
      <c r="B234" s="564"/>
    </row>
    <row r="235" spans="2:2" s="292" customFormat="1">
      <c r="B235" s="564"/>
    </row>
    <row r="236" spans="2:2" s="292" customFormat="1">
      <c r="B236" s="564"/>
    </row>
    <row r="237" spans="2:2" s="292" customFormat="1">
      <c r="B237" s="564"/>
    </row>
    <row r="238" spans="2:2" s="292" customFormat="1">
      <c r="B238" s="564"/>
    </row>
    <row r="239" spans="2:2" s="292" customFormat="1">
      <c r="B239" s="564"/>
    </row>
    <row r="240" spans="2:2" s="292" customFormat="1">
      <c r="B240" s="564"/>
    </row>
    <row r="241" spans="2:2" s="292" customFormat="1">
      <c r="B241" s="564"/>
    </row>
    <row r="242" spans="2:2" s="292" customFormat="1">
      <c r="B242" s="564"/>
    </row>
    <row r="243" spans="2:2" s="292" customFormat="1">
      <c r="B243" s="564"/>
    </row>
    <row r="244" spans="2:2" s="292" customFormat="1">
      <c r="B244" s="564"/>
    </row>
    <row r="245" spans="2:2" s="292" customFormat="1">
      <c r="B245" s="564"/>
    </row>
    <row r="246" spans="2:2" s="292" customFormat="1">
      <c r="B246" s="564"/>
    </row>
    <row r="247" spans="2:2" s="292" customFormat="1">
      <c r="B247" s="564"/>
    </row>
    <row r="248" spans="2:2" s="292" customFormat="1">
      <c r="B248" s="564"/>
    </row>
    <row r="249" spans="2:2" s="292" customFormat="1">
      <c r="B249" s="564"/>
    </row>
    <row r="250" spans="2:2" s="292" customFormat="1">
      <c r="B250" s="564"/>
    </row>
    <row r="251" spans="2:2" s="292" customFormat="1">
      <c r="B251" s="564"/>
    </row>
    <row r="252" spans="2:2" s="292" customFormat="1">
      <c r="B252" s="564"/>
    </row>
    <row r="253" spans="2:2" s="292" customFormat="1">
      <c r="B253" s="564"/>
    </row>
    <row r="254" spans="2:2" s="292" customFormat="1">
      <c r="B254" s="564"/>
    </row>
    <row r="255" spans="2:2" s="292" customFormat="1">
      <c r="B255" s="564"/>
    </row>
    <row r="256" spans="2:2" s="292" customFormat="1">
      <c r="B256" s="564"/>
    </row>
    <row r="257" spans="2:2" s="292" customFormat="1">
      <c r="B257" s="564"/>
    </row>
    <row r="258" spans="2:2" s="292" customFormat="1">
      <c r="B258" s="564"/>
    </row>
    <row r="259" spans="2:2" s="292" customFormat="1">
      <c r="B259" s="564"/>
    </row>
    <row r="260" spans="2:2" s="292" customFormat="1">
      <c r="B260" s="564"/>
    </row>
    <row r="261" spans="2:2" s="292" customFormat="1">
      <c r="B261" s="564"/>
    </row>
    <row r="262" spans="2:2" s="292" customFormat="1">
      <c r="B262" s="564"/>
    </row>
    <row r="263" spans="2:2" s="292" customFormat="1">
      <c r="B263" s="564"/>
    </row>
    <row r="264" spans="2:2" s="292" customFormat="1">
      <c r="B264" s="564"/>
    </row>
    <row r="265" spans="2:2" s="292" customFormat="1">
      <c r="B265" s="564"/>
    </row>
    <row r="266" spans="2:2" s="292" customFormat="1">
      <c r="B266" s="564"/>
    </row>
    <row r="267" spans="2:2" s="292" customFormat="1">
      <c r="B267" s="564"/>
    </row>
    <row r="268" spans="2:2" s="292" customFormat="1">
      <c r="B268" s="564"/>
    </row>
    <row r="269" spans="2:2" s="292" customFormat="1">
      <c r="B269" s="564"/>
    </row>
    <row r="270" spans="2:2" s="292" customFormat="1">
      <c r="B270" s="564"/>
    </row>
    <row r="271" spans="2:2" s="292" customFormat="1">
      <c r="B271" s="564"/>
    </row>
    <row r="272" spans="2:2" s="292" customFormat="1">
      <c r="B272" s="564"/>
    </row>
    <row r="273" spans="2:2" s="292" customFormat="1">
      <c r="B273" s="564"/>
    </row>
    <row r="274" spans="2:2" s="292" customFormat="1">
      <c r="B274" s="564"/>
    </row>
    <row r="275" spans="2:2" s="292" customFormat="1">
      <c r="B275" s="564"/>
    </row>
    <row r="276" spans="2:2" s="292" customFormat="1">
      <c r="B276" s="564"/>
    </row>
    <row r="277" spans="2:2" s="292" customFormat="1">
      <c r="B277" s="564"/>
    </row>
    <row r="278" spans="2:2" s="292" customFormat="1">
      <c r="B278" s="564"/>
    </row>
    <row r="279" spans="2:2" s="292" customFormat="1">
      <c r="B279" s="564"/>
    </row>
    <row r="280" spans="2:2" s="292" customFormat="1">
      <c r="B280" s="564"/>
    </row>
    <row r="281" spans="2:2" s="292" customFormat="1">
      <c r="B281" s="564"/>
    </row>
    <row r="282" spans="2:2" s="292" customFormat="1">
      <c r="B282" s="564"/>
    </row>
    <row r="283" spans="2:2" s="292" customFormat="1">
      <c r="B283" s="564"/>
    </row>
    <row r="284" spans="2:2" s="292" customFormat="1">
      <c r="B284" s="564"/>
    </row>
    <row r="285" spans="2:2" s="292" customFormat="1">
      <c r="B285" s="564"/>
    </row>
    <row r="286" spans="2:2" s="292" customFormat="1">
      <c r="B286" s="564"/>
    </row>
    <row r="287" spans="2:2" s="292" customFormat="1">
      <c r="B287" s="564"/>
    </row>
    <row r="288" spans="2:2" s="292" customFormat="1">
      <c r="B288" s="564"/>
    </row>
    <row r="289" spans="2:2" s="292" customFormat="1">
      <c r="B289" s="564"/>
    </row>
    <row r="290" spans="2:2" s="292" customFormat="1">
      <c r="B290" s="564"/>
    </row>
    <row r="291" spans="2:2" s="292" customFormat="1">
      <c r="B291" s="564"/>
    </row>
    <row r="292" spans="2:2" s="292" customFormat="1">
      <c r="B292" s="564"/>
    </row>
    <row r="293" spans="2:2" s="292" customFormat="1">
      <c r="B293" s="564"/>
    </row>
    <row r="294" spans="2:2" s="292" customFormat="1">
      <c r="B294" s="564"/>
    </row>
    <row r="295" spans="2:2" s="292" customFormat="1">
      <c r="B295" s="564"/>
    </row>
    <row r="296" spans="2:2" s="292" customFormat="1">
      <c r="B296" s="564"/>
    </row>
    <row r="297" spans="2:2" s="292" customFormat="1">
      <c r="B297" s="564"/>
    </row>
    <row r="298" spans="2:2" s="292" customFormat="1">
      <c r="B298" s="564"/>
    </row>
    <row r="299" spans="2:2" s="292" customFormat="1">
      <c r="B299" s="564"/>
    </row>
    <row r="300" spans="2:2" s="292" customFormat="1">
      <c r="B300" s="564"/>
    </row>
    <row r="301" spans="2:2" s="292" customFormat="1">
      <c r="B301" s="564"/>
    </row>
    <row r="302" spans="2:2" s="292" customFormat="1">
      <c r="B302" s="564"/>
    </row>
    <row r="303" spans="2:2" s="292" customFormat="1">
      <c r="B303" s="564"/>
    </row>
    <row r="304" spans="2:2" s="292" customFormat="1">
      <c r="B304" s="564"/>
    </row>
    <row r="305" spans="2:2" s="292" customFormat="1">
      <c r="B305" s="564"/>
    </row>
    <row r="306" spans="2:2" s="292" customFormat="1">
      <c r="B306" s="564"/>
    </row>
    <row r="307" spans="2:2" s="292" customFormat="1">
      <c r="B307" s="564"/>
    </row>
    <row r="308" spans="2:2" s="292" customFormat="1">
      <c r="B308" s="564"/>
    </row>
    <row r="309" spans="2:2" s="292" customFormat="1">
      <c r="B309" s="564"/>
    </row>
    <row r="310" spans="2:2" s="292" customFormat="1">
      <c r="B310" s="564"/>
    </row>
    <row r="311" spans="2:2" s="292" customFormat="1">
      <c r="B311" s="564"/>
    </row>
    <row r="312" spans="2:2" s="292" customFormat="1">
      <c r="B312" s="564"/>
    </row>
    <row r="313" spans="2:2" s="292" customFormat="1">
      <c r="B313" s="564"/>
    </row>
    <row r="314" spans="2:2" s="292" customFormat="1">
      <c r="B314" s="564"/>
    </row>
    <row r="315" spans="2:2" s="292" customFormat="1">
      <c r="B315" s="564"/>
    </row>
    <row r="316" spans="2:2" s="292" customFormat="1">
      <c r="B316" s="564"/>
    </row>
    <row r="317" spans="2:2" s="292" customFormat="1">
      <c r="B317" s="564"/>
    </row>
    <row r="318" spans="2:2" s="292" customFormat="1">
      <c r="B318" s="564"/>
    </row>
    <row r="319" spans="2:2" s="292" customFormat="1">
      <c r="B319" s="564"/>
    </row>
    <row r="320" spans="2:2" s="292" customFormat="1">
      <c r="B320" s="564"/>
    </row>
    <row r="321" spans="2:2" s="292" customFormat="1">
      <c r="B321" s="564"/>
    </row>
    <row r="322" spans="2:2" s="292" customFormat="1">
      <c r="B322" s="564"/>
    </row>
    <row r="323" spans="2:2" s="292" customFormat="1">
      <c r="B323" s="564"/>
    </row>
    <row r="324" spans="2:2" s="292" customFormat="1">
      <c r="B324" s="564"/>
    </row>
    <row r="325" spans="2:2" s="292" customFormat="1">
      <c r="B325" s="564"/>
    </row>
    <row r="326" spans="2:2" s="292" customFormat="1">
      <c r="B326" s="564"/>
    </row>
    <row r="327" spans="2:2" s="292" customFormat="1">
      <c r="B327" s="564"/>
    </row>
    <row r="328" spans="2:2" s="292" customFormat="1">
      <c r="B328" s="564"/>
    </row>
    <row r="329" spans="2:2" s="292" customFormat="1">
      <c r="B329" s="564"/>
    </row>
    <row r="330" spans="2:2" s="292" customFormat="1">
      <c r="B330" s="564"/>
    </row>
    <row r="331" spans="2:2" s="292" customFormat="1">
      <c r="B331" s="564"/>
    </row>
    <row r="332" spans="2:2" s="292" customFormat="1">
      <c r="B332" s="564"/>
    </row>
    <row r="333" spans="2:2" s="292" customFormat="1">
      <c r="B333" s="564"/>
    </row>
    <row r="334" spans="2:2" s="292" customFormat="1">
      <c r="B334" s="564"/>
    </row>
    <row r="335" spans="2:2" s="292" customFormat="1">
      <c r="B335" s="564"/>
    </row>
    <row r="336" spans="2:2" s="292" customFormat="1">
      <c r="B336" s="564"/>
    </row>
    <row r="337" spans="2:2" s="292" customFormat="1">
      <c r="B337" s="564"/>
    </row>
    <row r="338" spans="2:2" s="292" customFormat="1">
      <c r="B338" s="564"/>
    </row>
    <row r="339" spans="2:2" s="292" customFormat="1">
      <c r="B339" s="564"/>
    </row>
    <row r="340" spans="2:2" s="292" customFormat="1">
      <c r="B340" s="564"/>
    </row>
    <row r="341" spans="2:2" s="292" customFormat="1">
      <c r="B341" s="564"/>
    </row>
    <row r="342" spans="2:2" s="292" customFormat="1">
      <c r="B342" s="564"/>
    </row>
    <row r="343" spans="2:2" s="292" customFormat="1">
      <c r="B343" s="564"/>
    </row>
    <row r="344" spans="2:2" s="292" customFormat="1">
      <c r="B344" s="564"/>
    </row>
    <row r="345" spans="2:2" s="292" customFormat="1">
      <c r="B345" s="564"/>
    </row>
    <row r="346" spans="2:2" s="292" customFormat="1">
      <c r="B346" s="564"/>
    </row>
    <row r="347" spans="2:2" s="292" customFormat="1">
      <c r="B347" s="564"/>
    </row>
    <row r="348" spans="2:2" s="292" customFormat="1">
      <c r="B348" s="564"/>
    </row>
    <row r="349" spans="2:2" s="292" customFormat="1">
      <c r="B349" s="564"/>
    </row>
    <row r="350" spans="2:2" s="292" customFormat="1">
      <c r="B350" s="564"/>
    </row>
    <row r="351" spans="2:2" s="292" customFormat="1">
      <c r="B351" s="564"/>
    </row>
    <row r="352" spans="2:2" s="292" customFormat="1">
      <c r="B352" s="564"/>
    </row>
    <row r="353" spans="2:2" s="292" customFormat="1">
      <c r="B353" s="564"/>
    </row>
    <row r="354" spans="2:2" s="292" customFormat="1">
      <c r="B354" s="564"/>
    </row>
    <row r="355" spans="2:2" s="292" customFormat="1">
      <c r="B355" s="564"/>
    </row>
    <row r="356" spans="2:2" s="292" customFormat="1">
      <c r="B356" s="564"/>
    </row>
    <row r="357" spans="2:2" s="292" customFormat="1">
      <c r="B357" s="564"/>
    </row>
    <row r="358" spans="2:2" s="292" customFormat="1">
      <c r="B358" s="564"/>
    </row>
    <row r="359" spans="2:2" s="292" customFormat="1">
      <c r="B359" s="564"/>
    </row>
    <row r="360" spans="2:2" s="292" customFormat="1">
      <c r="B360" s="564"/>
    </row>
    <row r="361" spans="2:2" s="292" customFormat="1">
      <c r="B361" s="564"/>
    </row>
    <row r="362" spans="2:2" s="292" customFormat="1">
      <c r="B362" s="564"/>
    </row>
    <row r="363" spans="2:2" s="292" customFormat="1">
      <c r="B363" s="564"/>
    </row>
    <row r="364" spans="2:2" s="292" customFormat="1">
      <c r="B364" s="564"/>
    </row>
    <row r="365" spans="2:2" s="292" customFormat="1">
      <c r="B365" s="564"/>
    </row>
    <row r="366" spans="2:2" s="292" customFormat="1">
      <c r="B366" s="564"/>
    </row>
    <row r="367" spans="2:2" s="292" customFormat="1">
      <c r="B367" s="564"/>
    </row>
    <row r="368" spans="2:2" s="292" customFormat="1">
      <c r="B368" s="564"/>
    </row>
    <row r="369" spans="2:2" s="292" customFormat="1">
      <c r="B369" s="564"/>
    </row>
    <row r="370" spans="2:2" s="292" customFormat="1">
      <c r="B370" s="564"/>
    </row>
    <row r="371" spans="2:2" s="292" customFormat="1">
      <c r="B371" s="564"/>
    </row>
    <row r="372" spans="2:2" s="292" customFormat="1">
      <c r="B372" s="564"/>
    </row>
    <row r="373" spans="2:2" s="292" customFormat="1">
      <c r="B373" s="564"/>
    </row>
    <row r="374" spans="2:2" s="292" customFormat="1">
      <c r="B374" s="564"/>
    </row>
    <row r="375" spans="2:2" s="292" customFormat="1">
      <c r="B375" s="564"/>
    </row>
    <row r="376" spans="2:2" s="292" customFormat="1">
      <c r="B376" s="564"/>
    </row>
    <row r="377" spans="2:2" s="292" customFormat="1">
      <c r="B377" s="564"/>
    </row>
    <row r="378" spans="2:2" s="292" customFormat="1">
      <c r="B378" s="564"/>
    </row>
    <row r="379" spans="2:2" s="292" customFormat="1">
      <c r="B379" s="564"/>
    </row>
    <row r="380" spans="2:2" s="292" customFormat="1">
      <c r="B380" s="564"/>
    </row>
    <row r="381" spans="2:2" s="292" customFormat="1">
      <c r="B381" s="564"/>
    </row>
    <row r="382" spans="2:2" s="292" customFormat="1">
      <c r="B382" s="564"/>
    </row>
    <row r="383" spans="2:2" s="292" customFormat="1">
      <c r="B383" s="564"/>
    </row>
    <row r="384" spans="2:2" s="292" customFormat="1">
      <c r="B384" s="564"/>
    </row>
    <row r="385" spans="2:2" s="292" customFormat="1">
      <c r="B385" s="564"/>
    </row>
    <row r="386" spans="2:2" s="292" customFormat="1">
      <c r="B386" s="564"/>
    </row>
    <row r="387" spans="2:2" s="292" customFormat="1">
      <c r="B387" s="564"/>
    </row>
    <row r="388" spans="2:2" s="292" customFormat="1">
      <c r="B388" s="564"/>
    </row>
    <row r="389" spans="2:2" s="292" customFormat="1">
      <c r="B389" s="564"/>
    </row>
    <row r="390" spans="2:2" s="292" customFormat="1">
      <c r="B390" s="564"/>
    </row>
    <row r="391" spans="2:2" s="292" customFormat="1">
      <c r="B391" s="564"/>
    </row>
    <row r="392" spans="2:2" s="292" customFormat="1">
      <c r="B392" s="564"/>
    </row>
    <row r="393" spans="2:2" s="292" customFormat="1">
      <c r="B393" s="564"/>
    </row>
    <row r="394" spans="2:2" s="292" customFormat="1">
      <c r="B394" s="564"/>
    </row>
    <row r="395" spans="2:2" s="292" customFormat="1">
      <c r="B395" s="564"/>
    </row>
    <row r="396" spans="2:2" s="292" customFormat="1">
      <c r="B396" s="564"/>
    </row>
    <row r="397" spans="2:2" s="292" customFormat="1">
      <c r="B397" s="564"/>
    </row>
    <row r="398" spans="2:2" s="292" customFormat="1">
      <c r="B398" s="564"/>
    </row>
    <row r="399" spans="2:2" s="292" customFormat="1">
      <c r="B399" s="564"/>
    </row>
    <row r="400" spans="2:2" s="292" customFormat="1">
      <c r="B400" s="564"/>
    </row>
    <row r="401" spans="2:2" s="292" customFormat="1">
      <c r="B401" s="564"/>
    </row>
    <row r="402" spans="2:2" s="292" customFormat="1">
      <c r="B402" s="564"/>
    </row>
    <row r="403" spans="2:2" s="292" customFormat="1">
      <c r="B403" s="564"/>
    </row>
    <row r="404" spans="2:2" s="292" customFormat="1">
      <c r="B404" s="564"/>
    </row>
    <row r="405" spans="2:2" s="292" customFormat="1">
      <c r="B405" s="564"/>
    </row>
    <row r="406" spans="2:2" s="292" customFormat="1">
      <c r="B406" s="564"/>
    </row>
    <row r="407" spans="2:2" s="292" customFormat="1">
      <c r="B407" s="564"/>
    </row>
    <row r="408" spans="2:2" s="292" customFormat="1">
      <c r="B408" s="564"/>
    </row>
    <row r="409" spans="2:2" s="292" customFormat="1">
      <c r="B409" s="564"/>
    </row>
    <row r="410" spans="2:2" s="292" customFormat="1">
      <c r="B410" s="564"/>
    </row>
    <row r="411" spans="2:2" s="292" customFormat="1">
      <c r="B411" s="564"/>
    </row>
    <row r="412" spans="2:2" s="292" customFormat="1">
      <c r="B412" s="564"/>
    </row>
    <row r="413" spans="2:2" s="292" customFormat="1">
      <c r="B413" s="564"/>
    </row>
    <row r="414" spans="2:2" s="292" customFormat="1">
      <c r="B414" s="564"/>
    </row>
    <row r="415" spans="2:2" s="292" customFormat="1">
      <c r="B415" s="564"/>
    </row>
    <row r="416" spans="2:2" s="292" customFormat="1">
      <c r="B416" s="564"/>
    </row>
    <row r="417" spans="2:2" s="292" customFormat="1">
      <c r="B417" s="564"/>
    </row>
    <row r="418" spans="2:2" s="292" customFormat="1">
      <c r="B418" s="564"/>
    </row>
    <row r="419" spans="2:2" s="292" customFormat="1">
      <c r="B419" s="564"/>
    </row>
    <row r="420" spans="2:2" s="292" customFormat="1">
      <c r="B420" s="564"/>
    </row>
    <row r="421" spans="2:2" s="292" customFormat="1">
      <c r="B421" s="564"/>
    </row>
    <row r="422" spans="2:2" s="292" customFormat="1">
      <c r="B422" s="564"/>
    </row>
    <row r="423" spans="2:2" s="292" customFormat="1">
      <c r="B423" s="564"/>
    </row>
    <row r="424" spans="2:2" s="292" customFormat="1">
      <c r="B424" s="564"/>
    </row>
    <row r="425" spans="2:2" s="292" customFormat="1">
      <c r="B425" s="564"/>
    </row>
    <row r="426" spans="2:2" s="292" customFormat="1">
      <c r="B426" s="564"/>
    </row>
    <row r="427" spans="2:2" s="292" customFormat="1">
      <c r="B427" s="564"/>
    </row>
    <row r="428" spans="2:2" s="292" customFormat="1">
      <c r="B428" s="564"/>
    </row>
    <row r="429" spans="2:2" s="292" customFormat="1">
      <c r="B429" s="564"/>
    </row>
    <row r="430" spans="2:2" s="292" customFormat="1">
      <c r="B430" s="564"/>
    </row>
    <row r="431" spans="2:2" s="292" customFormat="1">
      <c r="B431" s="564"/>
    </row>
    <row r="432" spans="2:2" s="292" customFormat="1">
      <c r="B432" s="564"/>
    </row>
    <row r="433" spans="2:2" s="292" customFormat="1">
      <c r="B433" s="564"/>
    </row>
    <row r="434" spans="2:2" s="292" customFormat="1">
      <c r="B434" s="564"/>
    </row>
    <row r="435" spans="2:2" s="292" customFormat="1">
      <c r="B435" s="564"/>
    </row>
    <row r="436" spans="2:2" s="292" customFormat="1">
      <c r="B436" s="564"/>
    </row>
    <row r="437" spans="2:2" s="292" customFormat="1">
      <c r="B437" s="564"/>
    </row>
    <row r="438" spans="2:2" s="292" customFormat="1">
      <c r="B438" s="564"/>
    </row>
    <row r="439" spans="2:2" s="292" customFormat="1">
      <c r="B439" s="564"/>
    </row>
    <row r="440" spans="2:2" s="292" customFormat="1">
      <c r="B440" s="564"/>
    </row>
    <row r="441" spans="2:2" s="292" customFormat="1">
      <c r="B441" s="564"/>
    </row>
    <row r="442" spans="2:2" s="292" customFormat="1">
      <c r="B442" s="564"/>
    </row>
    <row r="443" spans="2:2" s="292" customFormat="1">
      <c r="B443" s="564"/>
    </row>
    <row r="444" spans="2:2" s="292" customFormat="1">
      <c r="B444" s="564"/>
    </row>
    <row r="445" spans="2:2" s="292" customFormat="1">
      <c r="B445" s="564"/>
    </row>
    <row r="446" spans="2:2" s="292" customFormat="1">
      <c r="B446" s="564"/>
    </row>
    <row r="447" spans="2:2" s="292" customFormat="1">
      <c r="B447" s="564"/>
    </row>
    <row r="448" spans="2:2" s="292" customFormat="1">
      <c r="B448" s="564"/>
    </row>
    <row r="449" spans="2:2" s="292" customFormat="1">
      <c r="B449" s="564"/>
    </row>
    <row r="450" spans="2:2" s="292" customFormat="1">
      <c r="B450" s="564"/>
    </row>
    <row r="451" spans="2:2" s="292" customFormat="1">
      <c r="B451" s="564"/>
    </row>
    <row r="452" spans="2:2" s="292" customFormat="1">
      <c r="B452" s="564"/>
    </row>
    <row r="453" spans="2:2" s="292" customFormat="1">
      <c r="B453" s="564"/>
    </row>
    <row r="454" spans="2:2" s="292" customFormat="1">
      <c r="B454" s="564"/>
    </row>
    <row r="455" spans="2:2" s="292" customFormat="1">
      <c r="B455" s="564"/>
    </row>
    <row r="456" spans="2:2" s="292" customFormat="1">
      <c r="B456" s="564"/>
    </row>
    <row r="457" spans="2:2" s="292" customFormat="1">
      <c r="B457" s="564"/>
    </row>
    <row r="458" spans="2:2" s="292" customFormat="1">
      <c r="B458" s="564"/>
    </row>
    <row r="459" spans="2:2" s="292" customFormat="1">
      <c r="B459" s="564"/>
    </row>
    <row r="460" spans="2:2" s="292" customFormat="1">
      <c r="B460" s="564"/>
    </row>
    <row r="461" spans="2:2" s="292" customFormat="1">
      <c r="B461" s="564"/>
    </row>
    <row r="462" spans="2:2" s="292" customFormat="1">
      <c r="B462" s="564"/>
    </row>
    <row r="463" spans="2:2" s="292" customFormat="1">
      <c r="B463" s="564"/>
    </row>
    <row r="464" spans="2:2" s="292" customFormat="1">
      <c r="B464" s="564"/>
    </row>
    <row r="465" spans="2:2" s="292" customFormat="1">
      <c r="B465" s="564"/>
    </row>
    <row r="466" spans="2:2" s="292" customFormat="1">
      <c r="B466" s="564"/>
    </row>
    <row r="467" spans="2:2" s="292" customFormat="1">
      <c r="B467" s="564"/>
    </row>
    <row r="468" spans="2:2" s="292" customFormat="1">
      <c r="B468" s="564"/>
    </row>
    <row r="469" spans="2:2" s="292" customFormat="1">
      <c r="B469" s="564"/>
    </row>
    <row r="470" spans="2:2" s="292" customFormat="1">
      <c r="B470" s="564"/>
    </row>
    <row r="471" spans="2:2" s="292" customFormat="1">
      <c r="B471" s="564"/>
    </row>
    <row r="472" spans="2:2" s="292" customFormat="1">
      <c r="B472" s="564"/>
    </row>
    <row r="473" spans="2:2" s="292" customFormat="1">
      <c r="B473" s="564"/>
    </row>
    <row r="474" spans="2:2" s="292" customFormat="1">
      <c r="B474" s="564"/>
    </row>
    <row r="475" spans="2:2" s="292" customFormat="1">
      <c r="B475" s="564"/>
    </row>
    <row r="476" spans="2:2" s="292" customFormat="1">
      <c r="B476" s="564"/>
    </row>
    <row r="477" spans="2:2" s="292" customFormat="1">
      <c r="B477" s="564"/>
    </row>
    <row r="478" spans="2:2" s="292" customFormat="1">
      <c r="B478" s="564"/>
    </row>
    <row r="479" spans="2:2" s="292" customFormat="1">
      <c r="B479" s="564"/>
    </row>
    <row r="480" spans="2:2" s="292" customFormat="1">
      <c r="B480" s="564"/>
    </row>
    <row r="481" spans="2:2" s="292" customFormat="1">
      <c r="B481" s="564"/>
    </row>
    <row r="482" spans="2:2" s="292" customFormat="1">
      <c r="B482" s="564"/>
    </row>
    <row r="483" spans="2:2" s="292" customFormat="1">
      <c r="B483" s="564"/>
    </row>
    <row r="484" spans="2:2" s="292" customFormat="1">
      <c r="B484" s="564"/>
    </row>
    <row r="485" spans="2:2" s="292" customFormat="1">
      <c r="B485" s="564"/>
    </row>
    <row r="486" spans="2:2" s="292" customFormat="1">
      <c r="B486" s="564"/>
    </row>
    <row r="487" spans="2:2" s="292" customFormat="1">
      <c r="B487" s="564"/>
    </row>
    <row r="488" spans="2:2" s="292" customFormat="1">
      <c r="B488" s="564"/>
    </row>
    <row r="489" spans="2:2" s="292" customFormat="1">
      <c r="B489" s="564"/>
    </row>
    <row r="490" spans="2:2" s="292" customFormat="1">
      <c r="B490" s="564"/>
    </row>
    <row r="491" spans="2:2" s="292" customFormat="1">
      <c r="B491" s="564"/>
    </row>
    <row r="492" spans="2:2" s="292" customFormat="1">
      <c r="B492" s="564"/>
    </row>
    <row r="493" spans="2:2" s="292" customFormat="1">
      <c r="B493" s="564"/>
    </row>
    <row r="494" spans="2:2" s="292" customFormat="1">
      <c r="B494" s="564"/>
    </row>
    <row r="495" spans="2:2" s="292" customFormat="1">
      <c r="B495" s="564"/>
    </row>
    <row r="496" spans="2:2" s="292" customFormat="1">
      <c r="B496" s="564"/>
    </row>
    <row r="497" spans="2:2" s="292" customFormat="1">
      <c r="B497" s="564"/>
    </row>
    <row r="498" spans="2:2" s="292" customFormat="1">
      <c r="B498" s="564"/>
    </row>
    <row r="499" spans="2:2" s="292" customFormat="1">
      <c r="B499" s="564"/>
    </row>
    <row r="500" spans="2:2" s="292" customFormat="1">
      <c r="B500" s="564"/>
    </row>
    <row r="501" spans="2:2" s="292" customFormat="1">
      <c r="B501" s="564"/>
    </row>
    <row r="502" spans="2:2" s="292" customFormat="1">
      <c r="B502" s="564"/>
    </row>
    <row r="503" spans="2:2" s="292" customFormat="1">
      <c r="B503" s="564"/>
    </row>
    <row r="504" spans="2:2" s="292" customFormat="1">
      <c r="B504" s="564"/>
    </row>
    <row r="505" spans="2:2" s="292" customFormat="1">
      <c r="B505" s="564"/>
    </row>
    <row r="506" spans="2:2" s="292" customFormat="1">
      <c r="B506" s="564"/>
    </row>
    <row r="507" spans="2:2" s="292" customFormat="1">
      <c r="B507" s="564"/>
    </row>
    <row r="508" spans="2:2" s="292" customFormat="1">
      <c r="B508" s="564"/>
    </row>
    <row r="509" spans="2:2" s="292" customFormat="1">
      <c r="B509" s="564"/>
    </row>
    <row r="510" spans="2:2" s="292" customFormat="1">
      <c r="B510" s="564"/>
    </row>
    <row r="511" spans="2:2" s="292" customFormat="1">
      <c r="B511" s="564"/>
    </row>
    <row r="512" spans="2:2" s="292" customFormat="1">
      <c r="B512" s="564"/>
    </row>
    <row r="513" spans="2:2" s="292" customFormat="1">
      <c r="B513" s="564"/>
    </row>
    <row r="514" spans="2:2" s="292" customFormat="1">
      <c r="B514" s="564"/>
    </row>
    <row r="515" spans="2:2" s="292" customFormat="1">
      <c r="B515" s="564"/>
    </row>
    <row r="516" spans="2:2" s="292" customFormat="1">
      <c r="B516" s="564"/>
    </row>
    <row r="517" spans="2:2" s="292" customFormat="1">
      <c r="B517" s="564"/>
    </row>
    <row r="518" spans="2:2" s="292" customFormat="1">
      <c r="B518" s="564"/>
    </row>
    <row r="519" spans="2:2" s="292" customFormat="1">
      <c r="B519" s="564"/>
    </row>
    <row r="520" spans="2:2" s="292" customFormat="1">
      <c r="B520" s="564"/>
    </row>
    <row r="521" spans="2:2" s="292" customFormat="1">
      <c r="B521" s="564"/>
    </row>
    <row r="522" spans="2:2" s="292" customFormat="1">
      <c r="B522" s="564"/>
    </row>
    <row r="523" spans="2:2" s="292" customFormat="1">
      <c r="B523" s="564"/>
    </row>
    <row r="524" spans="2:2" s="292" customFormat="1">
      <c r="B524" s="564"/>
    </row>
    <row r="525" spans="2:2" s="292" customFormat="1">
      <c r="B525" s="564"/>
    </row>
    <row r="526" spans="2:2" s="292" customFormat="1">
      <c r="B526" s="564"/>
    </row>
    <row r="527" spans="2:2" s="292" customFormat="1">
      <c r="B527" s="564"/>
    </row>
    <row r="528" spans="2:2" s="292" customFormat="1">
      <c r="B528" s="564"/>
    </row>
    <row r="529" spans="2:2" s="292" customFormat="1">
      <c r="B529" s="564"/>
    </row>
    <row r="530" spans="2:2" s="292" customFormat="1">
      <c r="B530" s="564"/>
    </row>
    <row r="531" spans="2:2" s="292" customFormat="1">
      <c r="B531" s="564"/>
    </row>
    <row r="532" spans="2:2" s="292" customFormat="1">
      <c r="B532" s="564"/>
    </row>
    <row r="533" spans="2:2" s="292" customFormat="1">
      <c r="B533" s="564"/>
    </row>
    <row r="534" spans="2:2" s="292" customFormat="1">
      <c r="B534" s="564"/>
    </row>
    <row r="535" spans="2:2" s="292" customFormat="1">
      <c r="B535" s="564"/>
    </row>
    <row r="536" spans="2:2" s="292" customFormat="1">
      <c r="B536" s="564"/>
    </row>
    <row r="537" spans="2:2" s="292" customFormat="1">
      <c r="B537" s="564"/>
    </row>
    <row r="538" spans="2:2" s="292" customFormat="1">
      <c r="B538" s="564"/>
    </row>
    <row r="539" spans="2:2" s="292" customFormat="1">
      <c r="B539" s="564"/>
    </row>
    <row r="540" spans="2:2" s="292" customFormat="1">
      <c r="B540" s="564"/>
    </row>
    <row r="541" spans="2:2" s="292" customFormat="1">
      <c r="B541" s="564"/>
    </row>
    <row r="542" spans="2:2" s="292" customFormat="1">
      <c r="B542" s="564"/>
    </row>
    <row r="543" spans="2:2" s="292" customFormat="1">
      <c r="B543" s="564"/>
    </row>
    <row r="544" spans="2:2" s="292" customFormat="1">
      <c r="B544" s="564"/>
    </row>
    <row r="545" spans="2:2" s="292" customFormat="1">
      <c r="B545" s="564"/>
    </row>
    <row r="546" spans="2:2" s="292" customFormat="1">
      <c r="B546" s="564"/>
    </row>
    <row r="547" spans="2:2" s="292" customFormat="1">
      <c r="B547" s="564"/>
    </row>
    <row r="548" spans="2:2" s="292" customFormat="1">
      <c r="B548" s="564"/>
    </row>
    <row r="549" spans="2:2" s="292" customFormat="1">
      <c r="B549" s="564"/>
    </row>
    <row r="550" spans="2:2" s="292" customFormat="1">
      <c r="B550" s="564"/>
    </row>
    <row r="551" spans="2:2" s="292" customFormat="1">
      <c r="B551" s="564"/>
    </row>
    <row r="552" spans="2:2" s="292" customFormat="1">
      <c r="B552" s="564"/>
    </row>
    <row r="553" spans="2:2" s="292" customFormat="1">
      <c r="B553" s="564"/>
    </row>
    <row r="554" spans="2:2" s="292" customFormat="1">
      <c r="B554" s="564"/>
    </row>
    <row r="555" spans="2:2" s="292" customFormat="1">
      <c r="B555" s="564"/>
    </row>
    <row r="556" spans="2:2" s="292" customFormat="1">
      <c r="B556" s="564"/>
    </row>
    <row r="557" spans="2:2" s="292" customFormat="1">
      <c r="B557" s="564"/>
    </row>
    <row r="558" spans="2:2" s="292" customFormat="1">
      <c r="B558" s="564"/>
    </row>
    <row r="559" spans="2:2" s="292" customFormat="1">
      <c r="B559" s="564"/>
    </row>
    <row r="560" spans="2:2" s="292" customFormat="1">
      <c r="B560" s="564"/>
    </row>
    <row r="561" spans="2:2" s="292" customFormat="1">
      <c r="B561" s="564"/>
    </row>
    <row r="562" spans="2:2" s="292" customFormat="1">
      <c r="B562" s="564"/>
    </row>
    <row r="563" spans="2:2" s="292" customFormat="1">
      <c r="B563" s="564"/>
    </row>
    <row r="564" spans="2:2" s="292" customFormat="1">
      <c r="B564" s="564"/>
    </row>
    <row r="565" spans="2:2" s="292" customFormat="1">
      <c r="B565" s="564"/>
    </row>
    <row r="566" spans="2:2" s="292" customFormat="1">
      <c r="B566" s="564"/>
    </row>
    <row r="567" spans="2:2" s="292" customFormat="1">
      <c r="B567" s="564"/>
    </row>
    <row r="568" spans="2:2" s="292" customFormat="1">
      <c r="B568" s="564"/>
    </row>
    <row r="569" spans="2:2" s="292" customFormat="1">
      <c r="B569" s="564"/>
    </row>
    <row r="570" spans="2:2" s="292" customFormat="1">
      <c r="B570" s="564"/>
    </row>
    <row r="571" spans="2:2" s="292" customFormat="1">
      <c r="B571" s="564"/>
    </row>
    <row r="572" spans="2:2" s="292" customFormat="1">
      <c r="B572" s="564"/>
    </row>
    <row r="573" spans="2:2" s="292" customFormat="1">
      <c r="B573" s="564"/>
    </row>
    <row r="574" spans="2:2" s="292" customFormat="1">
      <c r="B574" s="564"/>
    </row>
    <row r="575" spans="2:2" s="292" customFormat="1">
      <c r="B575" s="564"/>
    </row>
    <row r="576" spans="2:2" s="292" customFormat="1">
      <c r="B576" s="564"/>
    </row>
    <row r="577" spans="2:2" s="292" customFormat="1">
      <c r="B577" s="564"/>
    </row>
    <row r="578" spans="2:2" s="292" customFormat="1">
      <c r="B578" s="564"/>
    </row>
    <row r="579" spans="2:2" s="292" customFormat="1">
      <c r="B579" s="564"/>
    </row>
    <row r="580" spans="2:2" s="292" customFormat="1">
      <c r="B580" s="564"/>
    </row>
    <row r="581" spans="2:2" s="292" customFormat="1">
      <c r="B581" s="564"/>
    </row>
    <row r="582" spans="2:2" s="292" customFormat="1">
      <c r="B582" s="564"/>
    </row>
    <row r="583" spans="2:2" s="292" customFormat="1">
      <c r="B583" s="564"/>
    </row>
    <row r="584" spans="2:2" s="292" customFormat="1">
      <c r="B584" s="564"/>
    </row>
    <row r="585" spans="2:2" s="292" customFormat="1">
      <c r="B585" s="564"/>
    </row>
    <row r="586" spans="2:2" s="292" customFormat="1">
      <c r="B586" s="564"/>
    </row>
    <row r="587" spans="2:2" s="292" customFormat="1">
      <c r="B587" s="564"/>
    </row>
    <row r="588" spans="2:2" s="292" customFormat="1">
      <c r="B588" s="564"/>
    </row>
    <row r="589" spans="2:2" s="292" customFormat="1">
      <c r="B589" s="564"/>
    </row>
    <row r="590" spans="2:2" s="292" customFormat="1">
      <c r="B590" s="564"/>
    </row>
    <row r="591" spans="2:2" s="292" customFormat="1">
      <c r="B591" s="564"/>
    </row>
    <row r="592" spans="2:2" s="292" customFormat="1">
      <c r="B592" s="564"/>
    </row>
    <row r="593" spans="2:2" s="292" customFormat="1">
      <c r="B593" s="564"/>
    </row>
    <row r="594" spans="2:2" s="292" customFormat="1">
      <c r="B594" s="564"/>
    </row>
    <row r="595" spans="2:2" s="292" customFormat="1">
      <c r="B595" s="564"/>
    </row>
  </sheetData>
  <mergeCells count="29">
    <mergeCell ref="P24:R24"/>
    <mergeCell ref="O11:S11"/>
    <mergeCell ref="O46:Q46"/>
    <mergeCell ref="F17:J17"/>
    <mergeCell ref="P17:S17"/>
    <mergeCell ref="C34:J34"/>
    <mergeCell ref="O37:T37"/>
    <mergeCell ref="O38:Q38"/>
    <mergeCell ref="F15:J15"/>
    <mergeCell ref="O41:Q41"/>
    <mergeCell ref="E16:K16"/>
    <mergeCell ref="O44:Q44"/>
    <mergeCell ref="C32:J32"/>
    <mergeCell ref="M31:T36"/>
    <mergeCell ref="P18:S20"/>
    <mergeCell ref="Q29:S29"/>
    <mergeCell ref="P23:S23"/>
    <mergeCell ref="P16:S16"/>
    <mergeCell ref="P21:S21"/>
    <mergeCell ref="P22:R22"/>
    <mergeCell ref="N12:S12"/>
    <mergeCell ref="O45:Q45"/>
    <mergeCell ref="O39:Q39"/>
    <mergeCell ref="C45:J45"/>
    <mergeCell ref="C44:J44"/>
    <mergeCell ref="C33:J33"/>
    <mergeCell ref="O40:Q40"/>
    <mergeCell ref="O42:S42"/>
    <mergeCell ref="O43:Q43"/>
  </mergeCells>
  <pageMargins left="0" right="0" top="0.78740157480314998" bottom="0.78740157480314998" header="0" footer="0"/>
  <pageSetup paperSize="1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B2:D42"/>
  <sheetViews>
    <sheetView topLeftCell="A25" zoomScale="124" zoomScaleNormal="124" workbookViewId="0">
      <selection activeCell="C31" sqref="C31"/>
    </sheetView>
  </sheetViews>
  <sheetFormatPr defaultRowHeight="12.75"/>
  <cols>
    <col min="1" max="1" width="1.7109375" customWidth="1"/>
    <col min="2" max="2" width="5.140625" customWidth="1"/>
    <col min="3" max="3" width="112.7109375" bestFit="1" customWidth="1"/>
    <col min="4" max="4" width="48.85546875" customWidth="1"/>
  </cols>
  <sheetData>
    <row r="2" spans="2:4" ht="18.75">
      <c r="B2" s="290" t="s">
        <v>1173</v>
      </c>
      <c r="C2" s="290"/>
      <c r="D2" s="290"/>
    </row>
    <row r="3" spans="2:4">
      <c r="B3" s="54" t="s">
        <v>1174</v>
      </c>
      <c r="C3" s="291" t="s">
        <v>2249</v>
      </c>
      <c r="D3" s="284"/>
    </row>
    <row r="4" spans="2:4">
      <c r="B4" s="54" t="s">
        <v>1175</v>
      </c>
      <c r="C4" s="291" t="s">
        <v>2209</v>
      </c>
      <c r="D4" s="284"/>
    </row>
    <row r="5" spans="2:4">
      <c r="B5" s="54" t="s">
        <v>1176</v>
      </c>
      <c r="C5" s="291" t="s">
        <v>1205</v>
      </c>
      <c r="D5" s="284"/>
    </row>
    <row r="6" spans="2:4">
      <c r="B6" s="54" t="s">
        <v>1177</v>
      </c>
      <c r="C6" s="291" t="s">
        <v>1178</v>
      </c>
      <c r="D6" s="284"/>
    </row>
    <row r="7" spans="2:4">
      <c r="B7" s="54" t="s">
        <v>1179</v>
      </c>
      <c r="C7" s="291" t="s">
        <v>2210</v>
      </c>
      <c r="D7" s="284"/>
    </row>
    <row r="8" spans="2:4">
      <c r="B8" s="54" t="s">
        <v>1180</v>
      </c>
      <c r="C8" s="291" t="s">
        <v>2211</v>
      </c>
      <c r="D8" s="284"/>
    </row>
    <row r="9" spans="2:4">
      <c r="B9" s="54" t="s">
        <v>1181</v>
      </c>
      <c r="C9" s="291" t="s">
        <v>1206</v>
      </c>
      <c r="D9" s="284"/>
    </row>
    <row r="10" spans="2:4" s="285" customFormat="1">
      <c r="B10" s="283" t="s">
        <v>1182</v>
      </c>
      <c r="C10" s="291" t="s">
        <v>1341</v>
      </c>
      <c r="D10" s="284"/>
    </row>
    <row r="11" spans="2:4" s="285" customFormat="1">
      <c r="B11" s="283" t="s">
        <v>1840</v>
      </c>
      <c r="C11" s="291" t="s">
        <v>1841</v>
      </c>
      <c r="D11" s="284"/>
    </row>
    <row r="12" spans="2:4" s="285" customFormat="1">
      <c r="B12" s="283" t="s">
        <v>1183</v>
      </c>
      <c r="C12" s="291" t="s">
        <v>1184</v>
      </c>
      <c r="D12" s="284"/>
    </row>
    <row r="13" spans="2:4" s="285" customFormat="1">
      <c r="B13" s="283" t="s">
        <v>1185</v>
      </c>
      <c r="C13" s="291" t="s">
        <v>2216</v>
      </c>
      <c r="D13" s="286"/>
    </row>
    <row r="14" spans="2:4" s="285" customFormat="1">
      <c r="B14" s="283" t="s">
        <v>1093</v>
      </c>
      <c r="C14" s="291" t="s">
        <v>1186</v>
      </c>
      <c r="D14" s="284"/>
    </row>
    <row r="15" spans="2:4" s="285" customFormat="1">
      <c r="B15" s="283" t="s">
        <v>1094</v>
      </c>
      <c r="C15" s="291" t="s">
        <v>1187</v>
      </c>
      <c r="D15" s="284"/>
    </row>
    <row r="16" spans="2:4" s="285" customFormat="1">
      <c r="B16" s="283" t="s">
        <v>1095</v>
      </c>
      <c r="C16" s="291" t="s">
        <v>1188</v>
      </c>
      <c r="D16" s="284"/>
    </row>
    <row r="17" spans="2:4" s="285" customFormat="1">
      <c r="B17" s="283" t="s">
        <v>1096</v>
      </c>
      <c r="C17" s="291" t="s">
        <v>2221</v>
      </c>
      <c r="D17" s="284"/>
    </row>
    <row r="18" spans="2:4" s="285" customFormat="1">
      <c r="B18" s="283" t="s">
        <v>1097</v>
      </c>
      <c r="C18" s="291" t="s">
        <v>1189</v>
      </c>
      <c r="D18" s="284"/>
    </row>
    <row r="19" spans="2:4" s="285" customFormat="1">
      <c r="B19" s="283" t="s">
        <v>1842</v>
      </c>
      <c r="C19" s="291" t="s">
        <v>1190</v>
      </c>
      <c r="D19" s="284"/>
    </row>
    <row r="20" spans="2:4" s="285" customFormat="1">
      <c r="B20" s="283" t="s">
        <v>1843</v>
      </c>
      <c r="C20" s="291" t="s">
        <v>1191</v>
      </c>
      <c r="D20" s="284"/>
    </row>
    <row r="21" spans="2:4" s="285" customFormat="1">
      <c r="B21" s="283" t="s">
        <v>1844</v>
      </c>
      <c r="C21" s="291" t="s">
        <v>1192</v>
      </c>
      <c r="D21" s="284"/>
    </row>
    <row r="22" spans="2:4" s="285" customFormat="1">
      <c r="B22" s="283" t="s">
        <v>1099</v>
      </c>
      <c r="C22" s="291" t="s">
        <v>2236</v>
      </c>
      <c r="D22" s="284"/>
    </row>
    <row r="23" spans="2:4" s="285" customFormat="1" ht="12.75" customHeight="1">
      <c r="B23" s="283" t="s">
        <v>1100</v>
      </c>
      <c r="C23" s="291" t="s">
        <v>1204</v>
      </c>
      <c r="D23" s="284"/>
    </row>
    <row r="24" spans="2:4" s="285" customFormat="1">
      <c r="B24" s="283" t="s">
        <v>1845</v>
      </c>
      <c r="C24" s="291" t="s">
        <v>1193</v>
      </c>
      <c r="D24" s="284"/>
    </row>
    <row r="25" spans="2:4" s="285" customFormat="1">
      <c r="B25" s="283" t="s">
        <v>1846</v>
      </c>
      <c r="C25" s="291" t="s">
        <v>2239</v>
      </c>
      <c r="D25" s="284"/>
    </row>
    <row r="26" spans="2:4" s="285" customFormat="1">
      <c r="B26" s="283" t="s">
        <v>1102</v>
      </c>
      <c r="C26" s="291" t="s">
        <v>2831</v>
      </c>
      <c r="D26" s="284"/>
    </row>
    <row r="27" spans="2:4" s="285" customFormat="1">
      <c r="B27" s="283" t="s">
        <v>1103</v>
      </c>
      <c r="C27" s="1444" t="s">
        <v>2553</v>
      </c>
      <c r="D27" s="284"/>
    </row>
    <row r="28" spans="2:4" s="285" customFormat="1">
      <c r="B28" s="283" t="s">
        <v>1104</v>
      </c>
      <c r="C28" s="291" t="s">
        <v>1194</v>
      </c>
      <c r="D28" s="284"/>
    </row>
    <row r="29" spans="2:4" s="285" customFormat="1">
      <c r="B29" s="283" t="s">
        <v>1105</v>
      </c>
      <c r="C29" s="291" t="s">
        <v>1195</v>
      </c>
      <c r="D29" s="284"/>
    </row>
    <row r="30" spans="2:4" s="285" customFormat="1">
      <c r="B30" s="283" t="s">
        <v>1106</v>
      </c>
      <c r="C30" s="291" t="s">
        <v>1196</v>
      </c>
      <c r="D30" s="284"/>
    </row>
    <row r="31" spans="2:4" s="285" customFormat="1">
      <c r="B31" s="283" t="s">
        <v>1107</v>
      </c>
      <c r="C31" s="291" t="s">
        <v>2247</v>
      </c>
      <c r="D31" s="284"/>
    </row>
    <row r="32" spans="2:4" s="285" customFormat="1">
      <c r="B32" s="283" t="s">
        <v>1108</v>
      </c>
      <c r="C32" s="291" t="s">
        <v>1197</v>
      </c>
      <c r="D32" s="284"/>
    </row>
    <row r="33" spans="2:4" s="285" customFormat="1">
      <c r="B33" s="283" t="s">
        <v>1109</v>
      </c>
      <c r="C33" s="291" t="s">
        <v>1198</v>
      </c>
      <c r="D33" s="284"/>
    </row>
    <row r="34" spans="2:4" s="285" customFormat="1">
      <c r="B34" s="283" t="s">
        <v>1110</v>
      </c>
      <c r="C34" s="291" t="s">
        <v>1199</v>
      </c>
      <c r="D34" s="284"/>
    </row>
    <row r="35" spans="2:4" s="285" customFormat="1">
      <c r="B35" s="283" t="s">
        <v>1111</v>
      </c>
      <c r="C35" s="291" t="s">
        <v>1200</v>
      </c>
      <c r="D35" s="284"/>
    </row>
    <row r="36" spans="2:4" s="285" customFormat="1">
      <c r="B36" s="283" t="s">
        <v>1112</v>
      </c>
      <c r="C36" s="291" t="s">
        <v>2246</v>
      </c>
      <c r="D36" s="284"/>
    </row>
    <row r="37" spans="2:4" s="285" customFormat="1" ht="12" customHeight="1">
      <c r="B37" s="283" t="s">
        <v>1113</v>
      </c>
      <c r="C37" s="291" t="s">
        <v>2469</v>
      </c>
      <c r="D37" s="287"/>
    </row>
    <row r="38" spans="2:4">
      <c r="B38" s="283" t="s">
        <v>1114</v>
      </c>
      <c r="C38" s="291" t="s">
        <v>2470</v>
      </c>
    </row>
    <row r="39" spans="2:4">
      <c r="B39" s="283" t="s">
        <v>1115</v>
      </c>
      <c r="C39" s="291" t="s">
        <v>2637</v>
      </c>
    </row>
    <row r="40" spans="2:4">
      <c r="B40" s="283" t="s">
        <v>1116</v>
      </c>
      <c r="C40" s="291" t="s">
        <v>2672</v>
      </c>
    </row>
    <row r="42" spans="2:4">
      <c r="C42" s="291" t="s">
        <v>2253</v>
      </c>
    </row>
  </sheetData>
  <hyperlinks>
    <hyperlink ref="C3" location="'Table IA'!A1" display="Selected Economic Indicators (Money and Banking)"/>
    <hyperlink ref="C4" location="'Table IB'!A1" display="Selected Economic Indicators ( Inflation, Production, Foreign Trade, Forex Reserves and Exchange Rate) "/>
    <hyperlink ref="C5" location="TableIIA!A1" display="Monetary Survey (M2)"/>
    <hyperlink ref="C6" location="TableIIB!A1" display="Claims on Resident Sector by the Banking System"/>
    <hyperlink ref="C7" location="'TableIIC '!A1" display="Reserve Money and its Components"/>
    <hyperlink ref="C8" location="'Table IID'!A1" display="Reserve Money and its Sources"/>
    <hyperlink ref="C9" location="'Table IIE'!A1" display="Monetary Survey (M3)  "/>
    <hyperlink ref="C10" location="'Table IIF'!A1" display="Claims on Resident Sector by Depository Corporations "/>
    <hyperlink ref="C12" location="'Table III A'!A1" display="Balance of  Payments"/>
    <hyperlink ref="C13" location="'Table IIIB'!A1" display="Foreign Direct Investment (FDI) Inflows and Stocks by Components in Bangladesh"/>
    <hyperlink ref="C14" location="'Table IV'!A1" display="Foreign Trade"/>
    <hyperlink ref="C15" location="'Table V'!A1" display="Production of Major Agricultural Commodities "/>
    <hyperlink ref="C16" location="'Table VI'!A1" display="Production of Major Industrial Commodities (Other than Jute Goods) "/>
    <hyperlink ref="C17" location="'Table VII'!A1" display="Consumer Price Index and Inflation Rate in Bangladesh"/>
    <hyperlink ref="C18" location="'Table VIII'!A1" display="Average Prices of Selected Commodities"/>
    <hyperlink ref="C19" location="TableIXA!A1" display="Gross Domestic Product of Bangladesh at Current Market Price"/>
    <hyperlink ref="C20" location="TableIXB!A1" display="Gross Domestic Product of Bangladesh at Constant Market Price "/>
    <hyperlink ref="C21" location="TableIXC!A1" display="Key Indicators of National Accounts"/>
    <hyperlink ref="C22" location="TableX!A1" display="Index Number of  Ordinary Share Prices, Turn Over, Issued Capital and Total Number of Companies Listed with the Dhaka Stock Exchange Ltd."/>
    <hyperlink ref="C23" location="TableXI!A1" display="Market Capitalisation (Value) of Ordinary Shares of Companies Listed with the Dhaka Stock Exchange Ltd."/>
    <hyperlink ref="C24" location="'Table XIIA'!A1" display="Interest Rate Structure of Government Securities/Bonds and Savings Instruments "/>
    <hyperlink ref="C25" location="'Table XIIB'!A1" display="Bank Rate and Interest Rate Structure of Post Office Savings Bank and House Building Finance Corporation and National Savings Certificates"/>
    <hyperlink ref="C26" location="TableXIII!A1" display="Bank-wise Announced Interest Rate Structure in Bangladesh (Except Islamic Banks), December 2014"/>
    <hyperlink ref="C27" location="'Table XIV'!A1" display="Profit Rate Structure of  the Islamic Banks, 2013"/>
    <hyperlink ref="C28" location="TableXV!A1" display="Rate of Interest on Non-resident Foreign Currency Deposit (NFCD) Accounts "/>
    <hyperlink ref="C29" location="TableXVI!A1" display="Monthly Average Call Money Market Rates"/>
    <hyperlink ref="C30" location="'Table XVII'!A1" display="Some Indicators of Income, Expenditure &amp; Profitability of the Banking Sector"/>
    <hyperlink ref="C31" location="'Table XVIII'!A1" display="Number of Persons Left for Abroad on Employment and Total Workers’ Remittances"/>
    <hyperlink ref="C32" location="TableXIX!A1" display="Country-wise Workers’ Remittances"/>
    <hyperlink ref="C33" location="TableXX!A1" display="Exchange Rates (Taka Per Currencies)"/>
    <hyperlink ref="C34" location="TableXXI!A1" display="Appreciation/Depreciation of Some Selected Currencies Against U.S. Dollar"/>
    <hyperlink ref="C35" location="'Table XXII'!A1" display="Some Selected Commodity Prices at International Markets"/>
    <hyperlink ref="C36" location="'Table XXIII'!A1" display="Selected Tax Revenue Receipts of the Government Under NBR and Others"/>
    <hyperlink ref="C42" location="'Appendix- Weights &amp; Measures'!A1" display="Appendix : Weights and Measures"/>
    <hyperlink ref="C11" location="'Table IIG'!A1" display="E-Banking &amp; E-Commerce Statistics"/>
    <hyperlink ref="C37" location="'Table XXIV'!A1" display="Central Bank Survey"/>
    <hyperlink ref="C38" location="'Table XXV'!A1" display="Depository Corporation Survey"/>
    <hyperlink ref="C39" location="'Table XXVI'!A1" display="Important Economic Indicators of Bangladesh with SAARC Countries"/>
    <hyperlink ref="C40" location="'Table XXVII'!A1" display="Important Economic Indicators of SAARC Countries "/>
  </hyperlinks>
  <pageMargins left="0.196850393700787" right="0.196850393700787" top="0.15748031496063" bottom="0.15748031496063" header="0" footer="0"/>
  <pageSetup paperSize="1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CF105"/>
  <sheetViews>
    <sheetView tabSelected="1" topLeftCell="AX1" zoomScale="150" zoomScaleNormal="150" workbookViewId="0">
      <pane ySplit="6" topLeftCell="A41" activePane="bottomLeft" state="frozen"/>
      <selection activeCell="I1" sqref="I1"/>
      <selection pane="bottomLeft" activeCell="BM43" sqref="BM43"/>
    </sheetView>
  </sheetViews>
  <sheetFormatPr defaultColWidth="9.140625" defaultRowHeight="11.25"/>
  <cols>
    <col min="1" max="7" width="8.85546875" style="10" customWidth="1"/>
    <col min="8" max="8" width="8.7109375" style="10" customWidth="1"/>
    <col min="9" max="9" width="9.28515625" style="10" customWidth="1"/>
    <col min="10" max="10" width="9" style="10" customWidth="1"/>
    <col min="11" max="11" width="9.5703125" style="10" customWidth="1"/>
    <col min="12" max="13" width="8.5703125" style="10" customWidth="1"/>
    <col min="14" max="14" width="8.85546875" style="10" customWidth="1"/>
    <col min="15" max="15" width="7.85546875" style="10" customWidth="1"/>
    <col min="16" max="16" width="8.42578125" style="10" customWidth="1"/>
    <col min="17" max="17" width="8" style="10" customWidth="1"/>
    <col min="18" max="19" width="9.42578125" style="10" customWidth="1"/>
    <col min="20" max="20" width="9" style="10" customWidth="1"/>
    <col min="21" max="21" width="9.140625" style="10" customWidth="1"/>
    <col min="22" max="22" width="9.7109375" style="10" customWidth="1"/>
    <col min="23" max="23" width="9.85546875" style="10" customWidth="1"/>
    <col min="24" max="24" width="9.140625" style="10"/>
    <col min="25" max="25" width="9.28515625" style="10" customWidth="1"/>
    <col min="26" max="26" width="8.85546875" style="10" customWidth="1"/>
    <col min="27" max="27" width="6.85546875" style="10" customWidth="1"/>
    <col min="28" max="28" width="7.7109375" style="10" customWidth="1"/>
    <col min="29" max="29" width="8.5703125" style="10" customWidth="1"/>
    <col min="30" max="30" width="10.28515625" style="10" customWidth="1"/>
    <col min="31" max="31" width="8.7109375" style="10" customWidth="1"/>
    <col min="32" max="32" width="8.5703125" style="10" customWidth="1"/>
    <col min="33" max="33" width="9" style="10" customWidth="1"/>
    <col min="34" max="34" width="9.28515625" style="10" customWidth="1"/>
    <col min="35" max="35" width="8.85546875" style="10" customWidth="1"/>
    <col min="36" max="36" width="9" style="10" customWidth="1"/>
    <col min="37" max="37" width="8.5703125" style="10" customWidth="1"/>
    <col min="38" max="38" width="11.42578125" style="10" customWidth="1"/>
    <col min="39" max="39" width="9.5703125" style="10" customWidth="1"/>
    <col min="40" max="40" width="9.28515625" style="10" customWidth="1"/>
    <col min="41" max="41" width="10.140625" style="10" customWidth="1"/>
    <col min="42" max="42" width="11" style="10" customWidth="1"/>
    <col min="43" max="43" width="9" style="10" customWidth="1"/>
    <col min="44" max="44" width="9.28515625" style="10" bestFit="1" customWidth="1"/>
    <col min="45" max="45" width="10.28515625" style="10" customWidth="1"/>
    <col min="46" max="46" width="9.28515625" style="10" customWidth="1"/>
    <col min="47" max="47" width="9.5703125" style="10" customWidth="1"/>
    <col min="48" max="48" width="10" style="10" customWidth="1"/>
    <col min="49" max="50" width="10.5703125" style="10" customWidth="1"/>
    <col min="51" max="51" width="8.28515625" style="10" customWidth="1"/>
    <col min="52" max="52" width="7.85546875" style="10" customWidth="1"/>
    <col min="53" max="53" width="7.28515625" style="10" customWidth="1"/>
    <col min="54" max="54" width="8.7109375" style="10" customWidth="1"/>
    <col min="55" max="55" width="7.42578125" style="10" customWidth="1"/>
    <col min="56" max="56" width="7.7109375" style="10" customWidth="1"/>
    <col min="57" max="57" width="7.42578125" style="10" customWidth="1"/>
    <col min="58" max="58" width="7.28515625" style="10" customWidth="1"/>
    <col min="59" max="59" width="8" style="10" customWidth="1"/>
    <col min="60" max="60" width="8.42578125" style="10" customWidth="1"/>
    <col min="61" max="61" width="8.7109375" style="10" customWidth="1"/>
    <col min="62" max="62" width="6.28515625" style="10" customWidth="1"/>
    <col min="63" max="64" width="6" style="10" customWidth="1"/>
    <col min="65" max="65" width="7.28515625" style="10" customWidth="1"/>
    <col min="66" max="66" width="5.85546875" style="10" customWidth="1"/>
    <col min="67" max="67" width="6.5703125" style="10" customWidth="1"/>
    <col min="68" max="68" width="8.85546875" style="10" customWidth="1"/>
    <col min="69" max="69" width="8.5703125" style="10" customWidth="1"/>
    <col min="70" max="70" width="7.85546875" style="10" customWidth="1"/>
    <col min="71" max="71" width="7.140625" style="10" customWidth="1"/>
    <col min="72" max="72" width="6.7109375" style="10" customWidth="1"/>
    <col min="73" max="74" width="6.42578125" style="10" customWidth="1"/>
    <col min="75" max="75" width="8.85546875" style="10" customWidth="1"/>
    <col min="76" max="76" width="5.42578125" style="10" customWidth="1"/>
    <col min="77" max="77" width="6.5703125" style="10" customWidth="1"/>
    <col min="78" max="78" width="7.7109375" style="10" customWidth="1"/>
    <col min="79" max="79" width="6.85546875" style="10" customWidth="1"/>
    <col min="80" max="80" width="6.7109375" style="10" customWidth="1"/>
    <col min="81" max="81" width="7.42578125" style="10" customWidth="1"/>
    <col min="82" max="82" width="7.5703125" style="10" customWidth="1"/>
    <col min="83" max="16384" width="9.140625" style="10"/>
  </cols>
  <sheetData>
    <row r="1" spans="2:84" s="47" customFormat="1" ht="13.5" customHeight="1">
      <c r="I1" s="1761" t="s">
        <v>176</v>
      </c>
      <c r="J1" s="1761"/>
      <c r="K1" s="1761"/>
      <c r="L1" s="1761"/>
      <c r="M1" s="1761"/>
      <c r="N1" s="1761"/>
      <c r="O1" s="1761"/>
      <c r="P1" s="1761"/>
      <c r="Q1" s="1761"/>
      <c r="R1" s="323" t="s">
        <v>177</v>
      </c>
      <c r="W1" s="1780" t="s">
        <v>534</v>
      </c>
      <c r="X1" s="1780"/>
      <c r="Y1" s="1780"/>
      <c r="Z1" s="324"/>
      <c r="AE1" s="1784" t="s">
        <v>176</v>
      </c>
      <c r="AF1" s="1784"/>
      <c r="AG1" s="1784"/>
      <c r="AH1" s="1784"/>
      <c r="AI1" s="1760" t="s">
        <v>533</v>
      </c>
      <c r="AJ1" s="1722"/>
      <c r="AN1" s="1780" t="s">
        <v>534</v>
      </c>
      <c r="AO1" s="1780"/>
      <c r="AP1" s="1780"/>
      <c r="AQ1" s="325"/>
      <c r="AR1" s="326"/>
      <c r="AS1" s="326"/>
      <c r="AT1" s="326"/>
      <c r="AU1" s="326"/>
      <c r="AV1" s="1734" t="s">
        <v>176</v>
      </c>
      <c r="AW1" s="1734"/>
      <c r="AX1" s="1734"/>
      <c r="AY1" s="1733" t="s">
        <v>533</v>
      </c>
      <c r="AZ1" s="1733"/>
      <c r="BA1" s="1733"/>
      <c r="BB1" s="1733"/>
      <c r="BC1" s="1733"/>
      <c r="BD1" s="1733"/>
      <c r="BE1" s="1733"/>
      <c r="BF1" s="1780" t="s">
        <v>534</v>
      </c>
      <c r="BG1" s="1780"/>
      <c r="BH1" s="1780"/>
      <c r="BJ1" s="324"/>
      <c r="BK1" s="324"/>
      <c r="BL1" s="324"/>
      <c r="BM1" s="324"/>
      <c r="BN1" s="324"/>
      <c r="BO1" s="324"/>
      <c r="BP1" s="1734" t="s">
        <v>176</v>
      </c>
      <c r="BQ1" s="1734"/>
      <c r="BR1" s="1734"/>
      <c r="BS1" s="1734"/>
      <c r="BT1" s="1733" t="s">
        <v>533</v>
      </c>
      <c r="BU1" s="1733"/>
      <c r="BV1" s="1733"/>
      <c r="BW1" s="185"/>
      <c r="BX1" s="185"/>
      <c r="CA1" s="185"/>
      <c r="CB1" s="1732" t="s">
        <v>856</v>
      </c>
      <c r="CC1" s="1732"/>
      <c r="CD1" s="1732"/>
    </row>
    <row r="2" spans="2:84" s="54" customFormat="1" ht="11.25" customHeight="1">
      <c r="I2" s="327"/>
      <c r="J2" s="327"/>
      <c r="K2" s="327"/>
      <c r="L2" s="327"/>
      <c r="M2" s="327"/>
      <c r="N2" s="327"/>
      <c r="O2" s="327"/>
      <c r="P2" s="1766" t="s">
        <v>2250</v>
      </c>
      <c r="Q2" s="1766"/>
      <c r="R2" s="54" t="s">
        <v>532</v>
      </c>
      <c r="W2" s="328"/>
      <c r="X2" s="1766" t="s">
        <v>41</v>
      </c>
      <c r="Y2" s="1766"/>
      <c r="Z2" s="328"/>
      <c r="AF2" s="328"/>
      <c r="AG2" s="1778" t="s">
        <v>2250</v>
      </c>
      <c r="AH2" s="1778"/>
      <c r="AI2" s="54" t="s">
        <v>532</v>
      </c>
      <c r="AN2" s="328"/>
      <c r="AO2" s="1778" t="s">
        <v>41</v>
      </c>
      <c r="AP2" s="1779"/>
      <c r="AQ2" s="329"/>
      <c r="AR2" s="329"/>
      <c r="AS2" s="329"/>
      <c r="AT2" s="329"/>
      <c r="AU2" s="329"/>
      <c r="AV2" s="329"/>
      <c r="AW2" s="1766" t="s">
        <v>2251</v>
      </c>
      <c r="AX2" s="1766"/>
      <c r="AY2" s="330" t="s">
        <v>532</v>
      </c>
      <c r="AZ2" s="328"/>
      <c r="BA2" s="328"/>
      <c r="BB2" s="328"/>
      <c r="BC2" s="328"/>
      <c r="BD2" s="328"/>
      <c r="BE2" s="328"/>
      <c r="BF2" s="328"/>
      <c r="BG2" s="1778" t="s">
        <v>41</v>
      </c>
      <c r="BH2" s="1779"/>
      <c r="BJ2" s="328"/>
      <c r="BK2" s="328"/>
      <c r="BL2" s="328"/>
      <c r="BM2" s="328"/>
      <c r="BN2" s="328"/>
      <c r="BO2" s="328"/>
      <c r="BP2" s="329"/>
      <c r="BR2" s="1723" t="s">
        <v>2252</v>
      </c>
      <c r="BS2" s="1723"/>
      <c r="BT2" s="1735" t="s">
        <v>532</v>
      </c>
      <c r="BU2" s="1735"/>
      <c r="BV2" s="328"/>
      <c r="BW2" s="328"/>
      <c r="BX2" s="328"/>
      <c r="CA2" s="745"/>
      <c r="CB2" s="153"/>
      <c r="CC2" s="1723" t="s">
        <v>41</v>
      </c>
      <c r="CD2" s="1723"/>
    </row>
    <row r="3" spans="2:84" s="345" customFormat="1" ht="24.75" customHeight="1">
      <c r="I3" s="1767" t="s">
        <v>2382</v>
      </c>
      <c r="J3" s="1772" t="s">
        <v>169</v>
      </c>
      <c r="K3" s="1773"/>
      <c r="L3" s="1774"/>
      <c r="M3" s="1738" t="s">
        <v>232</v>
      </c>
      <c r="N3" s="1738" t="s">
        <v>1586</v>
      </c>
      <c r="O3" s="1752" t="s">
        <v>937</v>
      </c>
      <c r="P3" s="1753"/>
      <c r="Q3" s="1754"/>
      <c r="R3" s="1755" t="s">
        <v>233</v>
      </c>
      <c r="S3" s="1755"/>
      <c r="T3" s="1756"/>
      <c r="U3" s="1758" t="s">
        <v>648</v>
      </c>
      <c r="V3" s="1749" t="s">
        <v>173</v>
      </c>
      <c r="W3" s="1749"/>
      <c r="X3" s="1749"/>
      <c r="Y3" s="1749"/>
      <c r="Z3" s="1762" t="s">
        <v>1587</v>
      </c>
      <c r="AA3" s="1749" t="s">
        <v>649</v>
      </c>
      <c r="AB3" s="1749"/>
      <c r="AC3" s="1749"/>
      <c r="AD3" s="1749"/>
      <c r="AE3" s="1727" t="s">
        <v>2207</v>
      </c>
      <c r="AF3" s="1727"/>
      <c r="AG3" s="1727"/>
      <c r="AH3" s="1727"/>
      <c r="AI3" s="1749" t="s">
        <v>650</v>
      </c>
      <c r="AJ3" s="1749"/>
      <c r="AK3" s="1749"/>
      <c r="AL3" s="1749"/>
      <c r="AM3" s="1727" t="s">
        <v>1602</v>
      </c>
      <c r="AN3" s="1727"/>
      <c r="AO3" s="1727"/>
      <c r="AP3" s="1727"/>
      <c r="AQ3" s="1781" t="s">
        <v>1587</v>
      </c>
      <c r="AR3" s="1749" t="s">
        <v>39</v>
      </c>
      <c r="AS3" s="1749"/>
      <c r="AT3" s="1749"/>
      <c r="AU3" s="1749"/>
      <c r="AV3" s="1749" t="s">
        <v>207</v>
      </c>
      <c r="AW3" s="1749"/>
      <c r="AX3" s="1749"/>
      <c r="AY3" s="1749" t="s">
        <v>2334</v>
      </c>
      <c r="AZ3" s="1749"/>
      <c r="BA3" s="1749"/>
      <c r="BB3" s="1728" t="s">
        <v>488</v>
      </c>
      <c r="BC3" s="1728" t="s">
        <v>1208</v>
      </c>
      <c r="BD3" s="1727" t="s">
        <v>988</v>
      </c>
      <c r="BE3" s="1727"/>
      <c r="BF3" s="1727"/>
      <c r="BG3" s="1727"/>
      <c r="BH3" s="1727"/>
      <c r="BI3" s="1767" t="s">
        <v>1587</v>
      </c>
      <c r="BJ3" s="1727" t="s">
        <v>181</v>
      </c>
      <c r="BK3" s="1727"/>
      <c r="BL3" s="1727"/>
      <c r="BM3" s="1776"/>
      <c r="BN3" s="1727"/>
      <c r="BO3" s="1728" t="s">
        <v>182</v>
      </c>
      <c r="BP3" s="1740" t="s">
        <v>939</v>
      </c>
      <c r="BQ3" s="1740"/>
      <c r="BR3" s="1728" t="s">
        <v>241</v>
      </c>
      <c r="BS3" s="1741" t="s">
        <v>1689</v>
      </c>
      <c r="BT3" s="1727" t="s">
        <v>249</v>
      </c>
      <c r="BU3" s="1727"/>
      <c r="BV3" s="1727"/>
      <c r="BW3" s="1727"/>
      <c r="BX3" s="1727"/>
      <c r="BY3" s="1727"/>
      <c r="BZ3" s="1727"/>
      <c r="CA3" s="1727"/>
      <c r="CB3" s="1727"/>
      <c r="CC3" s="1727"/>
      <c r="CD3" s="1727"/>
    </row>
    <row r="4" spans="2:84" s="345" customFormat="1" ht="27" customHeight="1">
      <c r="I4" s="1768"/>
      <c r="J4" s="1728" t="s">
        <v>2299</v>
      </c>
      <c r="K4" s="1728" t="s">
        <v>2166</v>
      </c>
      <c r="L4" s="1738" t="s">
        <v>1533</v>
      </c>
      <c r="M4" s="1763"/>
      <c r="N4" s="1764"/>
      <c r="O4" s="1738" t="s">
        <v>1588</v>
      </c>
      <c r="P4" s="1738" t="s">
        <v>247</v>
      </c>
      <c r="Q4" s="1093" t="s">
        <v>170</v>
      </c>
      <c r="R4" s="1750" t="s">
        <v>773</v>
      </c>
      <c r="S4" s="1751"/>
      <c r="T4" s="1757" t="s">
        <v>1234</v>
      </c>
      <c r="U4" s="1759"/>
      <c r="V4" s="1728" t="s">
        <v>2355</v>
      </c>
      <c r="W4" s="1770" t="s">
        <v>2356</v>
      </c>
      <c r="X4" s="1728" t="s">
        <v>1591</v>
      </c>
      <c r="Y4" s="1728" t="s">
        <v>982</v>
      </c>
      <c r="Z4" s="1762"/>
      <c r="AA4" s="1728" t="s">
        <v>248</v>
      </c>
      <c r="AB4" s="1728" t="s">
        <v>235</v>
      </c>
      <c r="AC4" s="1728" t="s">
        <v>234</v>
      </c>
      <c r="AD4" s="1728" t="s">
        <v>983</v>
      </c>
      <c r="AE4" s="1728" t="s">
        <v>1592</v>
      </c>
      <c r="AF4" s="1728" t="s">
        <v>236</v>
      </c>
      <c r="AG4" s="1728" t="s">
        <v>1593</v>
      </c>
      <c r="AH4" s="1728" t="s">
        <v>984</v>
      </c>
      <c r="AI4" s="1728" t="s">
        <v>1594</v>
      </c>
      <c r="AJ4" s="1728" t="s">
        <v>1595</v>
      </c>
      <c r="AK4" s="1728" t="s">
        <v>1596</v>
      </c>
      <c r="AL4" s="1728" t="s">
        <v>985</v>
      </c>
      <c r="AM4" s="1728" t="s">
        <v>986</v>
      </c>
      <c r="AN4" s="1741" t="s">
        <v>1597</v>
      </c>
      <c r="AO4" s="1728" t="s">
        <v>1598</v>
      </c>
      <c r="AP4" s="1728" t="s">
        <v>1232</v>
      </c>
      <c r="AQ4" s="1782"/>
      <c r="AR4" s="1728" t="s">
        <v>1599</v>
      </c>
      <c r="AS4" s="1728" t="s">
        <v>1600</v>
      </c>
      <c r="AT4" s="1728" t="s">
        <v>1603</v>
      </c>
      <c r="AU4" s="1728" t="s">
        <v>1601</v>
      </c>
      <c r="AV4" s="1728" t="s">
        <v>40</v>
      </c>
      <c r="AW4" s="1728" t="s">
        <v>1756</v>
      </c>
      <c r="AX4" s="1728" t="s">
        <v>987</v>
      </c>
      <c r="AY4" s="1728" t="s">
        <v>238</v>
      </c>
      <c r="AZ4" s="1728" t="s">
        <v>2340</v>
      </c>
      <c r="BA4" s="1775" t="s">
        <v>760</v>
      </c>
      <c r="BB4" s="1728"/>
      <c r="BC4" s="1728"/>
      <c r="BD4" s="1775" t="s">
        <v>178</v>
      </c>
      <c r="BE4" s="1775"/>
      <c r="BF4" s="1775" t="s">
        <v>179</v>
      </c>
      <c r="BG4" s="1775"/>
      <c r="BH4" s="1728" t="s">
        <v>2338</v>
      </c>
      <c r="BI4" s="1768"/>
      <c r="BJ4" s="1728" t="s">
        <v>184</v>
      </c>
      <c r="BK4" s="1728" t="s">
        <v>185</v>
      </c>
      <c r="BL4" s="1729" t="s">
        <v>240</v>
      </c>
      <c r="BM4" s="1730" t="s">
        <v>191</v>
      </c>
      <c r="BN4" s="1738" t="s">
        <v>2357</v>
      </c>
      <c r="BO4" s="1728"/>
      <c r="BP4" s="1728" t="s">
        <v>186</v>
      </c>
      <c r="BQ4" s="1741" t="s">
        <v>1688</v>
      </c>
      <c r="BR4" s="1728"/>
      <c r="BS4" s="1741"/>
      <c r="BT4" s="1736" t="s">
        <v>1259</v>
      </c>
      <c r="BU4" s="1736" t="s">
        <v>242</v>
      </c>
      <c r="BV4" s="1736" t="s">
        <v>1233</v>
      </c>
      <c r="BW4" s="1743" t="s">
        <v>1690</v>
      </c>
      <c r="BX4" s="1739" t="s">
        <v>187</v>
      </c>
      <c r="BY4" s="1724" t="s">
        <v>2114</v>
      </c>
      <c r="BZ4" s="1725"/>
      <c r="CA4" s="1726"/>
      <c r="CB4" s="1724" t="s">
        <v>2115</v>
      </c>
      <c r="CC4" s="1725"/>
      <c r="CD4" s="1726"/>
    </row>
    <row r="5" spans="2:84" s="345" customFormat="1" ht="45.6" customHeight="1">
      <c r="H5" s="264"/>
      <c r="I5" s="1768"/>
      <c r="J5" s="1728"/>
      <c r="K5" s="1728"/>
      <c r="L5" s="1739"/>
      <c r="M5" s="1739"/>
      <c r="N5" s="1765"/>
      <c r="O5" s="1739"/>
      <c r="P5" s="1739"/>
      <c r="Q5" s="1095" t="s">
        <v>855</v>
      </c>
      <c r="R5" s="1095" t="s">
        <v>1589</v>
      </c>
      <c r="S5" s="1095" t="s">
        <v>1590</v>
      </c>
      <c r="T5" s="1728"/>
      <c r="U5" s="1759"/>
      <c r="V5" s="1728"/>
      <c r="W5" s="1771"/>
      <c r="X5" s="1728"/>
      <c r="Y5" s="1728"/>
      <c r="Z5" s="1762"/>
      <c r="AA5" s="1728"/>
      <c r="AB5" s="1728"/>
      <c r="AC5" s="1728"/>
      <c r="AD5" s="1728"/>
      <c r="AE5" s="1728"/>
      <c r="AF5" s="1728"/>
      <c r="AG5" s="1728"/>
      <c r="AH5" s="1728"/>
      <c r="AI5" s="1728"/>
      <c r="AJ5" s="1728"/>
      <c r="AK5" s="1728"/>
      <c r="AL5" s="1728"/>
      <c r="AM5" s="1728"/>
      <c r="AN5" s="1741"/>
      <c r="AO5" s="1728"/>
      <c r="AP5" s="1728"/>
      <c r="AQ5" s="1782"/>
      <c r="AR5" s="1728"/>
      <c r="AS5" s="1728"/>
      <c r="AT5" s="1728"/>
      <c r="AU5" s="1728"/>
      <c r="AV5" s="1728"/>
      <c r="AW5" s="1728"/>
      <c r="AX5" s="1728"/>
      <c r="AY5" s="1728"/>
      <c r="AZ5" s="1728"/>
      <c r="BA5" s="1775"/>
      <c r="BB5" s="1728"/>
      <c r="BC5" s="1728"/>
      <c r="BD5" s="1222" t="s">
        <v>2339</v>
      </c>
      <c r="BE5" s="1094" t="s">
        <v>239</v>
      </c>
      <c r="BF5" s="1073" t="s">
        <v>180</v>
      </c>
      <c r="BG5" s="1094" t="s">
        <v>239</v>
      </c>
      <c r="BH5" s="1728"/>
      <c r="BI5" s="1768"/>
      <c r="BJ5" s="1728"/>
      <c r="BK5" s="1728"/>
      <c r="BL5" s="1729"/>
      <c r="BM5" s="1731"/>
      <c r="BN5" s="1739"/>
      <c r="BO5" s="1728"/>
      <c r="BP5" s="1728"/>
      <c r="BQ5" s="1741"/>
      <c r="BR5" s="1728"/>
      <c r="BS5" s="1741"/>
      <c r="BT5" s="1737"/>
      <c r="BU5" s="1737"/>
      <c r="BV5" s="1737"/>
      <c r="BW5" s="1736"/>
      <c r="BX5" s="1728"/>
      <c r="BY5" s="1266" t="s">
        <v>188</v>
      </c>
      <c r="BZ5" s="1267" t="s">
        <v>189</v>
      </c>
      <c r="CA5" s="1267" t="s">
        <v>2016</v>
      </c>
      <c r="CB5" s="1385" t="s">
        <v>188</v>
      </c>
      <c r="CC5" s="1385" t="s">
        <v>189</v>
      </c>
      <c r="CD5" s="1385" t="s">
        <v>2017</v>
      </c>
    </row>
    <row r="6" spans="2:84" s="198" customFormat="1" ht="13.5" customHeight="1">
      <c r="I6" s="1769"/>
      <c r="J6" s="197">
        <v>1</v>
      </c>
      <c r="K6" s="197">
        <v>2</v>
      </c>
      <c r="L6" s="197">
        <v>3</v>
      </c>
      <c r="M6" s="197">
        <v>4</v>
      </c>
      <c r="N6" s="197">
        <v>5</v>
      </c>
      <c r="O6" s="197">
        <v>6</v>
      </c>
      <c r="P6" s="197">
        <v>7</v>
      </c>
      <c r="Q6" s="197">
        <v>8</v>
      </c>
      <c r="R6" s="197">
        <v>9</v>
      </c>
      <c r="S6" s="197">
        <v>10</v>
      </c>
      <c r="T6" s="197">
        <v>11</v>
      </c>
      <c r="U6" s="197">
        <v>12</v>
      </c>
      <c r="V6" s="197">
        <v>13</v>
      </c>
      <c r="W6" s="197">
        <v>14</v>
      </c>
      <c r="X6" s="197">
        <v>15</v>
      </c>
      <c r="Y6" s="197">
        <v>16</v>
      </c>
      <c r="Z6" s="1762"/>
      <c r="AA6" s="197">
        <v>17</v>
      </c>
      <c r="AB6" s="197">
        <v>18</v>
      </c>
      <c r="AC6" s="197">
        <v>19</v>
      </c>
      <c r="AD6" s="197">
        <v>20</v>
      </c>
      <c r="AE6" s="197">
        <v>21</v>
      </c>
      <c r="AF6" s="197">
        <v>22</v>
      </c>
      <c r="AG6" s="197">
        <v>23</v>
      </c>
      <c r="AH6" s="197">
        <v>24</v>
      </c>
      <c r="AI6" s="197">
        <v>25</v>
      </c>
      <c r="AJ6" s="197">
        <v>26</v>
      </c>
      <c r="AK6" s="197">
        <v>27</v>
      </c>
      <c r="AL6" s="197">
        <v>28</v>
      </c>
      <c r="AM6" s="197">
        <v>29</v>
      </c>
      <c r="AN6" s="197">
        <v>30</v>
      </c>
      <c r="AO6" s="197">
        <v>31</v>
      </c>
      <c r="AP6" s="197">
        <v>32</v>
      </c>
      <c r="AQ6" s="1783"/>
      <c r="AR6" s="197">
        <v>33</v>
      </c>
      <c r="AS6" s="197">
        <v>34</v>
      </c>
      <c r="AT6" s="197">
        <v>35</v>
      </c>
      <c r="AU6" s="197">
        <v>36</v>
      </c>
      <c r="AV6" s="197">
        <v>37</v>
      </c>
      <c r="AW6" s="197">
        <v>38</v>
      </c>
      <c r="AX6" s="197">
        <v>39</v>
      </c>
      <c r="AY6" s="197">
        <v>40</v>
      </c>
      <c r="AZ6" s="197">
        <v>41</v>
      </c>
      <c r="BA6" s="197">
        <v>42</v>
      </c>
      <c r="BB6" s="197">
        <v>43</v>
      </c>
      <c r="BC6" s="197">
        <v>44</v>
      </c>
      <c r="BD6" s="197">
        <v>45</v>
      </c>
      <c r="BE6" s="197">
        <v>46</v>
      </c>
      <c r="BF6" s="197">
        <v>47</v>
      </c>
      <c r="BG6" s="197">
        <v>48</v>
      </c>
      <c r="BH6" s="197">
        <v>49</v>
      </c>
      <c r="BI6" s="1769"/>
      <c r="BJ6" s="146">
        <v>50</v>
      </c>
      <c r="BK6" s="146">
        <v>51</v>
      </c>
      <c r="BL6" s="146">
        <v>52</v>
      </c>
      <c r="BM6" s="146">
        <v>53</v>
      </c>
      <c r="BN6" s="146">
        <v>54</v>
      </c>
      <c r="BO6" s="146">
        <v>55</v>
      </c>
      <c r="BP6" s="146">
        <v>56</v>
      </c>
      <c r="BQ6" s="146">
        <v>57</v>
      </c>
      <c r="BR6" s="146">
        <v>58</v>
      </c>
      <c r="BS6" s="146">
        <v>59</v>
      </c>
      <c r="BT6" s="146">
        <v>60</v>
      </c>
      <c r="BU6" s="146">
        <v>61</v>
      </c>
      <c r="BV6" s="146">
        <v>62</v>
      </c>
      <c r="BW6" s="146">
        <v>63</v>
      </c>
      <c r="BX6" s="146">
        <v>64</v>
      </c>
      <c r="BY6" s="146">
        <v>65</v>
      </c>
      <c r="BZ6" s="146">
        <v>66</v>
      </c>
      <c r="CA6" s="197">
        <v>67</v>
      </c>
      <c r="CB6" s="146">
        <v>68</v>
      </c>
      <c r="CC6" s="197">
        <v>69</v>
      </c>
      <c r="CD6" s="146">
        <v>70</v>
      </c>
    </row>
    <row r="7" spans="2:84" s="24" customFormat="1" ht="12" customHeight="1">
      <c r="B7" s="693"/>
      <c r="C7" s="693"/>
      <c r="D7" s="693"/>
      <c r="E7" s="693"/>
      <c r="F7" s="693"/>
      <c r="G7" s="693"/>
      <c r="I7" s="430" t="s">
        <v>851</v>
      </c>
      <c r="J7" s="432">
        <v>28363</v>
      </c>
      <c r="K7" s="438">
        <v>424.4</v>
      </c>
      <c r="L7" s="431">
        <f t="shared" ref="L7:L8" si="0">J7+K7</f>
        <v>28787.4</v>
      </c>
      <c r="M7" s="438">
        <v>2143.6</v>
      </c>
      <c r="N7" s="431">
        <f t="shared" ref="N7:N8" si="1">L7-M7</f>
        <v>26643.800000000003</v>
      </c>
      <c r="O7" s="432">
        <v>5100</v>
      </c>
      <c r="P7" s="438">
        <v>12157.6</v>
      </c>
      <c r="Q7" s="438">
        <v>23462.5</v>
      </c>
      <c r="R7" s="438">
        <v>161336.20000000001</v>
      </c>
      <c r="S7" s="438">
        <f>Q7+R7</f>
        <v>184798.7</v>
      </c>
      <c r="T7" s="438">
        <f>P7+S7</f>
        <v>196956.30000000002</v>
      </c>
      <c r="U7" s="438">
        <v>61.7</v>
      </c>
      <c r="V7" s="432">
        <f t="shared" ref="V7:V8" si="2">N7+Q7+U7</f>
        <v>50168</v>
      </c>
      <c r="W7" s="438">
        <f>R7+V7</f>
        <v>211504.2</v>
      </c>
      <c r="X7" s="438">
        <v>5619.3</v>
      </c>
      <c r="Y7" s="432">
        <f>W7+X7</f>
        <v>217123.5</v>
      </c>
      <c r="Z7" s="430" t="s">
        <v>851</v>
      </c>
      <c r="AA7" s="431">
        <v>0</v>
      </c>
      <c r="AB7" s="438">
        <v>7653.6</v>
      </c>
      <c r="AC7" s="438">
        <v>140776.20000000001</v>
      </c>
      <c r="AD7" s="438">
        <f>AB7+AC7</f>
        <v>148429.80000000002</v>
      </c>
      <c r="AE7" s="431">
        <v>0</v>
      </c>
      <c r="AF7" s="438">
        <v>7575.7</v>
      </c>
      <c r="AG7" s="438">
        <v>8889.2000000000007</v>
      </c>
      <c r="AH7" s="438">
        <f>AF7+AG7</f>
        <v>16464.900000000001</v>
      </c>
      <c r="AI7" s="438">
        <v>845.8</v>
      </c>
      <c r="AJ7" s="438">
        <v>23560.799999999999</v>
      </c>
      <c r="AK7" s="438">
        <v>935.6</v>
      </c>
      <c r="AL7" s="438">
        <f>AJ7+AK7</f>
        <v>24496.399999999998</v>
      </c>
      <c r="AM7" s="432">
        <f>AA7+AE7+AI7</f>
        <v>845.8</v>
      </c>
      <c r="AN7" s="438">
        <f t="shared" ref="AN7" si="3">AB7+AF7+AJ7</f>
        <v>38790.1</v>
      </c>
      <c r="AO7" s="432">
        <f>AC7+AG7+AK7</f>
        <v>150601.00000000003</v>
      </c>
      <c r="AP7" s="438">
        <f>AD7+AH7+AL7</f>
        <v>189391.1</v>
      </c>
      <c r="AQ7" s="430" t="s">
        <v>851</v>
      </c>
      <c r="AR7" s="438">
        <v>602.1</v>
      </c>
      <c r="AS7" s="438">
        <v>5735.6</v>
      </c>
      <c r="AT7" s="438">
        <v>1613.8</v>
      </c>
      <c r="AU7" s="438">
        <v>661.8</v>
      </c>
      <c r="AV7" s="438">
        <v>197000.3</v>
      </c>
      <c r="AW7" s="438">
        <v>3203.4</v>
      </c>
      <c r="AX7" s="438">
        <f t="shared" ref="AX7:AX8" si="4">AV7+AW7</f>
        <v>200203.69999999998</v>
      </c>
      <c r="AY7" s="437">
        <f>AX7*0.05</f>
        <v>10010.184999999999</v>
      </c>
      <c r="AZ7" s="431">
        <f t="shared" ref="AZ7:AZ10" si="5">BA7-AY7</f>
        <v>563.41500000000087</v>
      </c>
      <c r="BA7" s="437">
        <v>10573.6</v>
      </c>
      <c r="BB7" s="438">
        <v>592845.69999999995</v>
      </c>
      <c r="BC7" s="431">
        <f t="shared" ref="BC7:BC8" si="6">L7+BA7</f>
        <v>39361</v>
      </c>
      <c r="BD7" s="438">
        <v>1005.1</v>
      </c>
      <c r="BE7" s="438">
        <v>24550.1</v>
      </c>
      <c r="BF7" s="438">
        <v>920.4</v>
      </c>
      <c r="BG7" s="438">
        <v>21346.1</v>
      </c>
      <c r="BH7" s="438">
        <f>BD7+BE7+BF7+BG7</f>
        <v>47821.7</v>
      </c>
      <c r="BI7" s="430" t="s">
        <v>851</v>
      </c>
      <c r="BJ7" s="433">
        <v>13.94</v>
      </c>
      <c r="BK7" s="439">
        <v>15.05</v>
      </c>
      <c r="BL7" s="439">
        <v>15.12</v>
      </c>
      <c r="BM7" s="439">
        <v>14.9</v>
      </c>
      <c r="BN7" s="439">
        <v>17.02</v>
      </c>
      <c r="BO7" s="439">
        <v>2.6</v>
      </c>
      <c r="BP7" s="439">
        <v>415323.09</v>
      </c>
      <c r="BQ7" s="440">
        <v>22431225</v>
      </c>
      <c r="BR7" s="440">
        <v>6596</v>
      </c>
      <c r="BS7" s="438">
        <v>3383</v>
      </c>
      <c r="BT7" s="439">
        <f>AP7/AV7*100</f>
        <v>96.137467810962733</v>
      </c>
      <c r="BU7" s="439">
        <v>29.94</v>
      </c>
      <c r="BV7" s="439">
        <v>28.79</v>
      </c>
      <c r="BW7" s="439">
        <f>(M7+BA7)/AV7*100</f>
        <v>6.4554216414898864</v>
      </c>
      <c r="BX7" s="439">
        <v>5</v>
      </c>
      <c r="BY7" s="439">
        <v>6.85</v>
      </c>
      <c r="BZ7" s="438">
        <v>12.78</v>
      </c>
      <c r="CA7" s="436">
        <f t="shared" ref="CA7:CA13" si="7">BZ7-BY7</f>
        <v>5.93</v>
      </c>
      <c r="CB7" s="431" t="s">
        <v>505</v>
      </c>
      <c r="CC7" s="742" t="s">
        <v>505</v>
      </c>
      <c r="CD7" s="743" t="s">
        <v>505</v>
      </c>
    </row>
    <row r="8" spans="2:84" s="38" customFormat="1" ht="12" customHeight="1">
      <c r="I8" s="353" t="s">
        <v>574</v>
      </c>
      <c r="J8" s="34">
        <v>35188.300000000003</v>
      </c>
      <c r="K8" s="35">
        <v>460.2</v>
      </c>
      <c r="L8" s="37">
        <f t="shared" si="0"/>
        <v>35648.5</v>
      </c>
      <c r="M8" s="35">
        <v>2958.6</v>
      </c>
      <c r="N8" s="37">
        <f t="shared" si="1"/>
        <v>32689.9</v>
      </c>
      <c r="O8" s="34">
        <v>5221.6000000000004</v>
      </c>
      <c r="P8" s="35">
        <v>15680.8</v>
      </c>
      <c r="Q8" s="35">
        <v>26517.599999999999</v>
      </c>
      <c r="R8" s="35">
        <v>189480.5</v>
      </c>
      <c r="S8" s="35">
        <f t="shared" ref="S8" si="8">Q8+R8</f>
        <v>215998.1</v>
      </c>
      <c r="T8" s="34">
        <f t="shared" ref="T8" si="9">P8+S8</f>
        <v>231678.9</v>
      </c>
      <c r="U8" s="35">
        <v>106.9</v>
      </c>
      <c r="V8" s="34">
        <f t="shared" si="2"/>
        <v>59314.400000000001</v>
      </c>
      <c r="W8" s="34">
        <f>R8+V8</f>
        <v>248794.9</v>
      </c>
      <c r="X8" s="35">
        <v>5031.3</v>
      </c>
      <c r="Y8" s="35">
        <v>253826.3</v>
      </c>
      <c r="Z8" s="353" t="s">
        <v>574</v>
      </c>
      <c r="AA8" s="37">
        <v>0</v>
      </c>
      <c r="AB8" s="35">
        <v>7117.1</v>
      </c>
      <c r="AC8" s="35">
        <v>175997.3</v>
      </c>
      <c r="AD8" s="35">
        <f t="shared" ref="AD8" si="10">AB8+AC8</f>
        <v>183114.4</v>
      </c>
      <c r="AE8" s="37">
        <v>0</v>
      </c>
      <c r="AF8" s="34">
        <v>2638.4</v>
      </c>
      <c r="AG8" s="35">
        <v>10887.8</v>
      </c>
      <c r="AH8" s="35">
        <f>AF8+AG8</f>
        <v>13526.199999999999</v>
      </c>
      <c r="AI8" s="35">
        <v>2148.6999999999998</v>
      </c>
      <c r="AJ8" s="35">
        <v>37538.400000000001</v>
      </c>
      <c r="AK8" s="34">
        <v>1553.9</v>
      </c>
      <c r="AL8" s="35">
        <f>AJ8+AK8</f>
        <v>39092.300000000003</v>
      </c>
      <c r="AM8" s="34">
        <f>AA8+AE8+AI8</f>
        <v>2148.6999999999998</v>
      </c>
      <c r="AN8" s="35">
        <f>AB8+AF8+AJ8</f>
        <v>47293.9</v>
      </c>
      <c r="AO8" s="34">
        <f>AC8+AG8+AK8</f>
        <v>188438.99999999997</v>
      </c>
      <c r="AP8" s="34">
        <f>AD8+AH8+AL8</f>
        <v>235732.90000000002</v>
      </c>
      <c r="AQ8" s="353" t="s">
        <v>574</v>
      </c>
      <c r="AR8" s="35">
        <v>758.8</v>
      </c>
      <c r="AS8" s="35">
        <v>6684.7</v>
      </c>
      <c r="AT8" s="35">
        <v>4086.1</v>
      </c>
      <c r="AU8" s="35">
        <v>1564.7</v>
      </c>
      <c r="AV8" s="35">
        <v>231718.2</v>
      </c>
      <c r="AW8" s="35">
        <v>3287.2</v>
      </c>
      <c r="AX8" s="35">
        <f t="shared" si="4"/>
        <v>235005.40000000002</v>
      </c>
      <c r="AY8" s="34">
        <f>AX8*0.05</f>
        <v>11750.270000000002</v>
      </c>
      <c r="AZ8" s="341">
        <f t="shared" si="5"/>
        <v>56.429999999998472</v>
      </c>
      <c r="BA8" s="34">
        <v>11806.7</v>
      </c>
      <c r="BB8" s="35">
        <v>601032.80000000005</v>
      </c>
      <c r="BC8" s="37">
        <f t="shared" si="6"/>
        <v>47455.199999999997</v>
      </c>
      <c r="BD8" s="35">
        <v>2271.4</v>
      </c>
      <c r="BE8" s="35">
        <v>23252.400000000001</v>
      </c>
      <c r="BF8" s="35">
        <v>1119.9000000000001</v>
      </c>
      <c r="BG8" s="35">
        <v>35472.699999999997</v>
      </c>
      <c r="BH8" s="35">
        <f>BD8+BE8+BF8+BG8</f>
        <v>62116.4</v>
      </c>
      <c r="BI8" s="353" t="s">
        <v>574</v>
      </c>
      <c r="BJ8" s="354">
        <v>30.41</v>
      </c>
      <c r="BK8" s="21">
        <v>-32.17</v>
      </c>
      <c r="BL8" s="21">
        <v>25.15</v>
      </c>
      <c r="BM8" s="21">
        <v>21.18</v>
      </c>
      <c r="BN8" s="21">
        <v>17.59</v>
      </c>
      <c r="BO8" s="35">
        <v>2.5299999999999998</v>
      </c>
      <c r="BP8" s="40">
        <v>479057.4</v>
      </c>
      <c r="BQ8" s="39">
        <v>24375719</v>
      </c>
      <c r="BR8" s="41">
        <v>6747</v>
      </c>
      <c r="BS8" s="35">
        <v>3383</v>
      </c>
      <c r="BT8" s="21">
        <f>AP8/AV8*100</f>
        <v>101.7325786235177</v>
      </c>
      <c r="BU8" s="21">
        <f>AV8/BR8</f>
        <v>34.343886171631837</v>
      </c>
      <c r="BV8" s="21">
        <f>AP8/BR8</f>
        <v>34.938921001926786</v>
      </c>
      <c r="BW8" s="21">
        <f>(M8+BA8)/AV8*100</f>
        <v>6.3720933444157604</v>
      </c>
      <c r="BX8" s="21">
        <v>5</v>
      </c>
      <c r="BY8" s="21">
        <v>6.95</v>
      </c>
      <c r="BZ8" s="46">
        <v>12.29</v>
      </c>
      <c r="CA8" s="36">
        <f t="shared" si="7"/>
        <v>5.339999999999999</v>
      </c>
      <c r="CB8" s="341" t="s">
        <v>505</v>
      </c>
      <c r="CC8" s="343" t="s">
        <v>505</v>
      </c>
      <c r="CD8" s="24" t="s">
        <v>505</v>
      </c>
    </row>
    <row r="9" spans="2:84" s="38" customFormat="1" ht="12" customHeight="1">
      <c r="I9" s="441" t="s">
        <v>114</v>
      </c>
      <c r="J9" s="437">
        <v>38970</v>
      </c>
      <c r="K9" s="442">
        <v>478.7</v>
      </c>
      <c r="L9" s="443">
        <v>39448.699999999997</v>
      </c>
      <c r="M9" s="442">
        <v>3399.5</v>
      </c>
      <c r="N9" s="443">
        <v>36049.199999999997</v>
      </c>
      <c r="O9" s="437">
        <v>7076.3</v>
      </c>
      <c r="P9" s="442">
        <v>18312.599999999999</v>
      </c>
      <c r="Q9" s="442">
        <v>30236.5</v>
      </c>
      <c r="R9" s="437">
        <v>230073</v>
      </c>
      <c r="S9" s="442">
        <v>260309.5</v>
      </c>
      <c r="T9" s="437">
        <v>278622.09999999998</v>
      </c>
      <c r="U9" s="442">
        <v>141.19999999999999</v>
      </c>
      <c r="V9" s="437">
        <v>66426.899999999994</v>
      </c>
      <c r="W9" s="437">
        <v>296499.90000000002</v>
      </c>
      <c r="X9" s="442">
        <v>6084.7</v>
      </c>
      <c r="Y9" s="442">
        <v>302584.60000000003</v>
      </c>
      <c r="Z9" s="441" t="s">
        <v>114</v>
      </c>
      <c r="AA9" s="443">
        <v>0</v>
      </c>
      <c r="AB9" s="437">
        <v>9644</v>
      </c>
      <c r="AC9" s="442">
        <v>204574.6</v>
      </c>
      <c r="AD9" s="442">
        <v>214218.6</v>
      </c>
      <c r="AE9" s="443">
        <v>0</v>
      </c>
      <c r="AF9" s="437">
        <v>2611.9</v>
      </c>
      <c r="AG9" s="442">
        <v>9103.2000000000007</v>
      </c>
      <c r="AH9" s="442">
        <v>11715.1</v>
      </c>
      <c r="AI9" s="442">
        <v>1545.7</v>
      </c>
      <c r="AJ9" s="442">
        <v>46863.8</v>
      </c>
      <c r="AK9" s="437">
        <v>2227.6</v>
      </c>
      <c r="AL9" s="442">
        <v>49091.4</v>
      </c>
      <c r="AM9" s="437">
        <v>1545.7</v>
      </c>
      <c r="AN9" s="442">
        <v>59119.700000000004</v>
      </c>
      <c r="AO9" s="437">
        <v>215905.40000000002</v>
      </c>
      <c r="AP9" s="437">
        <v>275025.10000000003</v>
      </c>
      <c r="AQ9" s="441" t="s">
        <v>114</v>
      </c>
      <c r="AR9" s="442">
        <v>1208.5</v>
      </c>
      <c r="AS9" s="437">
        <v>6102</v>
      </c>
      <c r="AT9" s="442">
        <v>2594.1999999999998</v>
      </c>
      <c r="AU9" s="442">
        <v>1213.5999999999999</v>
      </c>
      <c r="AV9" s="442">
        <v>278680.39999999997</v>
      </c>
      <c r="AW9" s="442">
        <v>3960.4</v>
      </c>
      <c r="AX9" s="442">
        <v>282640.8</v>
      </c>
      <c r="AY9" s="437">
        <f>AX9*0.05</f>
        <v>14132.04</v>
      </c>
      <c r="AZ9" s="431">
        <f t="shared" si="5"/>
        <v>9027.4599999999991</v>
      </c>
      <c r="BA9" s="437">
        <v>23159.5</v>
      </c>
      <c r="BB9" s="442">
        <v>704068.7</v>
      </c>
      <c r="BC9" s="443">
        <v>69424.600000000006</v>
      </c>
      <c r="BD9" s="437">
        <v>3973</v>
      </c>
      <c r="BE9" s="442">
        <v>28474.1</v>
      </c>
      <c r="BF9" s="442">
        <v>2797.6</v>
      </c>
      <c r="BG9" s="442">
        <v>44754.700000000004</v>
      </c>
      <c r="BH9" s="442">
        <v>79999.399999999994</v>
      </c>
      <c r="BI9" s="441" t="s">
        <v>114</v>
      </c>
      <c r="BJ9" s="444">
        <v>24.04</v>
      </c>
      <c r="BK9" s="445">
        <v>6.55</v>
      </c>
      <c r="BL9" s="445">
        <v>14.62</v>
      </c>
      <c r="BM9" s="445">
        <v>16.02</v>
      </c>
      <c r="BN9" s="445">
        <v>19.170000000000002</v>
      </c>
      <c r="BO9" s="442">
        <v>2.38</v>
      </c>
      <c r="BP9" s="445">
        <v>615413.53</v>
      </c>
      <c r="BQ9" s="442">
        <v>25624044</v>
      </c>
      <c r="BR9" s="446">
        <v>6936</v>
      </c>
      <c r="BS9" s="442">
        <v>3387</v>
      </c>
      <c r="BT9" s="445">
        <v>98.688354114605858</v>
      </c>
      <c r="BU9" s="445">
        <v>40.178835063437134</v>
      </c>
      <c r="BV9" s="445">
        <v>39.651831026528264</v>
      </c>
      <c r="BW9" s="445">
        <v>11.976227965798817</v>
      </c>
      <c r="BX9" s="445">
        <v>5</v>
      </c>
      <c r="BY9" s="445">
        <v>7.01</v>
      </c>
      <c r="BZ9" s="447">
        <v>11.87</v>
      </c>
      <c r="CA9" s="436">
        <f t="shared" si="7"/>
        <v>4.8599999999999994</v>
      </c>
      <c r="CB9" s="431" t="s">
        <v>505</v>
      </c>
      <c r="CC9" s="742" t="s">
        <v>505</v>
      </c>
      <c r="CD9" s="743" t="s">
        <v>505</v>
      </c>
    </row>
    <row r="10" spans="2:84" s="38" customFormat="1" ht="12" customHeight="1">
      <c r="I10" s="353" t="s">
        <v>110</v>
      </c>
      <c r="J10" s="34">
        <v>49947.3</v>
      </c>
      <c r="K10" s="35">
        <v>518.1</v>
      </c>
      <c r="L10" s="37">
        <v>50465.4</v>
      </c>
      <c r="M10" s="35">
        <v>4308.3</v>
      </c>
      <c r="N10" s="37">
        <v>46157.1</v>
      </c>
      <c r="O10" s="34">
        <v>7971.5</v>
      </c>
      <c r="P10" s="35">
        <v>20181.099999999999</v>
      </c>
      <c r="Q10" s="35">
        <v>41621.800000000003</v>
      </c>
      <c r="R10" s="34">
        <v>275042.8</v>
      </c>
      <c r="S10" s="35">
        <v>316664.59999999998</v>
      </c>
      <c r="T10" s="34">
        <v>336845.69999999995</v>
      </c>
      <c r="U10" s="35">
        <v>209.4</v>
      </c>
      <c r="V10" s="34">
        <v>87988.299999999988</v>
      </c>
      <c r="W10" s="34">
        <v>363031.1</v>
      </c>
      <c r="X10" s="35">
        <v>6935.3</v>
      </c>
      <c r="Y10" s="35">
        <v>369966.39999999997</v>
      </c>
      <c r="Z10" s="353" t="s">
        <v>110</v>
      </c>
      <c r="AA10" s="37">
        <v>0</v>
      </c>
      <c r="AB10" s="34">
        <v>10726.3</v>
      </c>
      <c r="AC10" s="35">
        <v>253455.9</v>
      </c>
      <c r="AD10" s="35">
        <v>264182.2</v>
      </c>
      <c r="AE10" s="37">
        <v>0</v>
      </c>
      <c r="AF10" s="34">
        <v>3865.2</v>
      </c>
      <c r="AG10" s="35">
        <v>10202.4</v>
      </c>
      <c r="AH10" s="35">
        <v>14067.599999999999</v>
      </c>
      <c r="AI10" s="35">
        <v>2127.4</v>
      </c>
      <c r="AJ10" s="35">
        <v>51891.3</v>
      </c>
      <c r="AK10" s="34">
        <v>4513.7</v>
      </c>
      <c r="AL10" s="34">
        <v>56405</v>
      </c>
      <c r="AM10" s="34">
        <v>2127.4</v>
      </c>
      <c r="AN10" s="35">
        <v>66482.8</v>
      </c>
      <c r="AO10" s="34">
        <v>268172</v>
      </c>
      <c r="AP10" s="34">
        <v>334654.8</v>
      </c>
      <c r="AQ10" s="353" t="s">
        <v>110</v>
      </c>
      <c r="AR10" s="35">
        <v>1749.5</v>
      </c>
      <c r="AS10" s="34">
        <v>5852.1</v>
      </c>
      <c r="AT10" s="35">
        <v>5087.3</v>
      </c>
      <c r="AU10" s="35">
        <v>1561.7</v>
      </c>
      <c r="AV10" s="35">
        <v>336869.7</v>
      </c>
      <c r="AW10" s="35">
        <v>3885.6</v>
      </c>
      <c r="AX10" s="35">
        <v>340755.3</v>
      </c>
      <c r="AY10" s="34">
        <f>AX10*0.055</f>
        <v>18741.541499999999</v>
      </c>
      <c r="AZ10" s="341">
        <f t="shared" si="5"/>
        <v>4726.4585000000006</v>
      </c>
      <c r="BA10" s="34">
        <v>23468</v>
      </c>
      <c r="BB10" s="35">
        <v>863330.4</v>
      </c>
      <c r="BC10" s="37">
        <v>81350</v>
      </c>
      <c r="BD10" s="34">
        <v>5.0999999999999996</v>
      </c>
      <c r="BE10" s="35">
        <v>21788.2</v>
      </c>
      <c r="BF10" s="35">
        <v>3141.2</v>
      </c>
      <c r="BG10" s="35">
        <v>49111.5</v>
      </c>
      <c r="BH10" s="34">
        <v>74046</v>
      </c>
      <c r="BI10" s="353" t="s">
        <v>110</v>
      </c>
      <c r="BJ10" s="354">
        <v>-6.52</v>
      </c>
      <c r="BK10" s="21">
        <v>20.77</v>
      </c>
      <c r="BL10" s="21">
        <v>24.24</v>
      </c>
      <c r="BM10" s="21">
        <v>17.89</v>
      </c>
      <c r="BN10" s="21">
        <v>22.44</v>
      </c>
      <c r="BO10" s="21">
        <v>2.2000000000000002</v>
      </c>
      <c r="BP10" s="40">
        <v>933097.39000000013</v>
      </c>
      <c r="BQ10" s="39">
        <v>30670124</v>
      </c>
      <c r="BR10" s="41">
        <v>7246</v>
      </c>
      <c r="BS10" s="35">
        <v>3394</v>
      </c>
      <c r="BT10" s="21">
        <v>99.342505425688316</v>
      </c>
      <c r="BU10" s="21">
        <v>46.490436102677343</v>
      </c>
      <c r="BV10" s="21">
        <v>46.184764007728397</v>
      </c>
      <c r="BW10" s="21">
        <v>10.447036346694286</v>
      </c>
      <c r="BX10" s="21">
        <v>5</v>
      </c>
      <c r="BY10" s="21">
        <v>6.01</v>
      </c>
      <c r="BZ10" s="46">
        <v>11.31</v>
      </c>
      <c r="CA10" s="36">
        <f t="shared" si="7"/>
        <v>5.3000000000000007</v>
      </c>
      <c r="CB10" s="341" t="s">
        <v>505</v>
      </c>
      <c r="CC10" s="343" t="s">
        <v>505</v>
      </c>
      <c r="CD10" s="24" t="s">
        <v>505</v>
      </c>
    </row>
    <row r="11" spans="2:84" s="35" customFormat="1" ht="12" customHeight="1">
      <c r="I11" s="441" t="s">
        <v>253</v>
      </c>
      <c r="J11" s="437">
        <v>59915.5</v>
      </c>
      <c r="K11" s="437">
        <v>611.4</v>
      </c>
      <c r="L11" s="443">
        <v>60526.9</v>
      </c>
      <c r="M11" s="437">
        <v>5731.8</v>
      </c>
      <c r="N11" s="443">
        <v>54795.1</v>
      </c>
      <c r="O11" s="437">
        <v>9482</v>
      </c>
      <c r="P11" s="437">
        <v>24919.8</v>
      </c>
      <c r="Q11" s="437">
        <v>48106.2</v>
      </c>
      <c r="R11" s="437">
        <v>337418.9</v>
      </c>
      <c r="S11" s="442">
        <v>385525.10000000003</v>
      </c>
      <c r="T11" s="437">
        <v>410444.9</v>
      </c>
      <c r="U11" s="437">
        <v>199.8</v>
      </c>
      <c r="V11" s="437">
        <v>103101.09999999999</v>
      </c>
      <c r="W11" s="437">
        <v>440520</v>
      </c>
      <c r="X11" s="437">
        <v>4976</v>
      </c>
      <c r="Y11" s="437">
        <v>445496</v>
      </c>
      <c r="Z11" s="441" t="s">
        <v>253</v>
      </c>
      <c r="AA11" s="437">
        <v>0</v>
      </c>
      <c r="AB11" s="437">
        <v>13830.7</v>
      </c>
      <c r="AC11" s="437">
        <v>312803.5</v>
      </c>
      <c r="AD11" s="437">
        <v>326634.2</v>
      </c>
      <c r="AE11" s="437">
        <v>0</v>
      </c>
      <c r="AF11" s="437">
        <v>4371.8999999999996</v>
      </c>
      <c r="AG11" s="437">
        <v>16670.400000000001</v>
      </c>
      <c r="AH11" s="437">
        <v>21042.300000000003</v>
      </c>
      <c r="AI11" s="437">
        <v>3080.3</v>
      </c>
      <c r="AJ11" s="437">
        <v>66704</v>
      </c>
      <c r="AK11" s="437">
        <v>8095.2</v>
      </c>
      <c r="AL11" s="437">
        <v>74799.199999999997</v>
      </c>
      <c r="AM11" s="437">
        <v>3080.3</v>
      </c>
      <c r="AN11" s="437">
        <v>84906.6</v>
      </c>
      <c r="AO11" s="437">
        <v>337569.10000000003</v>
      </c>
      <c r="AP11" s="437">
        <v>422475.7</v>
      </c>
      <c r="AQ11" s="441" t="s">
        <v>253</v>
      </c>
      <c r="AR11" s="437">
        <v>1959.3</v>
      </c>
      <c r="AS11" s="437">
        <v>17833.400000000001</v>
      </c>
      <c r="AT11" s="437">
        <v>3960.3</v>
      </c>
      <c r="AU11" s="437">
        <v>2329.1999999999998</v>
      </c>
      <c r="AV11" s="437">
        <v>410470.7</v>
      </c>
      <c r="AW11" s="437">
        <v>5461.7</v>
      </c>
      <c r="AX11" s="437">
        <v>415932.4</v>
      </c>
      <c r="AY11" s="437">
        <v>24955.944</v>
      </c>
      <c r="AZ11" s="431">
        <v>4051.7560000000012</v>
      </c>
      <c r="BA11" s="443">
        <v>29007.7</v>
      </c>
      <c r="BB11" s="437">
        <v>1087850.3</v>
      </c>
      <c r="BC11" s="443">
        <v>89534.6</v>
      </c>
      <c r="BD11" s="437">
        <v>10732.9</v>
      </c>
      <c r="BE11" s="437">
        <v>20625.2</v>
      </c>
      <c r="BF11" s="437">
        <v>2591</v>
      </c>
      <c r="BG11" s="437">
        <v>63715.1</v>
      </c>
      <c r="BH11" s="437">
        <v>97664.2</v>
      </c>
      <c r="BI11" s="441" t="s">
        <v>253</v>
      </c>
      <c r="BJ11" s="445">
        <v>34.89</v>
      </c>
      <c r="BK11" s="445">
        <v>28.72</v>
      </c>
      <c r="BL11" s="445">
        <v>25.84</v>
      </c>
      <c r="BM11" s="445">
        <v>27.41</v>
      </c>
      <c r="BN11" s="445">
        <v>21.34</v>
      </c>
      <c r="BO11" s="445">
        <v>2.08</v>
      </c>
      <c r="BP11" s="445">
        <v>1149439.29</v>
      </c>
      <c r="BQ11" s="446">
        <v>26162053</v>
      </c>
      <c r="BR11" s="446">
        <v>7712</v>
      </c>
      <c r="BS11" s="446">
        <v>3414</v>
      </c>
      <c r="BT11" s="445">
        <v>102.92469109244581</v>
      </c>
      <c r="BU11" s="445">
        <v>53.224935165975104</v>
      </c>
      <c r="BV11" s="445">
        <v>54.781600103734441</v>
      </c>
      <c r="BW11" s="445">
        <v>8.4633324619759698</v>
      </c>
      <c r="BX11" s="445">
        <v>5</v>
      </c>
      <c r="BY11" s="445">
        <v>7.27</v>
      </c>
      <c r="BZ11" s="445">
        <v>12.42</v>
      </c>
      <c r="CA11" s="436">
        <f t="shared" si="7"/>
        <v>5.15</v>
      </c>
      <c r="CB11" s="431" t="s">
        <v>505</v>
      </c>
      <c r="CC11" s="742" t="s">
        <v>505</v>
      </c>
      <c r="CD11" s="743" t="s">
        <v>505</v>
      </c>
    </row>
    <row r="12" spans="2:84" s="39" customFormat="1" ht="12" customHeight="1">
      <c r="I12" s="758" t="s">
        <v>1395</v>
      </c>
      <c r="J12" s="79">
        <v>64200.7</v>
      </c>
      <c r="K12" s="79">
        <v>695.8</v>
      </c>
      <c r="L12" s="355">
        <v>64896.5</v>
      </c>
      <c r="M12" s="79">
        <v>6479.4</v>
      </c>
      <c r="N12" s="355">
        <v>58417.1</v>
      </c>
      <c r="O12" s="79">
        <v>11992.2</v>
      </c>
      <c r="P12" s="79">
        <v>31574.2</v>
      </c>
      <c r="Q12" s="79">
        <v>51060.4</v>
      </c>
      <c r="R12" s="79">
        <v>407388.1</v>
      </c>
      <c r="S12" s="39">
        <v>458448.5</v>
      </c>
      <c r="T12" s="79">
        <v>490022.7</v>
      </c>
      <c r="U12" s="79">
        <v>243.9</v>
      </c>
      <c r="V12" s="79">
        <v>109721.4</v>
      </c>
      <c r="W12" s="79">
        <v>517109.5</v>
      </c>
      <c r="X12" s="79">
        <v>2533.6999999999998</v>
      </c>
      <c r="Y12" s="79">
        <v>519643.2</v>
      </c>
      <c r="Z12" s="758" t="s">
        <v>1395</v>
      </c>
      <c r="AA12" s="79">
        <v>0</v>
      </c>
      <c r="AB12" s="79">
        <v>14190.3</v>
      </c>
      <c r="AC12" s="79">
        <v>373614.6</v>
      </c>
      <c r="AD12" s="79">
        <v>387804.89999999997</v>
      </c>
      <c r="AE12" s="79">
        <v>0</v>
      </c>
      <c r="AF12" s="79">
        <v>2534.6999999999998</v>
      </c>
      <c r="AG12" s="79">
        <v>21317.5</v>
      </c>
      <c r="AH12" s="79">
        <v>23852.2</v>
      </c>
      <c r="AI12" s="79">
        <v>5173</v>
      </c>
      <c r="AJ12" s="79">
        <v>86057.1</v>
      </c>
      <c r="AK12" s="79">
        <v>9370.7999999999993</v>
      </c>
      <c r="AL12" s="79">
        <v>95427.900000000009</v>
      </c>
      <c r="AM12" s="79">
        <v>5173</v>
      </c>
      <c r="AN12" s="79">
        <v>102782.1</v>
      </c>
      <c r="AO12" s="79">
        <v>404302.89999999997</v>
      </c>
      <c r="AP12" s="79">
        <v>507085</v>
      </c>
      <c r="AQ12" s="758" t="s">
        <v>1395</v>
      </c>
      <c r="AR12" s="79">
        <v>2320</v>
      </c>
      <c r="AS12" s="79">
        <v>21671.599999999999</v>
      </c>
      <c r="AT12" s="79">
        <v>9197</v>
      </c>
      <c r="AU12" s="79">
        <v>3377.7</v>
      </c>
      <c r="AV12" s="79">
        <v>490038.80000000005</v>
      </c>
      <c r="AW12" s="79">
        <v>7141.5</v>
      </c>
      <c r="AX12" s="79">
        <v>497180.30000000005</v>
      </c>
      <c r="AY12" s="79">
        <v>29830.818000000003</v>
      </c>
      <c r="AZ12" s="347">
        <v>2831.4819999999963</v>
      </c>
      <c r="BA12" s="355">
        <v>32662.3</v>
      </c>
      <c r="BB12" s="79">
        <v>1296703.2</v>
      </c>
      <c r="BC12" s="355">
        <v>97558.8</v>
      </c>
      <c r="BD12" s="79">
        <v>9829.8000000000011</v>
      </c>
      <c r="BE12" s="79">
        <v>27482.100000000002</v>
      </c>
      <c r="BF12" s="79">
        <v>3379.1</v>
      </c>
      <c r="BG12" s="79">
        <v>82057.899999999994</v>
      </c>
      <c r="BH12" s="79">
        <v>122748.9</v>
      </c>
      <c r="BI12" s="758" t="s">
        <v>1395</v>
      </c>
      <c r="BJ12" s="40">
        <v>25.15</v>
      </c>
      <c r="BK12" s="40">
        <v>-5.01</v>
      </c>
      <c r="BL12" s="40">
        <v>19.72</v>
      </c>
      <c r="BM12" s="40">
        <v>19.53</v>
      </c>
      <c r="BN12" s="40">
        <v>17.39</v>
      </c>
      <c r="BO12" s="40">
        <v>2.04</v>
      </c>
      <c r="BP12" s="40">
        <v>1032945.5599999999</v>
      </c>
      <c r="BQ12" s="212">
        <v>22064500</v>
      </c>
      <c r="BR12" s="212">
        <v>8059</v>
      </c>
      <c r="BS12" s="212">
        <v>3449</v>
      </c>
      <c r="BT12" s="40">
        <v>103.47854088288517</v>
      </c>
      <c r="BU12" s="40">
        <v>60.806402779501184</v>
      </c>
      <c r="BV12" s="40">
        <v>62.921578359597966</v>
      </c>
      <c r="BW12" s="40">
        <v>7.9874695636345514</v>
      </c>
      <c r="BX12" s="40">
        <v>5</v>
      </c>
      <c r="BY12" s="40">
        <v>8.15</v>
      </c>
      <c r="BZ12" s="40">
        <v>13.75</v>
      </c>
      <c r="CA12" s="36">
        <f t="shared" si="7"/>
        <v>5.6</v>
      </c>
      <c r="CB12" s="347" t="s">
        <v>505</v>
      </c>
      <c r="CC12" s="759" t="s">
        <v>505</v>
      </c>
      <c r="CD12" s="345" t="s">
        <v>505</v>
      </c>
    </row>
    <row r="13" spans="2:84" s="39" customFormat="1" ht="12" customHeight="1">
      <c r="I13" s="441" t="s">
        <v>1361</v>
      </c>
      <c r="J13" s="437">
        <v>74633.600000000006</v>
      </c>
      <c r="K13" s="437">
        <v>738.7</v>
      </c>
      <c r="L13" s="443">
        <v>75372.3</v>
      </c>
      <c r="M13" s="437">
        <v>7819.4</v>
      </c>
      <c r="N13" s="443">
        <v>67552.899999999994</v>
      </c>
      <c r="O13" s="437">
        <v>16749.2</v>
      </c>
      <c r="P13" s="437">
        <v>37251.699999999997</v>
      </c>
      <c r="Q13" s="437">
        <v>55736.5</v>
      </c>
      <c r="R13" s="437">
        <v>479902.3</v>
      </c>
      <c r="S13" s="442">
        <v>535638.80000000005</v>
      </c>
      <c r="T13" s="437">
        <v>572890.5</v>
      </c>
      <c r="U13" s="437">
        <v>313.7</v>
      </c>
      <c r="V13" s="437">
        <v>123603.09999999999</v>
      </c>
      <c r="W13" s="437">
        <v>603505.4</v>
      </c>
      <c r="X13" s="437">
        <v>52.2</v>
      </c>
      <c r="Y13" s="437">
        <v>603557.6</v>
      </c>
      <c r="Z13" s="441" t="s">
        <v>1361</v>
      </c>
      <c r="AA13" s="437">
        <v>0</v>
      </c>
      <c r="AB13" s="437">
        <v>10424.6</v>
      </c>
      <c r="AC13" s="437">
        <v>417890.5</v>
      </c>
      <c r="AD13" s="437">
        <v>428315.1</v>
      </c>
      <c r="AE13" s="437">
        <v>0</v>
      </c>
      <c r="AF13" s="437">
        <v>939.6</v>
      </c>
      <c r="AG13" s="437">
        <v>18961.2</v>
      </c>
      <c r="AH13" s="437">
        <v>19900.8</v>
      </c>
      <c r="AI13" s="437">
        <v>6677.8</v>
      </c>
      <c r="AJ13" s="437">
        <v>123736.6</v>
      </c>
      <c r="AK13" s="437">
        <v>11125.2</v>
      </c>
      <c r="AL13" s="437">
        <v>134861.80000000002</v>
      </c>
      <c r="AM13" s="437">
        <v>6677.8</v>
      </c>
      <c r="AN13" s="437">
        <v>135100.80000000002</v>
      </c>
      <c r="AO13" s="437">
        <v>447976.9</v>
      </c>
      <c r="AP13" s="437">
        <v>583077.69999999995</v>
      </c>
      <c r="AQ13" s="441" t="s">
        <v>1361</v>
      </c>
      <c r="AR13" s="437">
        <v>9784.5</v>
      </c>
      <c r="AS13" s="437">
        <v>9441.9</v>
      </c>
      <c r="AT13" s="437">
        <v>9640.7999999999993</v>
      </c>
      <c r="AU13" s="437">
        <v>147</v>
      </c>
      <c r="AV13" s="437">
        <v>572957.5</v>
      </c>
      <c r="AW13" s="437">
        <v>6509</v>
      </c>
      <c r="AX13" s="437">
        <v>579466.5</v>
      </c>
      <c r="AY13" s="437">
        <v>34767.99</v>
      </c>
      <c r="AZ13" s="431">
        <v>2035.4100000000035</v>
      </c>
      <c r="BA13" s="443">
        <v>36803.4</v>
      </c>
      <c r="BB13" s="437">
        <v>1462258.7</v>
      </c>
      <c r="BC13" s="443">
        <v>112175.70000000001</v>
      </c>
      <c r="BD13" s="437">
        <v>9204.5</v>
      </c>
      <c r="BE13" s="437">
        <v>21263.200000000001</v>
      </c>
      <c r="BF13" s="437">
        <v>3720.1000000000004</v>
      </c>
      <c r="BG13" s="437">
        <v>123280</v>
      </c>
      <c r="BH13" s="437">
        <v>157467.79999999999</v>
      </c>
      <c r="BI13" s="441" t="s">
        <v>1361</v>
      </c>
      <c r="BJ13" s="445">
        <v>19.91</v>
      </c>
      <c r="BK13" s="445">
        <v>9.06</v>
      </c>
      <c r="BL13" s="445">
        <v>10.85</v>
      </c>
      <c r="BM13" s="445">
        <v>12.4</v>
      </c>
      <c r="BN13" s="445">
        <v>16.71</v>
      </c>
      <c r="BO13" s="445">
        <v>1.99</v>
      </c>
      <c r="BP13" s="445">
        <v>1206241.4000000001</v>
      </c>
      <c r="BQ13" s="446">
        <v>23019773</v>
      </c>
      <c r="BR13" s="446">
        <v>8427</v>
      </c>
      <c r="BS13" s="446">
        <v>3499</v>
      </c>
      <c r="BT13" s="445">
        <v>101.76630901942988</v>
      </c>
      <c r="BU13" s="445">
        <v>67.990684703927855</v>
      </c>
      <c r="BV13" s="445">
        <v>69.191610300225463</v>
      </c>
      <c r="BW13" s="445">
        <v>7.7881518262698375</v>
      </c>
      <c r="BX13" s="445">
        <v>5</v>
      </c>
      <c r="BY13" s="445">
        <v>8.5399999999999991</v>
      </c>
      <c r="BZ13" s="445">
        <v>13.67</v>
      </c>
      <c r="CA13" s="436">
        <f t="shared" si="7"/>
        <v>5.1300000000000008</v>
      </c>
      <c r="CB13" s="433">
        <v>14.21</v>
      </c>
      <c r="CC13" s="436">
        <v>17.440000000000001</v>
      </c>
      <c r="CD13" s="436">
        <f>CC13-CB13</f>
        <v>3.2300000000000004</v>
      </c>
      <c r="CE13" s="40"/>
      <c r="CF13" s="40"/>
    </row>
    <row r="14" spans="2:84" s="393" customFormat="1" ht="12" customHeight="1">
      <c r="I14" s="346" t="s">
        <v>1693</v>
      </c>
      <c r="J14" s="348">
        <v>84714.1</v>
      </c>
      <c r="K14" s="348">
        <v>771.1</v>
      </c>
      <c r="L14" s="348">
        <v>85485.200000000012</v>
      </c>
      <c r="M14" s="348">
        <v>8576.7999999999993</v>
      </c>
      <c r="N14" s="348">
        <v>76908.400000000009</v>
      </c>
      <c r="O14" s="348">
        <v>14653.7</v>
      </c>
      <c r="P14" s="348">
        <v>39217.699999999997</v>
      </c>
      <c r="Q14" s="348">
        <v>64344.3</v>
      </c>
      <c r="R14" s="348">
        <v>558978.4</v>
      </c>
      <c r="S14" s="348">
        <v>623322.70000000007</v>
      </c>
      <c r="T14" s="348">
        <v>662540.4</v>
      </c>
      <c r="U14" s="348">
        <v>392.4</v>
      </c>
      <c r="V14" s="348">
        <v>141645.1</v>
      </c>
      <c r="W14" s="348">
        <v>700623.5</v>
      </c>
      <c r="X14" s="348" t="s">
        <v>505</v>
      </c>
      <c r="Y14" s="348" t="s">
        <v>505</v>
      </c>
      <c r="Z14" s="346" t="s">
        <v>1693</v>
      </c>
      <c r="AA14" s="348">
        <v>0</v>
      </c>
      <c r="AB14" s="348">
        <v>12682.9</v>
      </c>
      <c r="AC14" s="348">
        <v>472716.79999999999</v>
      </c>
      <c r="AD14" s="348">
        <v>485399.7</v>
      </c>
      <c r="AE14" s="348">
        <v>0</v>
      </c>
      <c r="AF14" s="348">
        <v>1119.4000000000001</v>
      </c>
      <c r="AG14" s="348">
        <v>18229.8</v>
      </c>
      <c r="AH14" s="348">
        <v>19349.2</v>
      </c>
      <c r="AI14" s="348">
        <v>7694</v>
      </c>
      <c r="AJ14" s="348">
        <v>152996.79999999999</v>
      </c>
      <c r="AK14" s="348">
        <v>12420.6</v>
      </c>
      <c r="AL14" s="348">
        <v>165417.4</v>
      </c>
      <c r="AM14" s="348">
        <v>7694</v>
      </c>
      <c r="AN14" s="348">
        <v>166799.09999999998</v>
      </c>
      <c r="AO14" s="348">
        <v>503367.19999999995</v>
      </c>
      <c r="AP14" s="348">
        <v>670166.30000000005</v>
      </c>
      <c r="AQ14" s="346" t="s">
        <v>1693</v>
      </c>
      <c r="AR14" s="348">
        <v>5706.9</v>
      </c>
      <c r="AS14" s="348">
        <v>5526.6</v>
      </c>
      <c r="AT14" s="348">
        <v>9945.7000000000007</v>
      </c>
      <c r="AU14" s="348">
        <v>26.2</v>
      </c>
      <c r="AV14" s="348">
        <v>662559.30000000005</v>
      </c>
      <c r="AW14" s="348">
        <v>6612.1</v>
      </c>
      <c r="AX14" s="348">
        <v>669171.4</v>
      </c>
      <c r="AY14" s="348">
        <v>43496.141000000003</v>
      </c>
      <c r="AZ14" s="348">
        <v>501.55899999999383</v>
      </c>
      <c r="BA14" s="348">
        <v>43997.7</v>
      </c>
      <c r="BB14" s="348">
        <v>1689948.5</v>
      </c>
      <c r="BC14" s="348">
        <v>129482.90000000001</v>
      </c>
      <c r="BD14" s="348">
        <v>78.099999999999994</v>
      </c>
      <c r="BE14" s="348">
        <v>16886.2</v>
      </c>
      <c r="BF14" s="348">
        <v>2769.5</v>
      </c>
      <c r="BG14" s="348">
        <v>152495.40000000002</v>
      </c>
      <c r="BH14" s="348">
        <v>172229.2</v>
      </c>
      <c r="BI14" s="346" t="s">
        <v>1693</v>
      </c>
      <c r="BJ14" s="394">
        <v>6.72</v>
      </c>
      <c r="BK14" s="394">
        <v>34.71</v>
      </c>
      <c r="BL14" s="394">
        <v>12.27</v>
      </c>
      <c r="BM14" s="394">
        <v>11.57</v>
      </c>
      <c r="BN14" s="394">
        <v>15.46</v>
      </c>
      <c r="BO14" s="40">
        <v>1.92</v>
      </c>
      <c r="BP14" s="394">
        <v>1349860.7500000002</v>
      </c>
      <c r="BQ14" s="586">
        <v>25358417</v>
      </c>
      <c r="BR14" s="586">
        <v>8794</v>
      </c>
      <c r="BS14" s="586">
        <v>3536</v>
      </c>
      <c r="BT14" s="394">
        <v>101.14812364719657</v>
      </c>
      <c r="BU14" s="394">
        <v>75.342199226745507</v>
      </c>
      <c r="BV14" s="394">
        <v>76.20722083238573</v>
      </c>
      <c r="BW14" s="394">
        <v>7.9350633218792641</v>
      </c>
      <c r="BX14" s="394">
        <v>5</v>
      </c>
      <c r="BY14" s="394">
        <v>7.79</v>
      </c>
      <c r="BZ14" s="394">
        <v>13.1</v>
      </c>
      <c r="CA14" s="394">
        <v>5.31</v>
      </c>
      <c r="CB14" s="394">
        <v>12.52</v>
      </c>
      <c r="CC14" s="394">
        <v>16.899999999999999</v>
      </c>
      <c r="CD14" s="394">
        <v>4.38</v>
      </c>
    </row>
    <row r="15" spans="2:84" s="393" customFormat="1" ht="12" customHeight="1">
      <c r="I15" s="430" t="s">
        <v>1795</v>
      </c>
      <c r="J15" s="681">
        <v>97361.5</v>
      </c>
      <c r="K15" s="681">
        <v>792.4</v>
      </c>
      <c r="L15" s="681">
        <v>98153.9</v>
      </c>
      <c r="M15" s="681">
        <v>10213.1</v>
      </c>
      <c r="N15" s="681">
        <v>87940.799999999988</v>
      </c>
      <c r="O15" s="681">
        <v>13317.8</v>
      </c>
      <c r="P15" s="681">
        <v>47116.6</v>
      </c>
      <c r="Q15" s="681">
        <v>72383.7</v>
      </c>
      <c r="R15" s="681">
        <v>626799.9</v>
      </c>
      <c r="S15" s="681">
        <v>699183.6</v>
      </c>
      <c r="T15" s="681">
        <v>746300.2</v>
      </c>
      <c r="U15" s="681">
        <v>489.7</v>
      </c>
      <c r="V15" s="681">
        <v>160814.20000000001</v>
      </c>
      <c r="W15" s="681">
        <v>787614.10000000009</v>
      </c>
      <c r="X15" s="658" t="s">
        <v>505</v>
      </c>
      <c r="Y15" s="658" t="s">
        <v>505</v>
      </c>
      <c r="Z15" s="430" t="s">
        <v>1795</v>
      </c>
      <c r="AA15" s="432">
        <v>0</v>
      </c>
      <c r="AB15" s="432">
        <v>15343.1</v>
      </c>
      <c r="AC15" s="432">
        <v>537605.1</v>
      </c>
      <c r="AD15" s="432">
        <v>552948.19999999995</v>
      </c>
      <c r="AE15" s="432">
        <v>0</v>
      </c>
      <c r="AF15" s="432">
        <v>1250.4000000000001</v>
      </c>
      <c r="AG15" s="432">
        <v>18779.3</v>
      </c>
      <c r="AH15" s="432">
        <v>20029.7</v>
      </c>
      <c r="AI15" s="432">
        <v>7130.6</v>
      </c>
      <c r="AJ15" s="432">
        <v>157018.4</v>
      </c>
      <c r="AK15" s="432">
        <v>13569.3</v>
      </c>
      <c r="AL15" s="432">
        <v>170587.69999999998</v>
      </c>
      <c r="AM15" s="432">
        <v>7130.6</v>
      </c>
      <c r="AN15" s="432">
        <v>173611.9</v>
      </c>
      <c r="AO15" s="432">
        <v>569953.70000000007</v>
      </c>
      <c r="AP15" s="432">
        <v>743565.59999999986</v>
      </c>
      <c r="AQ15" s="430" t="s">
        <v>1795</v>
      </c>
      <c r="AR15" s="681">
        <v>5604.1</v>
      </c>
      <c r="AS15" s="681">
        <v>4823.6000000000004</v>
      </c>
      <c r="AT15" s="681">
        <v>7890.2</v>
      </c>
      <c r="AU15" s="681">
        <v>217.9</v>
      </c>
      <c r="AV15" s="681">
        <v>746329.9</v>
      </c>
      <c r="AW15" s="681">
        <v>6653.4</v>
      </c>
      <c r="AX15" s="681">
        <v>752983.3</v>
      </c>
      <c r="AY15" s="681">
        <v>48943.914500000006</v>
      </c>
      <c r="AZ15" s="681">
        <v>894.98549999999523</v>
      </c>
      <c r="BA15" s="681">
        <v>49838.9</v>
      </c>
      <c r="BB15" s="681">
        <v>1962638.4</v>
      </c>
      <c r="BC15" s="681">
        <v>147992.79999999999</v>
      </c>
      <c r="BD15" s="681">
        <v>2435.4</v>
      </c>
      <c r="BE15" s="681">
        <v>8796.4</v>
      </c>
      <c r="BF15" s="681">
        <v>3334.2</v>
      </c>
      <c r="BG15" s="681">
        <v>155768.70000000001</v>
      </c>
      <c r="BH15" s="681">
        <v>170334.7</v>
      </c>
      <c r="BI15" s="430" t="s">
        <v>1795</v>
      </c>
      <c r="BJ15" s="439">
        <v>-6.19</v>
      </c>
      <c r="BK15" s="439">
        <v>34.71</v>
      </c>
      <c r="BL15" s="439">
        <v>12.27</v>
      </c>
      <c r="BM15" s="439">
        <v>11.57</v>
      </c>
      <c r="BN15" s="439">
        <v>16.09</v>
      </c>
      <c r="BO15" s="445">
        <v>1.92</v>
      </c>
      <c r="BP15" s="439" t="s">
        <v>505</v>
      </c>
      <c r="BQ15" s="440" t="s">
        <v>505</v>
      </c>
      <c r="BR15" s="440">
        <v>9131</v>
      </c>
      <c r="BS15" s="440">
        <v>3669</v>
      </c>
      <c r="BT15" s="439">
        <v>99.629614196081363</v>
      </c>
      <c r="BU15" s="439">
        <v>81.735833972182675</v>
      </c>
      <c r="BV15" s="439">
        <v>81.43309604643521</v>
      </c>
      <c r="BW15" s="439">
        <v>8.0463076717146134</v>
      </c>
      <c r="BX15" s="439">
        <v>5</v>
      </c>
      <c r="BY15" s="439">
        <v>6.8</v>
      </c>
      <c r="BZ15" s="439">
        <v>11.67</v>
      </c>
      <c r="CA15" s="439">
        <v>4.87</v>
      </c>
      <c r="CB15" s="439">
        <v>10.61</v>
      </c>
      <c r="CC15" s="439">
        <v>15.12</v>
      </c>
      <c r="CD15" s="439">
        <v>4.51</v>
      </c>
    </row>
    <row r="16" spans="2:84" s="393" customFormat="1" ht="12" customHeight="1">
      <c r="C16" s="1777" t="s">
        <v>2683</v>
      </c>
      <c r="D16" s="1777"/>
      <c r="E16" s="1777"/>
      <c r="F16" s="1777"/>
      <c r="G16" s="1777"/>
      <c r="I16" s="747" t="s">
        <v>1996</v>
      </c>
      <c r="J16" s="832">
        <v>130728.7</v>
      </c>
      <c r="K16" s="832">
        <v>1576.5</v>
      </c>
      <c r="L16" s="832">
        <v>132305.20000000001</v>
      </c>
      <c r="M16" s="832">
        <v>10230.700000000001</v>
      </c>
      <c r="N16" s="832">
        <v>122074.50000000001</v>
      </c>
      <c r="O16" s="832">
        <v>17126.2</v>
      </c>
      <c r="P16" s="832">
        <v>55874.7</v>
      </c>
      <c r="Q16" s="832">
        <v>89759.1</v>
      </c>
      <c r="R16" s="832">
        <v>703947.2</v>
      </c>
      <c r="S16" s="832">
        <v>793706.29999999993</v>
      </c>
      <c r="T16" s="832">
        <v>849580.99999999988</v>
      </c>
      <c r="U16" s="832">
        <v>597.1</v>
      </c>
      <c r="V16" s="832">
        <v>212430.70000000004</v>
      </c>
      <c r="W16" s="832">
        <v>916377.9</v>
      </c>
      <c r="X16" s="1185" t="s">
        <v>505</v>
      </c>
      <c r="Y16" s="1185" t="s">
        <v>505</v>
      </c>
      <c r="Z16" s="747" t="s">
        <v>1996</v>
      </c>
      <c r="AA16" s="832">
        <v>0</v>
      </c>
      <c r="AB16" s="832">
        <v>14977.5</v>
      </c>
      <c r="AC16" s="832">
        <v>627918.19999999995</v>
      </c>
      <c r="AD16" s="832">
        <v>642895.69999999995</v>
      </c>
      <c r="AE16" s="832">
        <v>0</v>
      </c>
      <c r="AF16" s="832">
        <v>1589</v>
      </c>
      <c r="AG16" s="832">
        <v>22461</v>
      </c>
      <c r="AH16" s="832">
        <v>24050</v>
      </c>
      <c r="AI16" s="832">
        <v>8613</v>
      </c>
      <c r="AJ16" s="832">
        <v>157964.29999999999</v>
      </c>
      <c r="AK16" s="832">
        <v>15663.2</v>
      </c>
      <c r="AL16" s="832">
        <v>173627.5</v>
      </c>
      <c r="AM16" s="832">
        <v>8613</v>
      </c>
      <c r="AN16" s="832">
        <v>174530.8</v>
      </c>
      <c r="AO16" s="832">
        <v>666042.39999999991</v>
      </c>
      <c r="AP16" s="832">
        <v>840573.2</v>
      </c>
      <c r="AQ16" s="747" t="s">
        <v>1996</v>
      </c>
      <c r="AR16" s="832">
        <v>5436.7</v>
      </c>
      <c r="AS16" s="832">
        <v>18388.400000000001</v>
      </c>
      <c r="AT16" s="832">
        <v>12975.5</v>
      </c>
      <c r="AU16" s="832">
        <v>50.7</v>
      </c>
      <c r="AV16" s="832">
        <v>849617.20000000007</v>
      </c>
      <c r="AW16" s="832">
        <v>6908.3</v>
      </c>
      <c r="AX16" s="832">
        <v>856525.50000000012</v>
      </c>
      <c r="AY16" s="832">
        <v>55674.157500000008</v>
      </c>
      <c r="AZ16" s="832">
        <v>4624.8424999999916</v>
      </c>
      <c r="BA16" s="832">
        <v>60299</v>
      </c>
      <c r="BB16" s="832">
        <v>2370730.1</v>
      </c>
      <c r="BC16" s="832">
        <v>192604.2</v>
      </c>
      <c r="BD16" s="832">
        <v>4000</v>
      </c>
      <c r="BE16" s="832">
        <v>15984.8</v>
      </c>
      <c r="BF16" s="832">
        <v>3911.6</v>
      </c>
      <c r="BG16" s="832">
        <v>156583.5</v>
      </c>
      <c r="BH16" s="832">
        <v>180479.9</v>
      </c>
      <c r="BI16" s="747" t="s">
        <v>1996</v>
      </c>
      <c r="BJ16" s="831">
        <v>3.59</v>
      </c>
      <c r="BK16" s="831">
        <v>-3.71</v>
      </c>
      <c r="BL16" s="831">
        <v>16.78</v>
      </c>
      <c r="BM16" s="831">
        <v>14.22</v>
      </c>
      <c r="BN16" s="831">
        <v>16.350000000000001</v>
      </c>
      <c r="BO16" s="530">
        <v>1.8909927880190038</v>
      </c>
      <c r="BP16" s="530" t="s">
        <v>505</v>
      </c>
      <c r="BQ16" s="531" t="s">
        <v>505</v>
      </c>
      <c r="BR16" s="1046">
        <v>9453</v>
      </c>
      <c r="BS16" s="1046">
        <v>3700</v>
      </c>
      <c r="BT16" s="831">
        <v>98.935520608575231</v>
      </c>
      <c r="BU16" s="831">
        <v>89.878049296519634</v>
      </c>
      <c r="BV16" s="831">
        <v>88.921315984343593</v>
      </c>
      <c r="BW16" s="831">
        <v>8.3013503022302277</v>
      </c>
      <c r="BX16" s="831">
        <v>5</v>
      </c>
      <c r="BY16" s="831">
        <v>5.54</v>
      </c>
      <c r="BZ16" s="831">
        <v>10.39</v>
      </c>
      <c r="CA16" s="831">
        <v>4.8500000000000005</v>
      </c>
      <c r="CB16" s="831">
        <v>8.9499999999999993</v>
      </c>
      <c r="CC16" s="831">
        <v>13.07</v>
      </c>
      <c r="CD16" s="831">
        <v>4.120000000000001</v>
      </c>
    </row>
    <row r="17" spans="3:84" s="393" customFormat="1" ht="12" customHeight="1">
      <c r="C17" s="1777"/>
      <c r="D17" s="1777"/>
      <c r="E17" s="1777"/>
      <c r="F17" s="1777"/>
      <c r="G17" s="1777"/>
      <c r="I17" s="515" t="s">
        <v>2092</v>
      </c>
      <c r="J17" s="835">
        <f>J29</f>
        <v>149724.70000000001</v>
      </c>
      <c r="K17" s="835">
        <f t="shared" ref="K17:W17" si="11">K29</f>
        <v>1540.5</v>
      </c>
      <c r="L17" s="835">
        <f t="shared" si="11"/>
        <v>151265.20000000001</v>
      </c>
      <c r="M17" s="835">
        <f t="shared" si="11"/>
        <v>13733.4</v>
      </c>
      <c r="N17" s="835">
        <f t="shared" si="11"/>
        <v>137531.80000000002</v>
      </c>
      <c r="O17" s="835">
        <f t="shared" si="11"/>
        <v>22096.9</v>
      </c>
      <c r="P17" s="835">
        <f t="shared" si="11"/>
        <v>64651.3</v>
      </c>
      <c r="Q17" s="835">
        <f t="shared" si="11"/>
        <v>101885.2</v>
      </c>
      <c r="R17" s="835">
        <f t="shared" si="11"/>
        <v>775997.6</v>
      </c>
      <c r="S17" s="835">
        <f t="shared" si="11"/>
        <v>877882.79999999993</v>
      </c>
      <c r="T17" s="835">
        <f t="shared" si="11"/>
        <v>942534.1</v>
      </c>
      <c r="U17" s="835">
        <f t="shared" si="11"/>
        <v>661.5</v>
      </c>
      <c r="V17" s="835">
        <f t="shared" si="11"/>
        <v>240078.5</v>
      </c>
      <c r="W17" s="835">
        <f t="shared" si="11"/>
        <v>1016076.1</v>
      </c>
      <c r="X17" s="947" t="s">
        <v>505</v>
      </c>
      <c r="Y17" s="947" t="s">
        <v>505</v>
      </c>
      <c r="Z17" s="515" t="s">
        <v>2092</v>
      </c>
      <c r="AA17" s="835">
        <f t="shared" ref="AA17:AP17" si="12">AA29</f>
        <v>0</v>
      </c>
      <c r="AB17" s="835">
        <f t="shared" si="12"/>
        <v>15533.2</v>
      </c>
      <c r="AC17" s="835">
        <f t="shared" si="12"/>
        <v>728117</v>
      </c>
      <c r="AD17" s="835">
        <f t="shared" si="12"/>
        <v>743650.2</v>
      </c>
      <c r="AE17" s="835">
        <f t="shared" si="12"/>
        <v>0</v>
      </c>
      <c r="AF17" s="835">
        <f t="shared" si="12"/>
        <v>1726.2</v>
      </c>
      <c r="AG17" s="835">
        <f t="shared" si="12"/>
        <v>27218.5</v>
      </c>
      <c r="AH17" s="835">
        <f t="shared" si="12"/>
        <v>28944.7</v>
      </c>
      <c r="AI17" s="835">
        <f t="shared" si="12"/>
        <v>14073.4</v>
      </c>
      <c r="AJ17" s="835">
        <f t="shared" si="12"/>
        <v>152329.70000000001</v>
      </c>
      <c r="AK17" s="835">
        <f t="shared" si="12"/>
        <v>15744.2</v>
      </c>
      <c r="AL17" s="835">
        <f t="shared" si="12"/>
        <v>168073.90000000002</v>
      </c>
      <c r="AM17" s="835">
        <f t="shared" si="12"/>
        <v>14073.4</v>
      </c>
      <c r="AN17" s="835">
        <f t="shared" si="12"/>
        <v>169589.1</v>
      </c>
      <c r="AO17" s="835">
        <f t="shared" si="12"/>
        <v>771079.7</v>
      </c>
      <c r="AP17" s="835">
        <f t="shared" si="12"/>
        <v>940668.79999999993</v>
      </c>
      <c r="AQ17" s="515" t="s">
        <v>2092</v>
      </c>
      <c r="AR17" s="835">
        <f t="shared" ref="AR17:BH17" si="13">AR29</f>
        <v>7470.4</v>
      </c>
      <c r="AS17" s="835">
        <f t="shared" si="13"/>
        <v>24394.1</v>
      </c>
      <c r="AT17" s="835">
        <f t="shared" si="13"/>
        <v>20759.3</v>
      </c>
      <c r="AU17" s="835">
        <f t="shared" si="13"/>
        <v>62.9</v>
      </c>
      <c r="AV17" s="835">
        <f t="shared" si="13"/>
        <v>942558.51</v>
      </c>
      <c r="AW17" s="835">
        <f t="shared" si="13"/>
        <v>5784.1</v>
      </c>
      <c r="AX17" s="835">
        <f t="shared" si="13"/>
        <v>948342.61</v>
      </c>
      <c r="AY17" s="835">
        <f t="shared" si="13"/>
        <v>61642.269650000002</v>
      </c>
      <c r="AZ17" s="835">
        <f t="shared" si="13"/>
        <v>11090.430349999995</v>
      </c>
      <c r="BA17" s="835">
        <f t="shared" si="13"/>
        <v>72732.7</v>
      </c>
      <c r="BB17" s="835">
        <f t="shared" si="13"/>
        <v>2223734.2999999998</v>
      </c>
      <c r="BC17" s="835">
        <f t="shared" si="13"/>
        <v>223997.90000000002</v>
      </c>
      <c r="BD17" s="835">
        <f t="shared" si="13"/>
        <v>3015.6</v>
      </c>
      <c r="BE17" s="835">
        <f t="shared" si="13"/>
        <v>10964.5</v>
      </c>
      <c r="BF17" s="835">
        <f t="shared" si="13"/>
        <v>3364.4</v>
      </c>
      <c r="BG17" s="835">
        <f t="shared" si="13"/>
        <v>151102.29999999999</v>
      </c>
      <c r="BH17" s="835">
        <f t="shared" si="13"/>
        <v>168446.8</v>
      </c>
      <c r="BI17" s="515" t="s">
        <v>2092</v>
      </c>
      <c r="BJ17" s="1044">
        <f>BJ29</f>
        <v>-14.78</v>
      </c>
      <c r="BK17" s="1044">
        <f>BK29</f>
        <v>7.66</v>
      </c>
      <c r="BL17" s="1044">
        <f>BL29</f>
        <v>15.66</v>
      </c>
      <c r="BM17" s="1044">
        <f>BM29</f>
        <v>11.16</v>
      </c>
      <c r="BN17" s="1044">
        <f>BN29</f>
        <v>10.88</v>
      </c>
      <c r="BO17" s="517">
        <v>1.94</v>
      </c>
      <c r="BP17" s="517" t="s">
        <v>505</v>
      </c>
      <c r="BQ17" s="730" t="s">
        <v>505</v>
      </c>
      <c r="BR17" s="1184">
        <f t="shared" ref="BR17:CD17" si="14">BR29</f>
        <v>9720</v>
      </c>
      <c r="BS17" s="1184">
        <f t="shared" si="14"/>
        <v>3713</v>
      </c>
      <c r="BT17" s="1044">
        <f t="shared" si="14"/>
        <v>99.799512711417776</v>
      </c>
      <c r="BU17" s="1044">
        <f t="shared" si="14"/>
        <v>96.971040123456788</v>
      </c>
      <c r="BV17" s="1044">
        <f t="shared" si="14"/>
        <v>96.776625514403278</v>
      </c>
      <c r="BW17" s="1044">
        <f t="shared" si="14"/>
        <v>9.1735525256676098</v>
      </c>
      <c r="BX17" s="1044">
        <f t="shared" si="14"/>
        <v>5</v>
      </c>
      <c r="BY17" s="1044">
        <f t="shared" si="14"/>
        <v>4.84</v>
      </c>
      <c r="BZ17" s="1044">
        <f t="shared" si="14"/>
        <v>9.56</v>
      </c>
      <c r="CA17" s="1044">
        <f t="shared" si="14"/>
        <v>4.7200000000000006</v>
      </c>
      <c r="CB17" s="1044">
        <f t="shared" si="14"/>
        <v>8.3699999999999992</v>
      </c>
      <c r="CC17" s="1044">
        <f t="shared" si="14"/>
        <v>11.69</v>
      </c>
      <c r="CD17" s="1044">
        <f t="shared" si="14"/>
        <v>3.3200000000000003</v>
      </c>
    </row>
    <row r="18" spans="3:84" s="393" customFormat="1" ht="12" customHeight="1">
      <c r="I18" s="252" t="s">
        <v>843</v>
      </c>
      <c r="J18" s="687">
        <v>118091.1</v>
      </c>
      <c r="K18" s="687">
        <v>1572.3</v>
      </c>
      <c r="L18" s="687">
        <f t="shared" ref="L18:L47" si="15">J18+K18</f>
        <v>119663.40000000001</v>
      </c>
      <c r="M18" s="687">
        <v>10638.4</v>
      </c>
      <c r="N18" s="687">
        <f t="shared" ref="N18:N47" si="16">L18-M18</f>
        <v>109025.00000000001</v>
      </c>
      <c r="O18" s="687">
        <v>12227.5</v>
      </c>
      <c r="P18" s="687">
        <v>50841</v>
      </c>
      <c r="Q18" s="687">
        <v>87334.8</v>
      </c>
      <c r="R18" s="691">
        <v>716365.2</v>
      </c>
      <c r="S18" s="348">
        <f t="shared" ref="S18:S39" si="17">Q18+R18</f>
        <v>803700</v>
      </c>
      <c r="T18" s="348">
        <f t="shared" ref="T18:T39" si="18">P18+S18</f>
        <v>854541</v>
      </c>
      <c r="U18" s="687">
        <v>579.79999999999995</v>
      </c>
      <c r="V18" s="348">
        <f t="shared" ref="V18:V29" si="19">N18+Q18+U18</f>
        <v>196939.6</v>
      </c>
      <c r="W18" s="348">
        <f t="shared" ref="W18:W29" si="20">R18+V18</f>
        <v>913304.79999999993</v>
      </c>
      <c r="X18" s="691" t="s">
        <v>505</v>
      </c>
      <c r="Y18" s="691" t="s">
        <v>505</v>
      </c>
      <c r="Z18" s="252" t="s">
        <v>843</v>
      </c>
      <c r="AA18" s="348">
        <v>0</v>
      </c>
      <c r="AB18" s="687">
        <v>15146.9</v>
      </c>
      <c r="AC18" s="687">
        <v>621769.9</v>
      </c>
      <c r="AD18" s="348">
        <f t="shared" ref="AD18:AD47" si="21">AB18+AC18</f>
        <v>636916.80000000005</v>
      </c>
      <c r="AE18" s="348">
        <v>0</v>
      </c>
      <c r="AF18" s="687">
        <v>1558.7</v>
      </c>
      <c r="AG18" s="687">
        <v>22009.8</v>
      </c>
      <c r="AH18" s="348">
        <f t="shared" ref="AH18:AH47" si="22">AF18+AG18</f>
        <v>23568.5</v>
      </c>
      <c r="AI18" s="713">
        <v>8033.4</v>
      </c>
      <c r="AJ18" s="713">
        <v>167339.5</v>
      </c>
      <c r="AK18" s="713">
        <v>16609</v>
      </c>
      <c r="AL18" s="662">
        <f t="shared" ref="AL18:AL47" si="23">AJ18+AK18</f>
        <v>183948.5</v>
      </c>
      <c r="AM18" s="348">
        <f t="shared" ref="AM18:AP19" si="24">AA18+AE18+AI18</f>
        <v>8033.4</v>
      </c>
      <c r="AN18" s="348">
        <f t="shared" si="24"/>
        <v>184045.1</v>
      </c>
      <c r="AO18" s="348">
        <f t="shared" si="24"/>
        <v>660388.70000000007</v>
      </c>
      <c r="AP18" s="348">
        <f t="shared" si="24"/>
        <v>844433.8</v>
      </c>
      <c r="AQ18" s="252" t="s">
        <v>843</v>
      </c>
      <c r="AR18" s="687">
        <v>4063.9</v>
      </c>
      <c r="AS18" s="687">
        <v>16849.900000000001</v>
      </c>
      <c r="AT18" s="687">
        <v>9507</v>
      </c>
      <c r="AU18" s="687">
        <v>70.599999999999994</v>
      </c>
      <c r="AV18" s="687">
        <f>854592.3-13.2</f>
        <v>854579.10000000009</v>
      </c>
      <c r="AW18" s="687">
        <v>6858.8</v>
      </c>
      <c r="AX18" s="348">
        <f t="shared" ref="AX18:AX39" si="25">AV18+AW18</f>
        <v>861437.90000000014</v>
      </c>
      <c r="AY18" s="348">
        <f t="shared" ref="AY18:AY29" si="26">0.065*AX18</f>
        <v>55993.463500000013</v>
      </c>
      <c r="AZ18" s="347">
        <f t="shared" ref="AZ18:AZ29" si="27">BA18-AY18</f>
        <v>5621.5364999999874</v>
      </c>
      <c r="BA18" s="687">
        <v>61615</v>
      </c>
      <c r="BB18" s="687">
        <v>2397613</v>
      </c>
      <c r="BC18" s="347">
        <f t="shared" ref="BC18:BC47" si="28">L18+BA18</f>
        <v>181278.40000000002</v>
      </c>
      <c r="BD18" s="687">
        <v>0</v>
      </c>
      <c r="BE18" s="687">
        <v>13234</v>
      </c>
      <c r="BF18" s="687">
        <v>4099.1000000000004</v>
      </c>
      <c r="BG18" s="687">
        <v>165954.20000000001</v>
      </c>
      <c r="BH18" s="348">
        <f t="shared" ref="BH18:BH47" si="29">BG18+BF18+BE18+BD18</f>
        <v>183287.30000000002</v>
      </c>
      <c r="BI18" s="252" t="s">
        <v>843</v>
      </c>
      <c r="BJ18" s="394">
        <v>2.13</v>
      </c>
      <c r="BK18" s="394">
        <v>-0.33</v>
      </c>
      <c r="BL18" s="394">
        <v>-0.85</v>
      </c>
      <c r="BM18" s="394">
        <v>-0.41</v>
      </c>
      <c r="BN18" s="394">
        <v>-0.34</v>
      </c>
      <c r="BO18" s="394" t="s">
        <v>505</v>
      </c>
      <c r="BP18" s="394" t="s">
        <v>505</v>
      </c>
      <c r="BQ18" s="586" t="s">
        <v>505</v>
      </c>
      <c r="BR18" s="586">
        <v>9480</v>
      </c>
      <c r="BS18" s="586">
        <v>3704</v>
      </c>
      <c r="BT18" s="394">
        <f t="shared" ref="BT18:BT23" si="30">AP18/AV18*100</f>
        <v>98.812830784183689</v>
      </c>
      <c r="BU18" s="394">
        <f t="shared" ref="BU18:BU29" si="31">AV18/BR18</f>
        <v>90.145474683544307</v>
      </c>
      <c r="BV18" s="394">
        <f t="shared" ref="BV18:BV29" si="32">AP18/BR18</f>
        <v>89.075295358649797</v>
      </c>
      <c r="BW18" s="394">
        <f t="shared" ref="BW18:BW29" si="33">(M18+BA18)/AV18*100</f>
        <v>8.4548522190631612</v>
      </c>
      <c r="BX18" s="394">
        <v>5</v>
      </c>
      <c r="BY18" s="394">
        <v>5.48</v>
      </c>
      <c r="BZ18" s="394">
        <v>10.32</v>
      </c>
      <c r="CA18" s="394">
        <f>BZ18-BY18</f>
        <v>4.84</v>
      </c>
      <c r="CB18" s="394">
        <v>8.9</v>
      </c>
      <c r="CC18" s="394">
        <v>12.89</v>
      </c>
      <c r="CD18" s="394">
        <f>CC18-CB18</f>
        <v>3.99</v>
      </c>
      <c r="CE18" s="394"/>
      <c r="CF18" s="394"/>
    </row>
    <row r="19" spans="3:84" s="393" customFormat="1" ht="12" customHeight="1">
      <c r="I19" s="451" t="s">
        <v>844</v>
      </c>
      <c r="J19" s="681">
        <v>120558.2</v>
      </c>
      <c r="K19" s="681">
        <v>1565.6</v>
      </c>
      <c r="L19" s="681">
        <f t="shared" si="15"/>
        <v>122123.8</v>
      </c>
      <c r="M19" s="681">
        <v>10010</v>
      </c>
      <c r="N19" s="681">
        <f t="shared" si="16"/>
        <v>112113.8</v>
      </c>
      <c r="O19" s="681">
        <v>11558.1</v>
      </c>
      <c r="P19" s="681">
        <v>53439.8</v>
      </c>
      <c r="Q19" s="681">
        <v>85653.9</v>
      </c>
      <c r="R19" s="658">
        <v>724519.6</v>
      </c>
      <c r="S19" s="432">
        <f t="shared" si="17"/>
        <v>810173.5</v>
      </c>
      <c r="T19" s="432">
        <f t="shared" si="18"/>
        <v>863613.3</v>
      </c>
      <c r="U19" s="681">
        <v>595.79999999999995</v>
      </c>
      <c r="V19" s="432">
        <f t="shared" si="19"/>
        <v>198363.5</v>
      </c>
      <c r="W19" s="432">
        <f t="shared" si="20"/>
        <v>922883.1</v>
      </c>
      <c r="X19" s="658" t="s">
        <v>505</v>
      </c>
      <c r="Y19" s="658" t="s">
        <v>505</v>
      </c>
      <c r="Z19" s="451" t="s">
        <v>844</v>
      </c>
      <c r="AA19" s="432">
        <v>0</v>
      </c>
      <c r="AB19" s="681">
        <v>15296.3</v>
      </c>
      <c r="AC19" s="681">
        <v>629272.9</v>
      </c>
      <c r="AD19" s="432">
        <f t="shared" si="21"/>
        <v>644569.20000000007</v>
      </c>
      <c r="AE19" s="432">
        <v>0</v>
      </c>
      <c r="AF19" s="681">
        <v>1600.1</v>
      </c>
      <c r="AG19" s="681">
        <v>21455.4</v>
      </c>
      <c r="AH19" s="432">
        <f t="shared" si="22"/>
        <v>23055.5</v>
      </c>
      <c r="AI19" s="685">
        <v>7729.7</v>
      </c>
      <c r="AJ19" s="685">
        <v>167391.4</v>
      </c>
      <c r="AK19" s="685">
        <v>16375.6</v>
      </c>
      <c r="AL19" s="686">
        <f t="shared" si="23"/>
        <v>183767</v>
      </c>
      <c r="AM19" s="432">
        <f t="shared" si="24"/>
        <v>7729.7</v>
      </c>
      <c r="AN19" s="432">
        <f t="shared" si="24"/>
        <v>184287.8</v>
      </c>
      <c r="AO19" s="432">
        <f t="shared" si="24"/>
        <v>667103.9</v>
      </c>
      <c r="AP19" s="432">
        <f t="shared" si="24"/>
        <v>851391.70000000007</v>
      </c>
      <c r="AQ19" s="451" t="s">
        <v>844</v>
      </c>
      <c r="AR19" s="681">
        <v>3663.4</v>
      </c>
      <c r="AS19" s="681">
        <v>17593</v>
      </c>
      <c r="AT19" s="681">
        <v>9476.2000000000007</v>
      </c>
      <c r="AU19" s="681">
        <v>60.4</v>
      </c>
      <c r="AV19" s="681">
        <f>863661.8-14.2</f>
        <v>863647.60000000009</v>
      </c>
      <c r="AW19" s="681">
        <v>6832</v>
      </c>
      <c r="AX19" s="432">
        <f t="shared" si="25"/>
        <v>870479.60000000009</v>
      </c>
      <c r="AY19" s="432">
        <f t="shared" si="26"/>
        <v>56581.174000000006</v>
      </c>
      <c r="AZ19" s="431">
        <f t="shared" si="27"/>
        <v>3417.8259999999937</v>
      </c>
      <c r="BA19" s="681">
        <v>59999</v>
      </c>
      <c r="BB19" s="681">
        <v>2437927.2999999998</v>
      </c>
      <c r="BC19" s="431">
        <f t="shared" si="28"/>
        <v>182122.8</v>
      </c>
      <c r="BD19" s="681">
        <v>0</v>
      </c>
      <c r="BE19" s="681">
        <v>13256.8</v>
      </c>
      <c r="BF19" s="681">
        <v>4186.1000000000004</v>
      </c>
      <c r="BG19" s="681">
        <v>166001.5</v>
      </c>
      <c r="BH19" s="432">
        <f t="shared" si="29"/>
        <v>183444.4</v>
      </c>
      <c r="BI19" s="451" t="s">
        <v>844</v>
      </c>
      <c r="BJ19" s="439">
        <v>-0.78</v>
      </c>
      <c r="BK19" s="439">
        <v>0.37</v>
      </c>
      <c r="BL19" s="439">
        <v>0.14000000000000001</v>
      </c>
      <c r="BM19" s="439">
        <v>0.01</v>
      </c>
      <c r="BN19" s="439">
        <v>0.71</v>
      </c>
      <c r="BO19" s="439" t="s">
        <v>505</v>
      </c>
      <c r="BP19" s="439" t="s">
        <v>505</v>
      </c>
      <c r="BQ19" s="440" t="s">
        <v>505</v>
      </c>
      <c r="BR19" s="440">
        <v>9498</v>
      </c>
      <c r="BS19" s="440">
        <v>3704</v>
      </c>
      <c r="BT19" s="439">
        <f t="shared" si="30"/>
        <v>98.580914252526142</v>
      </c>
      <c r="BU19" s="439">
        <f t="shared" si="31"/>
        <v>90.929416719309344</v>
      </c>
      <c r="BV19" s="439">
        <f t="shared" si="32"/>
        <v>89.639050326384506</v>
      </c>
      <c r="BW19" s="439">
        <f t="shared" si="33"/>
        <v>8.1061997972321116</v>
      </c>
      <c r="BX19" s="439">
        <v>5</v>
      </c>
      <c r="BY19" s="439">
        <v>5.44</v>
      </c>
      <c r="BZ19" s="439">
        <v>10.24</v>
      </c>
      <c r="CA19" s="439">
        <f t="shared" ref="CA19:CA47" si="34">BZ19-BY19</f>
        <v>4.8</v>
      </c>
      <c r="CB19" s="439">
        <v>8.84</v>
      </c>
      <c r="CC19" s="439">
        <v>12.8</v>
      </c>
      <c r="CD19" s="439">
        <f t="shared" ref="CD19:CD47" si="35">CC19-CB19</f>
        <v>3.9600000000000009</v>
      </c>
      <c r="CE19" s="394"/>
      <c r="CF19" s="394"/>
    </row>
    <row r="20" spans="3:84" s="393" customFormat="1" ht="12" customHeight="1">
      <c r="I20" s="252" t="s">
        <v>838</v>
      </c>
      <c r="J20" s="687">
        <v>126687.4</v>
      </c>
      <c r="K20" s="687">
        <v>1562.2</v>
      </c>
      <c r="L20" s="687">
        <f t="shared" si="15"/>
        <v>128249.59999999999</v>
      </c>
      <c r="M20" s="687">
        <v>10120.299999999999</v>
      </c>
      <c r="N20" s="687">
        <f t="shared" si="16"/>
        <v>118129.29999999999</v>
      </c>
      <c r="O20" s="687">
        <v>11698.4</v>
      </c>
      <c r="P20" s="687">
        <v>52756.4</v>
      </c>
      <c r="Q20" s="687">
        <v>82620.3</v>
      </c>
      <c r="R20" s="691">
        <v>730134.7</v>
      </c>
      <c r="S20" s="348">
        <f t="shared" si="17"/>
        <v>812755</v>
      </c>
      <c r="T20" s="348">
        <f t="shared" si="18"/>
        <v>865511.4</v>
      </c>
      <c r="U20" s="687">
        <v>638.79999999999995</v>
      </c>
      <c r="V20" s="348">
        <f t="shared" si="19"/>
        <v>201388.39999999997</v>
      </c>
      <c r="W20" s="348">
        <f t="shared" si="20"/>
        <v>931523.09999999986</v>
      </c>
      <c r="X20" s="691" t="s">
        <v>505</v>
      </c>
      <c r="Y20" s="691" t="s">
        <v>505</v>
      </c>
      <c r="Z20" s="252" t="s">
        <v>838</v>
      </c>
      <c r="AA20" s="348">
        <v>0</v>
      </c>
      <c r="AB20" s="687">
        <v>14914.6</v>
      </c>
      <c r="AC20" s="687">
        <v>636572.80000000005</v>
      </c>
      <c r="AD20" s="348">
        <f t="shared" si="21"/>
        <v>651487.4</v>
      </c>
      <c r="AE20" s="348">
        <v>0</v>
      </c>
      <c r="AF20" s="687">
        <v>1736.1</v>
      </c>
      <c r="AG20" s="687">
        <v>21916.1</v>
      </c>
      <c r="AH20" s="348">
        <f t="shared" si="22"/>
        <v>23652.199999999997</v>
      </c>
      <c r="AI20" s="713">
        <v>8474.5</v>
      </c>
      <c r="AJ20" s="713">
        <v>165355.29999999999</v>
      </c>
      <c r="AK20" s="713">
        <v>16817.3</v>
      </c>
      <c r="AL20" s="662">
        <f t="shared" si="23"/>
        <v>182172.59999999998</v>
      </c>
      <c r="AM20" s="348">
        <f t="shared" ref="AM20:AP29" si="36">AA20+AE20+AI20</f>
        <v>8474.5</v>
      </c>
      <c r="AN20" s="348">
        <f t="shared" si="36"/>
        <v>182006</v>
      </c>
      <c r="AO20" s="348">
        <f t="shared" si="36"/>
        <v>675306.20000000007</v>
      </c>
      <c r="AP20" s="348">
        <f t="shared" si="36"/>
        <v>857312.2</v>
      </c>
      <c r="AQ20" s="252" t="s">
        <v>838</v>
      </c>
      <c r="AR20" s="687">
        <v>4420.7</v>
      </c>
      <c r="AS20" s="687">
        <v>17923.400000000001</v>
      </c>
      <c r="AT20" s="687">
        <v>10963.6</v>
      </c>
      <c r="AU20" s="687">
        <v>120.4</v>
      </c>
      <c r="AV20" s="687">
        <f>865563.6-13.7</f>
        <v>865549.9</v>
      </c>
      <c r="AW20" s="687">
        <v>6938.1</v>
      </c>
      <c r="AX20" s="348">
        <f t="shared" si="25"/>
        <v>872488</v>
      </c>
      <c r="AY20" s="348">
        <f t="shared" si="26"/>
        <v>56711.72</v>
      </c>
      <c r="AZ20" s="347">
        <f t="shared" si="27"/>
        <v>4207.9799999999959</v>
      </c>
      <c r="BA20" s="687">
        <v>60919.7</v>
      </c>
      <c r="BB20" s="687">
        <v>2468283.2999999998</v>
      </c>
      <c r="BC20" s="347">
        <f t="shared" si="28"/>
        <v>189169.3</v>
      </c>
      <c r="BD20" s="687">
        <v>0</v>
      </c>
      <c r="BE20" s="687">
        <v>12689.2</v>
      </c>
      <c r="BF20" s="687">
        <v>4120.6000000000004</v>
      </c>
      <c r="BG20" s="687">
        <v>163959.29999999999</v>
      </c>
      <c r="BH20" s="348">
        <f t="shared" si="29"/>
        <v>180769.1</v>
      </c>
      <c r="BI20" s="252" t="s">
        <v>838</v>
      </c>
      <c r="BJ20" s="394">
        <v>-0.49</v>
      </c>
      <c r="BK20" s="394">
        <v>-0.86</v>
      </c>
      <c r="BL20" s="394">
        <v>1.36</v>
      </c>
      <c r="BM20" s="394">
        <v>1.05</v>
      </c>
      <c r="BN20" s="394">
        <v>1.65</v>
      </c>
      <c r="BO20" s="394" t="s">
        <v>505</v>
      </c>
      <c r="BP20" s="394" t="s">
        <v>505</v>
      </c>
      <c r="BQ20" s="586" t="s">
        <v>505</v>
      </c>
      <c r="BR20" s="586">
        <v>9515</v>
      </c>
      <c r="BS20" s="586">
        <v>3706</v>
      </c>
      <c r="BT20" s="394">
        <f t="shared" si="30"/>
        <v>99.048269776242819</v>
      </c>
      <c r="BU20" s="394">
        <f t="shared" si="31"/>
        <v>90.966883867577508</v>
      </c>
      <c r="BV20" s="394">
        <f t="shared" si="32"/>
        <v>90.101124540199677</v>
      </c>
      <c r="BW20" s="394">
        <f t="shared" si="33"/>
        <v>8.207499070821914</v>
      </c>
      <c r="BX20" s="394">
        <v>5</v>
      </c>
      <c r="BY20" s="394">
        <v>5.39</v>
      </c>
      <c r="BZ20" s="394">
        <v>10.11</v>
      </c>
      <c r="CA20" s="394">
        <f t="shared" si="34"/>
        <v>4.72</v>
      </c>
      <c r="CB20" s="394">
        <v>8.7100000000000009</v>
      </c>
      <c r="CC20" s="394">
        <v>12.68</v>
      </c>
      <c r="CD20" s="394">
        <f t="shared" si="35"/>
        <v>3.9699999999999989</v>
      </c>
      <c r="CE20" s="394"/>
      <c r="CF20" s="394"/>
    </row>
    <row r="21" spans="3:84" s="393" customFormat="1" ht="12" customHeight="1">
      <c r="I21" s="451" t="s">
        <v>845</v>
      </c>
      <c r="J21" s="681">
        <v>121857.60000000001</v>
      </c>
      <c r="K21" s="681">
        <v>1556.6</v>
      </c>
      <c r="L21" s="681">
        <f t="shared" si="15"/>
        <v>123414.20000000001</v>
      </c>
      <c r="M21" s="681">
        <v>10709.7</v>
      </c>
      <c r="N21" s="681">
        <f t="shared" si="16"/>
        <v>112704.50000000001</v>
      </c>
      <c r="O21" s="681">
        <v>11232.2</v>
      </c>
      <c r="P21" s="681">
        <v>54965.3</v>
      </c>
      <c r="Q21" s="681">
        <v>84391.1</v>
      </c>
      <c r="R21" s="658">
        <v>735498.4</v>
      </c>
      <c r="S21" s="432">
        <f t="shared" si="17"/>
        <v>819889.5</v>
      </c>
      <c r="T21" s="432">
        <f t="shared" si="18"/>
        <v>874854.8</v>
      </c>
      <c r="U21" s="681">
        <v>632.6</v>
      </c>
      <c r="V21" s="432">
        <f t="shared" si="19"/>
        <v>197728.20000000004</v>
      </c>
      <c r="W21" s="432">
        <f t="shared" si="20"/>
        <v>933226.60000000009</v>
      </c>
      <c r="X21" s="658" t="s">
        <v>505</v>
      </c>
      <c r="Y21" s="658" t="s">
        <v>505</v>
      </c>
      <c r="Z21" s="451" t="s">
        <v>845</v>
      </c>
      <c r="AA21" s="432">
        <v>0</v>
      </c>
      <c r="AB21" s="681">
        <v>14580.6</v>
      </c>
      <c r="AC21" s="681">
        <v>642011.1</v>
      </c>
      <c r="AD21" s="432">
        <f t="shared" si="21"/>
        <v>656591.69999999995</v>
      </c>
      <c r="AE21" s="432">
        <v>0</v>
      </c>
      <c r="AF21" s="681">
        <v>1664.2</v>
      </c>
      <c r="AG21" s="681">
        <v>21770.400000000001</v>
      </c>
      <c r="AH21" s="432">
        <f t="shared" si="22"/>
        <v>23434.600000000002</v>
      </c>
      <c r="AI21" s="685">
        <v>8750.2000000000007</v>
      </c>
      <c r="AJ21" s="685">
        <v>163960.4</v>
      </c>
      <c r="AK21" s="685">
        <v>16438.7</v>
      </c>
      <c r="AL21" s="686">
        <f t="shared" si="23"/>
        <v>180399.1</v>
      </c>
      <c r="AM21" s="432">
        <f t="shared" si="36"/>
        <v>8750.2000000000007</v>
      </c>
      <c r="AN21" s="432">
        <f t="shared" si="36"/>
        <v>180205.19999999998</v>
      </c>
      <c r="AO21" s="432">
        <f t="shared" si="36"/>
        <v>680220.2</v>
      </c>
      <c r="AP21" s="432">
        <f t="shared" si="36"/>
        <v>860425.39999999991</v>
      </c>
      <c r="AQ21" s="451" t="s">
        <v>845</v>
      </c>
      <c r="AR21" s="681">
        <v>4892.7</v>
      </c>
      <c r="AS21" s="681">
        <v>19741.2</v>
      </c>
      <c r="AT21" s="681">
        <v>10007</v>
      </c>
      <c r="AU21" s="681">
        <v>98.3</v>
      </c>
      <c r="AV21" s="681">
        <f>874906-13.5</f>
        <v>874892.5</v>
      </c>
      <c r="AW21" s="681">
        <v>6395.8</v>
      </c>
      <c r="AX21" s="432">
        <f t="shared" si="25"/>
        <v>881288.3</v>
      </c>
      <c r="AY21" s="432">
        <f t="shared" si="26"/>
        <v>57283.739500000003</v>
      </c>
      <c r="AZ21" s="431">
        <f t="shared" si="27"/>
        <v>5317.9604999999938</v>
      </c>
      <c r="BA21" s="681">
        <v>62601.7</v>
      </c>
      <c r="BB21" s="681">
        <v>2510307.1</v>
      </c>
      <c r="BC21" s="431">
        <f t="shared" si="28"/>
        <v>186015.90000000002</v>
      </c>
      <c r="BD21" s="681">
        <v>0</v>
      </c>
      <c r="BE21" s="681">
        <v>12292.8</v>
      </c>
      <c r="BF21" s="681">
        <v>4111.6000000000004</v>
      </c>
      <c r="BG21" s="681">
        <v>162665</v>
      </c>
      <c r="BH21" s="432">
        <f t="shared" si="29"/>
        <v>179069.4</v>
      </c>
      <c r="BI21" s="451" t="s">
        <v>845</v>
      </c>
      <c r="BJ21" s="439">
        <v>-3.68</v>
      </c>
      <c r="BK21" s="439">
        <v>-3.95</v>
      </c>
      <c r="BL21" s="439">
        <v>2.1</v>
      </c>
      <c r="BM21" s="439">
        <v>1.1499999999999999</v>
      </c>
      <c r="BN21" s="439">
        <v>1.84</v>
      </c>
      <c r="BO21" s="439" t="s">
        <v>505</v>
      </c>
      <c r="BP21" s="439" t="s">
        <v>505</v>
      </c>
      <c r="BQ21" s="440" t="s">
        <v>505</v>
      </c>
      <c r="BR21" s="440">
        <v>9538</v>
      </c>
      <c r="BS21" s="440">
        <v>3706</v>
      </c>
      <c r="BT21" s="439">
        <f t="shared" si="30"/>
        <v>98.34641398800423</v>
      </c>
      <c r="BU21" s="439">
        <f t="shared" si="31"/>
        <v>91.727039211574748</v>
      </c>
      <c r="BV21" s="439">
        <f t="shared" si="32"/>
        <v>90.210253721954274</v>
      </c>
      <c r="BW21" s="439">
        <f t="shared" si="33"/>
        <v>8.3794751926665274</v>
      </c>
      <c r="BX21" s="439">
        <v>5</v>
      </c>
      <c r="BY21" s="439">
        <v>5.33</v>
      </c>
      <c r="BZ21" s="439">
        <v>10.029999999999999</v>
      </c>
      <c r="CA21" s="439">
        <f t="shared" si="34"/>
        <v>4.6999999999999993</v>
      </c>
      <c r="CB21" s="439">
        <v>8.61</v>
      </c>
      <c r="CC21" s="439">
        <v>12.73</v>
      </c>
      <c r="CD21" s="439">
        <f t="shared" si="35"/>
        <v>4.120000000000001</v>
      </c>
      <c r="CE21" s="394"/>
      <c r="CF21" s="394"/>
    </row>
    <row r="22" spans="3:84" s="393" customFormat="1" ht="12" customHeight="1">
      <c r="I22" s="252" t="s">
        <v>846</v>
      </c>
      <c r="J22" s="687">
        <v>119912.2</v>
      </c>
      <c r="K22" s="687">
        <v>1546.3</v>
      </c>
      <c r="L22" s="687">
        <f t="shared" si="15"/>
        <v>121458.5</v>
      </c>
      <c r="M22" s="687">
        <v>10216.5</v>
      </c>
      <c r="N22" s="687">
        <f t="shared" si="16"/>
        <v>111242</v>
      </c>
      <c r="O22" s="687">
        <v>10005.6</v>
      </c>
      <c r="P22" s="687">
        <v>55685.3</v>
      </c>
      <c r="Q22" s="687">
        <v>85570.1</v>
      </c>
      <c r="R22" s="687">
        <v>741270</v>
      </c>
      <c r="S22" s="348">
        <f t="shared" si="17"/>
        <v>826840.1</v>
      </c>
      <c r="T22" s="348">
        <f t="shared" si="18"/>
        <v>882525.4</v>
      </c>
      <c r="U22" s="687">
        <v>639.29999999999995</v>
      </c>
      <c r="V22" s="348">
        <f t="shared" si="19"/>
        <v>197451.4</v>
      </c>
      <c r="W22" s="348">
        <f t="shared" si="20"/>
        <v>938721.4</v>
      </c>
      <c r="X22" s="691" t="s">
        <v>505</v>
      </c>
      <c r="Y22" s="691" t="s">
        <v>505</v>
      </c>
      <c r="Z22" s="252" t="s">
        <v>846</v>
      </c>
      <c r="AA22" s="348">
        <v>0</v>
      </c>
      <c r="AB22" s="687">
        <v>14961.7</v>
      </c>
      <c r="AC22" s="687">
        <v>652611.1</v>
      </c>
      <c r="AD22" s="348">
        <f t="shared" si="21"/>
        <v>667572.79999999993</v>
      </c>
      <c r="AE22" s="348">
        <v>0</v>
      </c>
      <c r="AF22" s="687">
        <v>1596.2</v>
      </c>
      <c r="AG22" s="687">
        <v>21940.7</v>
      </c>
      <c r="AH22" s="348">
        <f t="shared" si="22"/>
        <v>23536.9</v>
      </c>
      <c r="AI22" s="713">
        <v>9891.4</v>
      </c>
      <c r="AJ22" s="713">
        <v>161707.29999999999</v>
      </c>
      <c r="AK22" s="713">
        <v>15129.2</v>
      </c>
      <c r="AL22" s="662">
        <f t="shared" si="23"/>
        <v>176836.5</v>
      </c>
      <c r="AM22" s="348">
        <f t="shared" si="36"/>
        <v>9891.4</v>
      </c>
      <c r="AN22" s="348">
        <f t="shared" si="36"/>
        <v>178265.19999999998</v>
      </c>
      <c r="AO22" s="348">
        <f t="shared" si="36"/>
        <v>689680.99999999988</v>
      </c>
      <c r="AP22" s="348">
        <f t="shared" si="36"/>
        <v>867946.2</v>
      </c>
      <c r="AQ22" s="252" t="s">
        <v>846</v>
      </c>
      <c r="AR22" s="687">
        <v>5135.3999999999996</v>
      </c>
      <c r="AS22" s="687">
        <v>20784</v>
      </c>
      <c r="AT22" s="687">
        <v>10439</v>
      </c>
      <c r="AU22" s="687">
        <v>71.400000000000006</v>
      </c>
      <c r="AV22" s="687">
        <f>882582.2-12.66</f>
        <v>882569.53999999992</v>
      </c>
      <c r="AW22" s="687">
        <v>6272.3</v>
      </c>
      <c r="AX22" s="348">
        <f t="shared" si="25"/>
        <v>888841.84</v>
      </c>
      <c r="AY22" s="348">
        <f t="shared" si="26"/>
        <v>57774.719599999997</v>
      </c>
      <c r="AZ22" s="348">
        <f t="shared" si="27"/>
        <v>7051.2804000000033</v>
      </c>
      <c r="BA22" s="687">
        <v>64826</v>
      </c>
      <c r="BB22" s="687">
        <v>2560472.7999999998</v>
      </c>
      <c r="BC22" s="347">
        <f t="shared" si="28"/>
        <v>186284.5</v>
      </c>
      <c r="BD22" s="687">
        <v>0</v>
      </c>
      <c r="BE22" s="687">
        <v>12302.1</v>
      </c>
      <c r="BF22" s="687">
        <v>4097.7</v>
      </c>
      <c r="BG22" s="687">
        <v>160416</v>
      </c>
      <c r="BH22" s="348">
        <f t="shared" si="29"/>
        <v>176815.80000000002</v>
      </c>
      <c r="BI22" s="252" t="s">
        <v>846</v>
      </c>
      <c r="BJ22" s="394">
        <v>-4.88</v>
      </c>
      <c r="BK22" s="394">
        <v>-1.9</v>
      </c>
      <c r="BL22" s="394">
        <v>3.51</v>
      </c>
      <c r="BM22" s="394">
        <v>2.2000000000000002</v>
      </c>
      <c r="BN22" s="394">
        <v>2.44</v>
      </c>
      <c r="BO22" s="394" t="s">
        <v>505</v>
      </c>
      <c r="BP22" s="394" t="s">
        <v>505</v>
      </c>
      <c r="BQ22" s="586" t="s">
        <v>505</v>
      </c>
      <c r="BR22" s="586">
        <v>9576</v>
      </c>
      <c r="BS22" s="586">
        <v>3707</v>
      </c>
      <c r="BT22" s="394">
        <f t="shared" si="30"/>
        <v>98.343094868195891</v>
      </c>
      <c r="BU22" s="394">
        <f t="shared" si="31"/>
        <v>92.164738930659979</v>
      </c>
      <c r="BV22" s="394">
        <f t="shared" si="32"/>
        <v>90.637656641604011</v>
      </c>
      <c r="BW22" s="394">
        <f t="shared" si="33"/>
        <v>8.5027294279836596</v>
      </c>
      <c r="BX22" s="394">
        <v>5</v>
      </c>
      <c r="BY22" s="394">
        <v>5.29</v>
      </c>
      <c r="BZ22" s="394">
        <v>9.94</v>
      </c>
      <c r="CA22" s="394">
        <f t="shared" si="34"/>
        <v>4.6499999999999995</v>
      </c>
      <c r="CB22" s="394">
        <v>8.5299999999999994</v>
      </c>
      <c r="CC22" s="394">
        <v>12.35</v>
      </c>
      <c r="CD22" s="394">
        <f t="shared" si="35"/>
        <v>3.8200000000000003</v>
      </c>
      <c r="CE22" s="394"/>
      <c r="CF22" s="394"/>
    </row>
    <row r="23" spans="3:84" s="393" customFormat="1" ht="12" customHeight="1">
      <c r="I23" s="451" t="s">
        <v>839</v>
      </c>
      <c r="J23" s="681">
        <v>121819.4</v>
      </c>
      <c r="K23" s="681">
        <v>1537.1</v>
      </c>
      <c r="L23" s="681">
        <f t="shared" si="15"/>
        <v>123356.5</v>
      </c>
      <c r="M23" s="681">
        <v>10203.1</v>
      </c>
      <c r="N23" s="681">
        <f t="shared" si="16"/>
        <v>113153.4</v>
      </c>
      <c r="O23" s="681">
        <v>16042.7</v>
      </c>
      <c r="P23" s="681">
        <v>59153.3</v>
      </c>
      <c r="Q23" s="681">
        <v>90660.7</v>
      </c>
      <c r="R23" s="658">
        <v>749607.5</v>
      </c>
      <c r="S23" s="432">
        <f t="shared" si="17"/>
        <v>840268.2</v>
      </c>
      <c r="T23" s="681">
        <f t="shared" si="18"/>
        <v>899421.5</v>
      </c>
      <c r="U23" s="681">
        <v>632.20000000000005</v>
      </c>
      <c r="V23" s="432">
        <f t="shared" si="19"/>
        <v>204446.3</v>
      </c>
      <c r="W23" s="432">
        <f t="shared" si="20"/>
        <v>954053.8</v>
      </c>
      <c r="X23" s="658" t="s">
        <v>505</v>
      </c>
      <c r="Y23" s="658" t="s">
        <v>505</v>
      </c>
      <c r="Z23" s="451" t="s">
        <v>839</v>
      </c>
      <c r="AA23" s="432">
        <v>0</v>
      </c>
      <c r="AB23" s="681">
        <v>15103.6</v>
      </c>
      <c r="AC23" s="681">
        <v>673766.5</v>
      </c>
      <c r="AD23" s="432">
        <f t="shared" si="21"/>
        <v>688870.1</v>
      </c>
      <c r="AE23" s="432">
        <v>0</v>
      </c>
      <c r="AF23" s="681">
        <v>1456.2</v>
      </c>
      <c r="AG23" s="681">
        <v>22786.7</v>
      </c>
      <c r="AH23" s="432">
        <f t="shared" si="22"/>
        <v>24242.9</v>
      </c>
      <c r="AI23" s="685">
        <v>10449</v>
      </c>
      <c r="AJ23" s="685">
        <v>154758.1</v>
      </c>
      <c r="AK23" s="685">
        <v>15544.9</v>
      </c>
      <c r="AL23" s="686">
        <f t="shared" si="23"/>
        <v>170303</v>
      </c>
      <c r="AM23" s="432">
        <f t="shared" si="36"/>
        <v>10449</v>
      </c>
      <c r="AN23" s="432">
        <f t="shared" si="36"/>
        <v>171317.9</v>
      </c>
      <c r="AO23" s="432">
        <f t="shared" si="36"/>
        <v>712098.1</v>
      </c>
      <c r="AP23" s="432">
        <f t="shared" si="36"/>
        <v>883416</v>
      </c>
      <c r="AQ23" s="451" t="s">
        <v>839</v>
      </c>
      <c r="AR23" s="681">
        <v>5751.9</v>
      </c>
      <c r="AS23" s="681">
        <v>22994.6</v>
      </c>
      <c r="AT23" s="681">
        <v>10276.5</v>
      </c>
      <c r="AU23" s="681">
        <v>101.6</v>
      </c>
      <c r="AV23" s="681">
        <f>899473.3-13.7</f>
        <v>899459.60000000009</v>
      </c>
      <c r="AW23" s="681">
        <v>6050.4</v>
      </c>
      <c r="AX23" s="432">
        <f t="shared" si="25"/>
        <v>905510.00000000012</v>
      </c>
      <c r="AY23" s="432">
        <f t="shared" si="26"/>
        <v>58858.150000000009</v>
      </c>
      <c r="AZ23" s="432">
        <f t="shared" si="27"/>
        <v>8651.3499999999913</v>
      </c>
      <c r="BA23" s="681">
        <v>67509.5</v>
      </c>
      <c r="BB23" s="681">
        <v>2461740.5</v>
      </c>
      <c r="BC23" s="431">
        <f t="shared" si="28"/>
        <v>190866</v>
      </c>
      <c r="BD23" s="681">
        <v>0</v>
      </c>
      <c r="BE23" s="681">
        <v>12245.2</v>
      </c>
      <c r="BF23" s="681">
        <v>3398.5</v>
      </c>
      <c r="BG23" s="681">
        <v>153465.79999999999</v>
      </c>
      <c r="BH23" s="432">
        <f t="shared" si="29"/>
        <v>169109.5</v>
      </c>
      <c r="BI23" s="451" t="s">
        <v>839</v>
      </c>
      <c r="BJ23" s="439">
        <v>-13.64</v>
      </c>
      <c r="BK23" s="439">
        <v>2.0499999999999998</v>
      </c>
      <c r="BL23" s="439">
        <v>6.86</v>
      </c>
      <c r="BM23" s="439">
        <v>3.84</v>
      </c>
      <c r="BN23" s="439">
        <v>4.1100000000000003</v>
      </c>
      <c r="BO23" s="439" t="s">
        <v>505</v>
      </c>
      <c r="BP23" s="439" t="s">
        <v>505</v>
      </c>
      <c r="BQ23" s="440" t="s">
        <v>505</v>
      </c>
      <c r="BR23" s="440">
        <v>9654</v>
      </c>
      <c r="BS23" s="440">
        <v>3710</v>
      </c>
      <c r="BT23" s="439">
        <f t="shared" si="30"/>
        <v>98.216306769086671</v>
      </c>
      <c r="BU23" s="439">
        <f t="shared" si="31"/>
        <v>93.169629169256282</v>
      </c>
      <c r="BV23" s="439">
        <f t="shared" si="32"/>
        <v>91.507768800497203</v>
      </c>
      <c r="BW23" s="439">
        <f t="shared" si="33"/>
        <v>8.6399211259738617</v>
      </c>
      <c r="BX23" s="439">
        <v>5</v>
      </c>
      <c r="BY23" s="439">
        <v>5.22</v>
      </c>
      <c r="BZ23" s="439">
        <v>9.93</v>
      </c>
      <c r="CA23" s="439">
        <f t="shared" si="34"/>
        <v>4.71</v>
      </c>
      <c r="CB23" s="439">
        <v>8.4700000000000006</v>
      </c>
      <c r="CC23" s="439">
        <v>12.32</v>
      </c>
      <c r="CD23" s="439">
        <f t="shared" si="35"/>
        <v>3.8499999999999996</v>
      </c>
      <c r="CE23" s="394"/>
      <c r="CF23" s="394"/>
    </row>
    <row r="24" spans="3:84" s="393" customFormat="1" ht="12" customHeight="1">
      <c r="I24" s="252" t="s">
        <v>847</v>
      </c>
      <c r="J24" s="687">
        <v>121448.2</v>
      </c>
      <c r="K24" s="687">
        <v>1530.9</v>
      </c>
      <c r="L24" s="687">
        <f t="shared" si="15"/>
        <v>122979.09999999999</v>
      </c>
      <c r="M24" s="687">
        <v>10411.5</v>
      </c>
      <c r="N24" s="687">
        <f t="shared" si="16"/>
        <v>112567.59999999999</v>
      </c>
      <c r="O24" s="687">
        <v>13996.6</v>
      </c>
      <c r="P24" s="687">
        <v>56584.7</v>
      </c>
      <c r="Q24" s="687">
        <v>85567.2</v>
      </c>
      <c r="R24" s="691">
        <v>752788.2</v>
      </c>
      <c r="S24" s="348">
        <f t="shared" si="17"/>
        <v>838355.39999999991</v>
      </c>
      <c r="T24" s="348">
        <f t="shared" si="18"/>
        <v>894940.09999999986</v>
      </c>
      <c r="U24" s="687">
        <v>659.9</v>
      </c>
      <c r="V24" s="348">
        <f t="shared" si="19"/>
        <v>198794.69999999998</v>
      </c>
      <c r="W24" s="348">
        <f t="shared" si="20"/>
        <v>951582.89999999991</v>
      </c>
      <c r="X24" s="691" t="s">
        <v>505</v>
      </c>
      <c r="Y24" s="691" t="s">
        <v>505</v>
      </c>
      <c r="Z24" s="252" t="s">
        <v>847</v>
      </c>
      <c r="AA24" s="348">
        <v>0</v>
      </c>
      <c r="AB24" s="687">
        <v>15074.9</v>
      </c>
      <c r="AC24" s="687">
        <v>676993.6</v>
      </c>
      <c r="AD24" s="348">
        <f t="shared" si="21"/>
        <v>692068.5</v>
      </c>
      <c r="AE24" s="348">
        <v>0</v>
      </c>
      <c r="AF24" s="687">
        <v>1503.8</v>
      </c>
      <c r="AG24" s="687">
        <v>22208.1</v>
      </c>
      <c r="AH24" s="348">
        <f t="shared" si="22"/>
        <v>23711.899999999998</v>
      </c>
      <c r="AI24" s="713">
        <v>10186.700000000001</v>
      </c>
      <c r="AJ24" s="713">
        <v>153571.1</v>
      </c>
      <c r="AK24" s="713">
        <v>15285.6</v>
      </c>
      <c r="AL24" s="662">
        <f t="shared" si="23"/>
        <v>168856.7</v>
      </c>
      <c r="AM24" s="348">
        <f t="shared" si="36"/>
        <v>10186.700000000001</v>
      </c>
      <c r="AN24" s="348">
        <f t="shared" si="36"/>
        <v>170149.80000000002</v>
      </c>
      <c r="AO24" s="348">
        <f t="shared" si="36"/>
        <v>714487.29999999993</v>
      </c>
      <c r="AP24" s="348">
        <f t="shared" si="36"/>
        <v>884637.10000000009</v>
      </c>
      <c r="AQ24" s="252" t="s">
        <v>847</v>
      </c>
      <c r="AR24" s="687">
        <v>5672.9</v>
      </c>
      <c r="AS24" s="687">
        <v>23582.7</v>
      </c>
      <c r="AT24" s="687">
        <v>11833.9</v>
      </c>
      <c r="AU24" s="687">
        <v>91.4</v>
      </c>
      <c r="AV24" s="687">
        <f>894989.4-18.3</f>
        <v>894971.1</v>
      </c>
      <c r="AW24" s="687">
        <v>5691.9</v>
      </c>
      <c r="AX24" s="348">
        <f t="shared" si="25"/>
        <v>900663</v>
      </c>
      <c r="AY24" s="348">
        <f t="shared" si="26"/>
        <v>58543.095000000001</v>
      </c>
      <c r="AZ24" s="348">
        <f t="shared" si="27"/>
        <v>6380.1049999999959</v>
      </c>
      <c r="BA24" s="687">
        <v>64923.199999999997</v>
      </c>
      <c r="BB24" s="687">
        <v>2488204.2000000002</v>
      </c>
      <c r="BC24" s="347">
        <f t="shared" si="28"/>
        <v>187902.3</v>
      </c>
      <c r="BD24" s="687">
        <v>0</v>
      </c>
      <c r="BE24" s="687">
        <v>10096.6</v>
      </c>
      <c r="BF24" s="687">
        <v>3503</v>
      </c>
      <c r="BG24" s="687">
        <v>152278.1</v>
      </c>
      <c r="BH24" s="348">
        <f t="shared" si="29"/>
        <v>165877.70000000001</v>
      </c>
      <c r="BI24" s="252" t="s">
        <v>847</v>
      </c>
      <c r="BJ24" s="394">
        <v>-15.64</v>
      </c>
      <c r="BK24" s="394">
        <v>1.1599999999999999</v>
      </c>
      <c r="BL24" s="394">
        <v>7.2</v>
      </c>
      <c r="BM24" s="394">
        <v>3.83</v>
      </c>
      <c r="BN24" s="394">
        <v>3.84</v>
      </c>
      <c r="BO24" s="394" t="s">
        <v>505</v>
      </c>
      <c r="BP24" s="394" t="s">
        <v>505</v>
      </c>
      <c r="BQ24" s="586" t="s">
        <v>505</v>
      </c>
      <c r="BR24" s="586">
        <v>9663</v>
      </c>
      <c r="BS24" s="586">
        <v>3710</v>
      </c>
      <c r="BT24" s="394">
        <f t="shared" ref="BT24:BT25" si="37">AP24/AV24*100</f>
        <v>98.845325843482556</v>
      </c>
      <c r="BU24" s="394">
        <f t="shared" si="31"/>
        <v>92.618348339025147</v>
      </c>
      <c r="BV24" s="394">
        <f t="shared" si="32"/>
        <v>91.548908206561123</v>
      </c>
      <c r="BW24" s="394">
        <f t="shared" si="33"/>
        <v>8.4175567233400059</v>
      </c>
      <c r="BX24" s="394">
        <v>5</v>
      </c>
      <c r="BY24" s="394">
        <v>5.13</v>
      </c>
      <c r="BZ24" s="394">
        <v>9.85</v>
      </c>
      <c r="CA24" s="394">
        <f t="shared" si="34"/>
        <v>4.72</v>
      </c>
      <c r="CB24" s="394">
        <v>8.42</v>
      </c>
      <c r="CC24" s="394">
        <v>12.26</v>
      </c>
      <c r="CD24" s="394">
        <f t="shared" si="35"/>
        <v>3.84</v>
      </c>
      <c r="CE24" s="394"/>
      <c r="CF24" s="394"/>
    </row>
    <row r="25" spans="3:84" s="393" customFormat="1" ht="12" customHeight="1">
      <c r="I25" s="451" t="s">
        <v>848</v>
      </c>
      <c r="J25" s="681">
        <v>121980.9</v>
      </c>
      <c r="K25" s="681">
        <v>1526.9</v>
      </c>
      <c r="L25" s="681">
        <f t="shared" si="15"/>
        <v>123507.79999999999</v>
      </c>
      <c r="M25" s="681">
        <v>11008.1</v>
      </c>
      <c r="N25" s="681">
        <f t="shared" si="16"/>
        <v>112499.69999999998</v>
      </c>
      <c r="O25" s="681">
        <v>13553.8</v>
      </c>
      <c r="P25" s="681">
        <v>56185.7</v>
      </c>
      <c r="Q25" s="681">
        <v>87571.7</v>
      </c>
      <c r="R25" s="658">
        <v>757175.2</v>
      </c>
      <c r="S25" s="658">
        <f t="shared" si="17"/>
        <v>844746.89999999991</v>
      </c>
      <c r="T25" s="658">
        <f t="shared" si="18"/>
        <v>900932.59999999986</v>
      </c>
      <c r="U25" s="681">
        <v>639.9</v>
      </c>
      <c r="V25" s="432">
        <f t="shared" si="19"/>
        <v>200711.29999999996</v>
      </c>
      <c r="W25" s="432">
        <f t="shared" si="20"/>
        <v>957886.49999999988</v>
      </c>
      <c r="X25" s="658" t="s">
        <v>505</v>
      </c>
      <c r="Y25" s="658" t="s">
        <v>505</v>
      </c>
      <c r="Z25" s="451" t="s">
        <v>848</v>
      </c>
      <c r="AA25" s="432">
        <v>0</v>
      </c>
      <c r="AB25" s="681">
        <v>14269.2</v>
      </c>
      <c r="AC25" s="681">
        <v>682365.3</v>
      </c>
      <c r="AD25" s="432">
        <f t="shared" si="21"/>
        <v>696634.5</v>
      </c>
      <c r="AE25" s="432">
        <v>0</v>
      </c>
      <c r="AF25" s="681">
        <v>1512.7</v>
      </c>
      <c r="AG25" s="681">
        <v>25338.400000000001</v>
      </c>
      <c r="AH25" s="432">
        <f t="shared" si="22"/>
        <v>26851.100000000002</v>
      </c>
      <c r="AI25" s="685">
        <v>11546.2</v>
      </c>
      <c r="AJ25" s="685">
        <v>152293.5</v>
      </c>
      <c r="AK25" s="685">
        <v>15157.7</v>
      </c>
      <c r="AL25" s="686">
        <f t="shared" si="23"/>
        <v>167451.20000000001</v>
      </c>
      <c r="AM25" s="432">
        <f t="shared" si="36"/>
        <v>11546.2</v>
      </c>
      <c r="AN25" s="432">
        <f t="shared" si="36"/>
        <v>168075.4</v>
      </c>
      <c r="AO25" s="432">
        <f t="shared" si="36"/>
        <v>722861.4</v>
      </c>
      <c r="AP25" s="432">
        <f t="shared" si="36"/>
        <v>890936.8</v>
      </c>
      <c r="AQ25" s="451" t="s">
        <v>848</v>
      </c>
      <c r="AR25" s="681">
        <v>6046.6</v>
      </c>
      <c r="AS25" s="681">
        <v>23421.4</v>
      </c>
      <c r="AT25" s="681">
        <v>14419.1</v>
      </c>
      <c r="AU25" s="681">
        <v>148.9</v>
      </c>
      <c r="AV25" s="681">
        <f>900982.2-18.3</f>
        <v>900963.89999999991</v>
      </c>
      <c r="AW25" s="681">
        <v>5639.1</v>
      </c>
      <c r="AX25" s="432">
        <f t="shared" si="25"/>
        <v>906602.99999999988</v>
      </c>
      <c r="AY25" s="432">
        <f t="shared" si="26"/>
        <v>58929.194999999992</v>
      </c>
      <c r="AZ25" s="432">
        <f t="shared" si="27"/>
        <v>8176.0050000000047</v>
      </c>
      <c r="BA25" s="681">
        <v>67105.2</v>
      </c>
      <c r="BB25" s="681">
        <v>2254175.5</v>
      </c>
      <c r="BC25" s="431">
        <f t="shared" si="28"/>
        <v>190613</v>
      </c>
      <c r="BD25" s="681">
        <v>0</v>
      </c>
      <c r="BE25" s="681">
        <v>10111</v>
      </c>
      <c r="BF25" s="681">
        <v>3287.3</v>
      </c>
      <c r="BG25" s="681">
        <v>151005.79999999999</v>
      </c>
      <c r="BH25" s="432">
        <f t="shared" si="29"/>
        <v>164404.09999999998</v>
      </c>
      <c r="BI25" s="451" t="s">
        <v>848</v>
      </c>
      <c r="BJ25" s="439">
        <v>-18.12</v>
      </c>
      <c r="BK25" s="439">
        <v>-2.48</v>
      </c>
      <c r="BL25" s="439">
        <v>8.4499999999999993</v>
      </c>
      <c r="BM25" s="439">
        <v>4.4400000000000004</v>
      </c>
      <c r="BN25" s="439">
        <v>4.53</v>
      </c>
      <c r="BO25" s="439" t="s">
        <v>505</v>
      </c>
      <c r="BP25" s="439" t="s">
        <v>505</v>
      </c>
      <c r="BQ25" s="440" t="s">
        <v>505</v>
      </c>
      <c r="BR25" s="440">
        <v>9667</v>
      </c>
      <c r="BS25" s="440">
        <v>3710</v>
      </c>
      <c r="BT25" s="439">
        <f t="shared" si="37"/>
        <v>98.887069726101146</v>
      </c>
      <c r="BU25" s="439">
        <f t="shared" si="31"/>
        <v>93.199948277645589</v>
      </c>
      <c r="BV25" s="439">
        <f t="shared" si="32"/>
        <v>92.162697838005585</v>
      </c>
      <c r="BW25" s="439">
        <f t="shared" si="33"/>
        <v>8.6699700176666354</v>
      </c>
      <c r="BX25" s="439">
        <v>5</v>
      </c>
      <c r="BY25" s="439">
        <v>5.08</v>
      </c>
      <c r="BZ25" s="439">
        <v>9.77</v>
      </c>
      <c r="CA25" s="439">
        <f t="shared" si="34"/>
        <v>4.6899999999999995</v>
      </c>
      <c r="CB25" s="439">
        <v>8.3800000000000008</v>
      </c>
      <c r="CC25" s="439">
        <v>12.19</v>
      </c>
      <c r="CD25" s="439">
        <f t="shared" si="35"/>
        <v>3.8099999999999987</v>
      </c>
      <c r="CE25" s="394"/>
      <c r="CF25" s="394"/>
    </row>
    <row r="26" spans="3:84" s="393" customFormat="1" ht="12" customHeight="1">
      <c r="I26" s="252" t="s">
        <v>840</v>
      </c>
      <c r="J26" s="687">
        <v>122950.3</v>
      </c>
      <c r="K26" s="687">
        <v>1524.5</v>
      </c>
      <c r="L26" s="687">
        <f t="shared" si="15"/>
        <v>124474.8</v>
      </c>
      <c r="M26" s="687">
        <v>10364.9</v>
      </c>
      <c r="N26" s="687">
        <f t="shared" si="16"/>
        <v>114109.90000000001</v>
      </c>
      <c r="O26" s="687">
        <v>14867.7</v>
      </c>
      <c r="P26" s="687">
        <v>55992.2</v>
      </c>
      <c r="Q26" s="687">
        <v>87858.8</v>
      </c>
      <c r="R26" s="691">
        <v>762214.40000000002</v>
      </c>
      <c r="S26" s="691">
        <f t="shared" si="17"/>
        <v>850073.20000000007</v>
      </c>
      <c r="T26" s="691">
        <f t="shared" si="18"/>
        <v>906065.4</v>
      </c>
      <c r="U26" s="687">
        <v>640</v>
      </c>
      <c r="V26" s="348">
        <f t="shared" si="19"/>
        <v>202608.7</v>
      </c>
      <c r="W26" s="348">
        <f t="shared" si="20"/>
        <v>964823.10000000009</v>
      </c>
      <c r="X26" s="691" t="s">
        <v>505</v>
      </c>
      <c r="Y26" s="691" t="s">
        <v>505</v>
      </c>
      <c r="Z26" s="252" t="s">
        <v>840</v>
      </c>
      <c r="AA26" s="348">
        <v>0</v>
      </c>
      <c r="AB26" s="687">
        <v>14859.8</v>
      </c>
      <c r="AC26" s="687">
        <v>692987</v>
      </c>
      <c r="AD26" s="348">
        <f t="shared" si="21"/>
        <v>707846.8</v>
      </c>
      <c r="AE26" s="348">
        <v>0</v>
      </c>
      <c r="AF26" s="687">
        <v>1491</v>
      </c>
      <c r="AG26" s="687">
        <v>25630.9</v>
      </c>
      <c r="AH26" s="348">
        <f t="shared" si="22"/>
        <v>27121.9</v>
      </c>
      <c r="AI26" s="713">
        <v>12271.2</v>
      </c>
      <c r="AJ26" s="713">
        <v>149580.9</v>
      </c>
      <c r="AK26" s="713">
        <v>15156.1</v>
      </c>
      <c r="AL26" s="662">
        <f t="shared" si="23"/>
        <v>164737</v>
      </c>
      <c r="AM26" s="348">
        <f t="shared" si="36"/>
        <v>12271.2</v>
      </c>
      <c r="AN26" s="348">
        <f t="shared" si="36"/>
        <v>165931.69999999998</v>
      </c>
      <c r="AO26" s="348">
        <f t="shared" si="36"/>
        <v>733774</v>
      </c>
      <c r="AP26" s="348">
        <f t="shared" si="36"/>
        <v>899705.70000000007</v>
      </c>
      <c r="AQ26" s="252" t="s">
        <v>840</v>
      </c>
      <c r="AR26" s="687">
        <v>6911.3</v>
      </c>
      <c r="AS26" s="687">
        <v>23591.8</v>
      </c>
      <c r="AT26" s="687">
        <v>15950</v>
      </c>
      <c r="AU26" s="687">
        <v>117.2</v>
      </c>
      <c r="AV26" s="687">
        <f>906113.9-18</f>
        <v>906095.9</v>
      </c>
      <c r="AW26" s="687">
        <v>5632.4</v>
      </c>
      <c r="AX26" s="348">
        <f t="shared" si="25"/>
        <v>911728.3</v>
      </c>
      <c r="AY26" s="348">
        <f t="shared" si="26"/>
        <v>59262.339500000002</v>
      </c>
      <c r="AZ26" s="348">
        <f t="shared" si="27"/>
        <v>8236.0604999999923</v>
      </c>
      <c r="BA26" s="687">
        <v>67498.399999999994</v>
      </c>
      <c r="BB26" s="687">
        <v>2107250</v>
      </c>
      <c r="BC26" s="347">
        <f t="shared" si="28"/>
        <v>191973.2</v>
      </c>
      <c r="BD26" s="687">
        <v>0</v>
      </c>
      <c r="BE26" s="687">
        <v>10017.5</v>
      </c>
      <c r="BF26" s="687">
        <v>3182.7</v>
      </c>
      <c r="BG26" s="687">
        <v>148310</v>
      </c>
      <c r="BH26" s="348">
        <f t="shared" si="29"/>
        <v>161510.20000000001</v>
      </c>
      <c r="BI26" s="252" t="s">
        <v>840</v>
      </c>
      <c r="BJ26" s="394">
        <v>-20.93</v>
      </c>
      <c r="BK26" s="394">
        <v>1.48</v>
      </c>
      <c r="BL26" s="394">
        <v>10.08</v>
      </c>
      <c r="BM26" s="394">
        <v>5.49</v>
      </c>
      <c r="BN26" s="394">
        <v>5.29</v>
      </c>
      <c r="BO26" s="394" t="s">
        <v>505</v>
      </c>
      <c r="BP26" s="394" t="s">
        <v>505</v>
      </c>
      <c r="BQ26" s="586" t="s">
        <v>505</v>
      </c>
      <c r="BR26" s="586">
        <v>9680</v>
      </c>
      <c r="BS26" s="586">
        <v>3712</v>
      </c>
      <c r="BT26" s="394">
        <f t="shared" ref="BT26:BT27" si="38">AP26/AV26*100</f>
        <v>99.294754561851576</v>
      </c>
      <c r="BU26" s="394">
        <f t="shared" si="31"/>
        <v>93.604948347107438</v>
      </c>
      <c r="BV26" s="394">
        <f t="shared" si="32"/>
        <v>92.944803719008277</v>
      </c>
      <c r="BW26" s="394">
        <f t="shared" si="33"/>
        <v>8.5932736258932394</v>
      </c>
      <c r="BX26" s="394">
        <v>5</v>
      </c>
      <c r="BY26" s="394">
        <v>5.01</v>
      </c>
      <c r="BZ26" s="394">
        <v>9.6999999999999993</v>
      </c>
      <c r="CA26" s="394">
        <f t="shared" si="34"/>
        <v>4.6899999999999995</v>
      </c>
      <c r="CB26" s="394">
        <v>8.34</v>
      </c>
      <c r="CC26" s="394">
        <v>12.07</v>
      </c>
      <c r="CD26" s="394">
        <f t="shared" si="35"/>
        <v>3.7300000000000004</v>
      </c>
      <c r="CE26" s="394"/>
      <c r="CF26" s="394"/>
    </row>
    <row r="27" spans="3:84" s="393" customFormat="1" ht="12" customHeight="1">
      <c r="I27" s="451" t="s">
        <v>849</v>
      </c>
      <c r="J27" s="681">
        <v>123343.2</v>
      </c>
      <c r="K27" s="681">
        <v>1519.5</v>
      </c>
      <c r="L27" s="681">
        <f t="shared" si="15"/>
        <v>124862.7</v>
      </c>
      <c r="M27" s="681">
        <v>11105.2</v>
      </c>
      <c r="N27" s="681">
        <f t="shared" si="16"/>
        <v>113757.5</v>
      </c>
      <c r="O27" s="681">
        <v>16205.6</v>
      </c>
      <c r="P27" s="681">
        <v>60389.9</v>
      </c>
      <c r="Q27" s="681">
        <v>89877.1</v>
      </c>
      <c r="R27" s="658">
        <v>766967.7</v>
      </c>
      <c r="S27" s="658">
        <f t="shared" si="17"/>
        <v>856844.79999999993</v>
      </c>
      <c r="T27" s="658">
        <f t="shared" si="18"/>
        <v>917234.7</v>
      </c>
      <c r="U27" s="681">
        <v>661.4</v>
      </c>
      <c r="V27" s="432">
        <f t="shared" si="19"/>
        <v>204296</v>
      </c>
      <c r="W27" s="432">
        <f t="shared" si="20"/>
        <v>971263.7</v>
      </c>
      <c r="X27" s="658" t="s">
        <v>505</v>
      </c>
      <c r="Y27" s="658" t="s">
        <v>505</v>
      </c>
      <c r="Z27" s="451" t="s">
        <v>849</v>
      </c>
      <c r="AA27" s="432">
        <v>0</v>
      </c>
      <c r="AB27" s="681">
        <v>15362.5</v>
      </c>
      <c r="AC27" s="681">
        <v>702753.8</v>
      </c>
      <c r="AD27" s="432">
        <f t="shared" si="21"/>
        <v>718116.3</v>
      </c>
      <c r="AE27" s="432">
        <v>0</v>
      </c>
      <c r="AF27" s="681">
        <v>1534.1</v>
      </c>
      <c r="AG27" s="681">
        <v>25793.200000000001</v>
      </c>
      <c r="AH27" s="432">
        <f t="shared" si="22"/>
        <v>27327.3</v>
      </c>
      <c r="AI27" s="685">
        <v>11555.4</v>
      </c>
      <c r="AJ27" s="685">
        <v>144420.9</v>
      </c>
      <c r="AK27" s="685">
        <v>15827.9</v>
      </c>
      <c r="AL27" s="686">
        <f t="shared" si="23"/>
        <v>160248.79999999999</v>
      </c>
      <c r="AM27" s="432">
        <f t="shared" si="36"/>
        <v>11555.4</v>
      </c>
      <c r="AN27" s="432">
        <f t="shared" si="36"/>
        <v>161317.5</v>
      </c>
      <c r="AO27" s="432">
        <f t="shared" si="36"/>
        <v>744374.9</v>
      </c>
      <c r="AP27" s="432">
        <f t="shared" si="36"/>
        <v>905692.40000000014</v>
      </c>
      <c r="AQ27" s="451" t="s">
        <v>849</v>
      </c>
      <c r="AR27" s="681">
        <v>6672.1</v>
      </c>
      <c r="AS27" s="681">
        <v>23479.7</v>
      </c>
      <c r="AT27" s="681">
        <v>16417.5</v>
      </c>
      <c r="AU27" s="681">
        <v>40.1</v>
      </c>
      <c r="AV27" s="681">
        <f>917283.4-17.9</f>
        <v>917265.5</v>
      </c>
      <c r="AW27" s="681">
        <v>5665.6</v>
      </c>
      <c r="AX27" s="432">
        <f t="shared" si="25"/>
        <v>922931.1</v>
      </c>
      <c r="AY27" s="432">
        <f t="shared" si="26"/>
        <v>59990.521500000003</v>
      </c>
      <c r="AZ27" s="432">
        <f t="shared" si="27"/>
        <v>5989.6784999999945</v>
      </c>
      <c r="BA27" s="681">
        <v>65980.2</v>
      </c>
      <c r="BB27" s="681">
        <v>2121313.7000000002</v>
      </c>
      <c r="BC27" s="431">
        <f t="shared" si="28"/>
        <v>190842.9</v>
      </c>
      <c r="BD27" s="681">
        <v>0</v>
      </c>
      <c r="BE27" s="681">
        <v>10016.200000000001</v>
      </c>
      <c r="BF27" s="681">
        <v>3131.6</v>
      </c>
      <c r="BG27" s="681">
        <v>143183.6</v>
      </c>
      <c r="BH27" s="432">
        <f t="shared" si="29"/>
        <v>156331.40000000002</v>
      </c>
      <c r="BI27" s="451" t="s">
        <v>849</v>
      </c>
      <c r="BJ27" s="439">
        <v>-26.31</v>
      </c>
      <c r="BK27" s="439">
        <v>5</v>
      </c>
      <c r="BL27" s="439">
        <v>11.66</v>
      </c>
      <c r="BM27" s="439">
        <v>6.11</v>
      </c>
      <c r="BN27" s="439">
        <v>5.99</v>
      </c>
      <c r="BO27" s="439" t="s">
        <v>505</v>
      </c>
      <c r="BP27" s="439" t="s">
        <v>505</v>
      </c>
      <c r="BQ27" s="440" t="s">
        <v>505</v>
      </c>
      <c r="BR27" s="440">
        <v>9691</v>
      </c>
      <c r="BS27" s="440">
        <v>3713</v>
      </c>
      <c r="BT27" s="439">
        <f t="shared" si="38"/>
        <v>98.738304231435734</v>
      </c>
      <c r="BU27" s="439">
        <f t="shared" si="31"/>
        <v>94.651274378289131</v>
      </c>
      <c r="BV27" s="439">
        <f t="shared" si="32"/>
        <v>93.457063254566108</v>
      </c>
      <c r="BW27" s="439">
        <f t="shared" si="33"/>
        <v>8.4038263730621061</v>
      </c>
      <c r="BX27" s="439">
        <v>5</v>
      </c>
      <c r="BY27" s="439">
        <v>4.97</v>
      </c>
      <c r="BZ27" s="439">
        <v>9.6199999999999992</v>
      </c>
      <c r="CA27" s="439">
        <f t="shared" si="34"/>
        <v>4.6499999999999995</v>
      </c>
      <c r="CB27" s="439">
        <v>8.35</v>
      </c>
      <c r="CC27" s="439">
        <v>11.98</v>
      </c>
      <c r="CD27" s="439">
        <f t="shared" si="35"/>
        <v>3.6300000000000008</v>
      </c>
      <c r="CE27" s="394"/>
      <c r="CF27" s="394"/>
    </row>
    <row r="28" spans="3:84" s="393" customFormat="1" ht="12" customHeight="1">
      <c r="I28" s="252" t="s">
        <v>850</v>
      </c>
      <c r="J28" s="687">
        <v>127364.5</v>
      </c>
      <c r="K28" s="687">
        <v>1516.8</v>
      </c>
      <c r="L28" s="687">
        <f t="shared" si="15"/>
        <v>128881.3</v>
      </c>
      <c r="M28" s="687">
        <v>11744.8</v>
      </c>
      <c r="N28" s="687">
        <f t="shared" si="16"/>
        <v>117136.5</v>
      </c>
      <c r="O28" s="687">
        <v>17453.900000000001</v>
      </c>
      <c r="P28" s="687">
        <v>63710.6</v>
      </c>
      <c r="Q28" s="687">
        <v>91234.7</v>
      </c>
      <c r="R28" s="691">
        <v>769468.3</v>
      </c>
      <c r="S28" s="687">
        <f t="shared" si="17"/>
        <v>860703</v>
      </c>
      <c r="T28" s="687">
        <f t="shared" si="18"/>
        <v>924413.6</v>
      </c>
      <c r="U28" s="687">
        <v>640.6</v>
      </c>
      <c r="V28" s="348">
        <f t="shared" si="19"/>
        <v>209011.80000000002</v>
      </c>
      <c r="W28" s="348">
        <f t="shared" si="20"/>
        <v>978480.10000000009</v>
      </c>
      <c r="X28" s="691" t="s">
        <v>505</v>
      </c>
      <c r="Y28" s="691" t="s">
        <v>505</v>
      </c>
      <c r="Z28" s="252" t="s">
        <v>850</v>
      </c>
      <c r="AA28" s="348">
        <v>0</v>
      </c>
      <c r="AB28" s="687">
        <v>15656.6</v>
      </c>
      <c r="AC28" s="687">
        <v>712156.9</v>
      </c>
      <c r="AD28" s="348">
        <f t="shared" si="21"/>
        <v>727813.5</v>
      </c>
      <c r="AE28" s="348">
        <v>0</v>
      </c>
      <c r="AF28" s="687">
        <v>1647</v>
      </c>
      <c r="AG28" s="687">
        <v>26112.9</v>
      </c>
      <c r="AH28" s="348">
        <f t="shared" si="22"/>
        <v>27759.9</v>
      </c>
      <c r="AI28" s="713">
        <v>11632.9</v>
      </c>
      <c r="AJ28" s="713">
        <v>140677.6</v>
      </c>
      <c r="AK28" s="713">
        <v>15597</v>
      </c>
      <c r="AL28" s="662">
        <f t="shared" si="23"/>
        <v>156274.6</v>
      </c>
      <c r="AM28" s="348">
        <f t="shared" si="36"/>
        <v>11632.9</v>
      </c>
      <c r="AN28" s="348">
        <f t="shared" si="36"/>
        <v>157981.20000000001</v>
      </c>
      <c r="AO28" s="348">
        <f t="shared" si="36"/>
        <v>753866.8</v>
      </c>
      <c r="AP28" s="348">
        <f t="shared" si="36"/>
        <v>911848</v>
      </c>
      <c r="AQ28" s="252" t="s">
        <v>850</v>
      </c>
      <c r="AR28" s="687">
        <v>6870</v>
      </c>
      <c r="AS28" s="687">
        <v>22930.2</v>
      </c>
      <c r="AT28" s="687">
        <v>17212.099999999999</v>
      </c>
      <c r="AU28" s="687">
        <v>29.9</v>
      </c>
      <c r="AV28" s="687">
        <f>924462.3-22.29</f>
        <v>924440.01</v>
      </c>
      <c r="AW28" s="687">
        <v>6034.8</v>
      </c>
      <c r="AX28" s="348">
        <f t="shared" si="25"/>
        <v>930474.81</v>
      </c>
      <c r="AY28" s="348">
        <f t="shared" si="26"/>
        <v>60480.862650000003</v>
      </c>
      <c r="AZ28" s="348">
        <f t="shared" si="27"/>
        <v>5965.8373499999943</v>
      </c>
      <c r="BA28" s="687">
        <v>66446.7</v>
      </c>
      <c r="BB28" s="687">
        <v>2165057.9</v>
      </c>
      <c r="BC28" s="347">
        <f t="shared" si="28"/>
        <v>195328</v>
      </c>
      <c r="BD28" s="687">
        <v>435.9</v>
      </c>
      <c r="BE28" s="687">
        <v>10023.200000000001</v>
      </c>
      <c r="BF28" s="687">
        <v>3301.7</v>
      </c>
      <c r="BG28" s="687">
        <v>139446.1</v>
      </c>
      <c r="BH28" s="348">
        <f t="shared" si="29"/>
        <v>153206.90000000002</v>
      </c>
      <c r="BI28" s="252" t="s">
        <v>850</v>
      </c>
      <c r="BJ28" s="394">
        <v>-27.69</v>
      </c>
      <c r="BK28" s="394">
        <v>8.33</v>
      </c>
      <c r="BL28" s="394">
        <v>13.09</v>
      </c>
      <c r="BM28" s="394">
        <v>7.18</v>
      </c>
      <c r="BN28" s="394">
        <v>6.78</v>
      </c>
      <c r="BO28" s="394" t="s">
        <v>505</v>
      </c>
      <c r="BP28" s="394" t="s">
        <v>505</v>
      </c>
      <c r="BQ28" s="586" t="s">
        <v>505</v>
      </c>
      <c r="BR28" s="586">
        <v>9703</v>
      </c>
      <c r="BS28" s="586">
        <v>3713</v>
      </c>
      <c r="BT28" s="394">
        <f t="shared" ref="BT28" si="39">AP28/AV28*100</f>
        <v>98.637876999720078</v>
      </c>
      <c r="BU28" s="394">
        <f t="shared" si="31"/>
        <v>95.273627743996698</v>
      </c>
      <c r="BV28" s="394">
        <f t="shared" si="32"/>
        <v>93.975883747294645</v>
      </c>
      <c r="BW28" s="394">
        <f t="shared" si="33"/>
        <v>8.4582557174261641</v>
      </c>
      <c r="BX28" s="394">
        <v>5</v>
      </c>
      <c r="BY28" s="394">
        <v>4.93</v>
      </c>
      <c r="BZ28" s="394">
        <v>9.66</v>
      </c>
      <c r="CA28" s="394">
        <f t="shared" si="34"/>
        <v>4.7300000000000004</v>
      </c>
      <c r="CB28" s="394">
        <v>8.3699999999999992</v>
      </c>
      <c r="CC28" s="394">
        <v>11.79</v>
      </c>
      <c r="CD28" s="394">
        <f t="shared" si="35"/>
        <v>3.42</v>
      </c>
      <c r="CE28" s="394"/>
      <c r="CF28" s="394"/>
    </row>
    <row r="29" spans="3:84" s="393" customFormat="1" ht="12" customHeight="1">
      <c r="I29" s="451" t="s">
        <v>841</v>
      </c>
      <c r="J29" s="681">
        <v>149724.70000000001</v>
      </c>
      <c r="K29" s="681">
        <v>1540.5</v>
      </c>
      <c r="L29" s="681">
        <f t="shared" si="15"/>
        <v>151265.20000000001</v>
      </c>
      <c r="M29" s="681">
        <v>13733.4</v>
      </c>
      <c r="N29" s="681">
        <f t="shared" si="16"/>
        <v>137531.80000000002</v>
      </c>
      <c r="O29" s="681">
        <v>22096.9</v>
      </c>
      <c r="P29" s="681">
        <v>64651.3</v>
      </c>
      <c r="Q29" s="681">
        <v>101885.2</v>
      </c>
      <c r="R29" s="658">
        <v>775997.6</v>
      </c>
      <c r="S29" s="658">
        <f t="shared" si="17"/>
        <v>877882.79999999993</v>
      </c>
      <c r="T29" s="681">
        <f t="shared" si="18"/>
        <v>942534.1</v>
      </c>
      <c r="U29" s="681">
        <v>661.5</v>
      </c>
      <c r="V29" s="432">
        <f t="shared" si="19"/>
        <v>240078.5</v>
      </c>
      <c r="W29" s="432">
        <f t="shared" si="20"/>
        <v>1016076.1</v>
      </c>
      <c r="X29" s="658" t="s">
        <v>505</v>
      </c>
      <c r="Y29" s="658" t="s">
        <v>505</v>
      </c>
      <c r="Z29" s="451" t="s">
        <v>841</v>
      </c>
      <c r="AA29" s="432">
        <v>0</v>
      </c>
      <c r="AB29" s="681">
        <v>15533.2</v>
      </c>
      <c r="AC29" s="681">
        <v>728117</v>
      </c>
      <c r="AD29" s="432">
        <f t="shared" si="21"/>
        <v>743650.2</v>
      </c>
      <c r="AE29" s="432">
        <v>0</v>
      </c>
      <c r="AF29" s="681">
        <v>1726.2</v>
      </c>
      <c r="AG29" s="681">
        <v>27218.5</v>
      </c>
      <c r="AH29" s="432">
        <f t="shared" si="22"/>
        <v>28944.7</v>
      </c>
      <c r="AI29" s="685">
        <v>14073.4</v>
      </c>
      <c r="AJ29" s="685">
        <v>152329.70000000001</v>
      </c>
      <c r="AK29" s="685">
        <v>15744.2</v>
      </c>
      <c r="AL29" s="686">
        <f t="shared" si="23"/>
        <v>168073.90000000002</v>
      </c>
      <c r="AM29" s="432">
        <f t="shared" si="36"/>
        <v>14073.4</v>
      </c>
      <c r="AN29" s="432">
        <f t="shared" si="36"/>
        <v>169589.1</v>
      </c>
      <c r="AO29" s="432">
        <f t="shared" si="36"/>
        <v>771079.7</v>
      </c>
      <c r="AP29" s="432">
        <f t="shared" si="36"/>
        <v>940668.79999999993</v>
      </c>
      <c r="AQ29" s="451" t="s">
        <v>841</v>
      </c>
      <c r="AR29" s="681">
        <v>7470.4</v>
      </c>
      <c r="AS29" s="681">
        <v>24394.1</v>
      </c>
      <c r="AT29" s="681">
        <v>20759.3</v>
      </c>
      <c r="AU29" s="681">
        <v>62.9</v>
      </c>
      <c r="AV29" s="681">
        <f>942582.9-24.39</f>
        <v>942558.51</v>
      </c>
      <c r="AW29" s="681">
        <v>5784.1</v>
      </c>
      <c r="AX29" s="432">
        <f t="shared" si="25"/>
        <v>948342.61</v>
      </c>
      <c r="AY29" s="432">
        <f t="shared" si="26"/>
        <v>61642.269650000002</v>
      </c>
      <c r="AZ29" s="432">
        <f t="shared" si="27"/>
        <v>11090.430349999995</v>
      </c>
      <c r="BA29" s="681">
        <v>72732.7</v>
      </c>
      <c r="BB29" s="681">
        <v>2223734.2999999998</v>
      </c>
      <c r="BC29" s="431">
        <f t="shared" si="28"/>
        <v>223997.90000000002</v>
      </c>
      <c r="BD29" s="681">
        <v>3015.6</v>
      </c>
      <c r="BE29" s="681">
        <v>10964.5</v>
      </c>
      <c r="BF29" s="681">
        <v>3364.4</v>
      </c>
      <c r="BG29" s="681">
        <v>151102.29999999999</v>
      </c>
      <c r="BH29" s="432">
        <f t="shared" si="29"/>
        <v>168446.8</v>
      </c>
      <c r="BI29" s="451" t="s">
        <v>841</v>
      </c>
      <c r="BJ29" s="439">
        <v>-14.78</v>
      </c>
      <c r="BK29" s="439">
        <v>7.66</v>
      </c>
      <c r="BL29" s="439">
        <v>15.66</v>
      </c>
      <c r="BM29" s="439">
        <v>11.16</v>
      </c>
      <c r="BN29" s="439">
        <v>10.88</v>
      </c>
      <c r="BO29" s="439" t="s">
        <v>505</v>
      </c>
      <c r="BP29" s="439" t="s">
        <v>505</v>
      </c>
      <c r="BQ29" s="440" t="s">
        <v>505</v>
      </c>
      <c r="BR29" s="440">
        <v>9720</v>
      </c>
      <c r="BS29" s="440">
        <v>3713</v>
      </c>
      <c r="BT29" s="439">
        <f t="shared" ref="BT29" si="40">AP29/AV29*100</f>
        <v>99.799512711417776</v>
      </c>
      <c r="BU29" s="439">
        <f t="shared" si="31"/>
        <v>96.971040123456788</v>
      </c>
      <c r="BV29" s="439">
        <f t="shared" si="32"/>
        <v>96.776625514403278</v>
      </c>
      <c r="BW29" s="439">
        <f t="shared" si="33"/>
        <v>9.1735525256676098</v>
      </c>
      <c r="BX29" s="439">
        <v>5</v>
      </c>
      <c r="BY29" s="439">
        <v>4.84</v>
      </c>
      <c r="BZ29" s="439">
        <v>9.56</v>
      </c>
      <c r="CA29" s="439">
        <f t="shared" si="34"/>
        <v>4.7200000000000006</v>
      </c>
      <c r="CB29" s="439">
        <v>8.3699999999999992</v>
      </c>
      <c r="CC29" s="439">
        <v>11.69</v>
      </c>
      <c r="CD29" s="439">
        <f t="shared" si="35"/>
        <v>3.3200000000000003</v>
      </c>
      <c r="CE29" s="394"/>
      <c r="CF29" s="394"/>
    </row>
    <row r="30" spans="3:84" s="393" customFormat="1" ht="12" customHeight="1">
      <c r="H30" s="252"/>
      <c r="I30" s="1282" t="s">
        <v>2320</v>
      </c>
      <c r="J30" s="832">
        <f>J42</f>
        <v>153411.20000000001</v>
      </c>
      <c r="K30" s="832">
        <f t="shared" ref="K30:W30" si="41">K42</f>
        <v>1529.3</v>
      </c>
      <c r="L30" s="832">
        <f t="shared" si="41"/>
        <v>154940.5</v>
      </c>
      <c r="M30" s="832">
        <f t="shared" si="41"/>
        <v>14023</v>
      </c>
      <c r="N30" s="832">
        <f t="shared" si="41"/>
        <v>140917.5</v>
      </c>
      <c r="O30" s="832">
        <f t="shared" si="41"/>
        <v>33411</v>
      </c>
      <c r="P30" s="832">
        <f t="shared" si="41"/>
        <v>75790.3</v>
      </c>
      <c r="Q30" s="832">
        <f t="shared" si="41"/>
        <v>113217.1</v>
      </c>
      <c r="R30" s="832">
        <f t="shared" si="41"/>
        <v>855087.3</v>
      </c>
      <c r="S30" s="832">
        <f t="shared" si="41"/>
        <v>968304.4</v>
      </c>
      <c r="T30" s="832">
        <f t="shared" si="41"/>
        <v>1044094.7000000001</v>
      </c>
      <c r="U30" s="832">
        <f t="shared" si="41"/>
        <v>759.1</v>
      </c>
      <c r="V30" s="832">
        <f t="shared" si="41"/>
        <v>254893.7</v>
      </c>
      <c r="W30" s="832">
        <f t="shared" si="41"/>
        <v>1109981</v>
      </c>
      <c r="X30" s="1185" t="s">
        <v>505</v>
      </c>
      <c r="Y30" s="1185" t="s">
        <v>505</v>
      </c>
      <c r="Z30" s="1282" t="s">
        <v>2320</v>
      </c>
      <c r="AA30" s="832">
        <f t="shared" ref="AA30:AP30" si="42">AA42</f>
        <v>0</v>
      </c>
      <c r="AB30" s="832">
        <f t="shared" si="42"/>
        <v>18543.400000000001</v>
      </c>
      <c r="AC30" s="832">
        <f t="shared" si="42"/>
        <v>859131.1</v>
      </c>
      <c r="AD30" s="832">
        <f t="shared" si="42"/>
        <v>877674.5</v>
      </c>
      <c r="AE30" s="832">
        <f t="shared" si="42"/>
        <v>0</v>
      </c>
      <c r="AF30" s="832">
        <f t="shared" si="42"/>
        <v>1666.1</v>
      </c>
      <c r="AG30" s="832">
        <f t="shared" si="42"/>
        <v>26533.1</v>
      </c>
      <c r="AH30" s="832">
        <f t="shared" si="42"/>
        <v>28199.199999999997</v>
      </c>
      <c r="AI30" s="832">
        <f t="shared" si="42"/>
        <v>17367.400000000001</v>
      </c>
      <c r="AJ30" s="832">
        <f t="shared" si="42"/>
        <v>152836.79999999999</v>
      </c>
      <c r="AK30" s="832">
        <f t="shared" si="42"/>
        <v>16721.3</v>
      </c>
      <c r="AL30" s="832">
        <f t="shared" si="42"/>
        <v>169558.09999999998</v>
      </c>
      <c r="AM30" s="832">
        <f t="shared" si="42"/>
        <v>17367.400000000001</v>
      </c>
      <c r="AN30" s="832">
        <f t="shared" si="42"/>
        <v>173046.3</v>
      </c>
      <c r="AO30" s="832">
        <f t="shared" si="42"/>
        <v>902385.5</v>
      </c>
      <c r="AP30" s="832">
        <f t="shared" si="42"/>
        <v>1075431.7999999998</v>
      </c>
      <c r="AQ30" s="1282" t="s">
        <v>2320</v>
      </c>
      <c r="AR30" s="832">
        <f t="shared" ref="AR30:BH30" si="43">AR42</f>
        <v>9988.7999999999993</v>
      </c>
      <c r="AS30" s="832">
        <f t="shared" si="43"/>
        <v>32329.9</v>
      </c>
      <c r="AT30" s="832">
        <f t="shared" si="43"/>
        <v>25777.8</v>
      </c>
      <c r="AU30" s="832">
        <f t="shared" si="43"/>
        <v>59.2</v>
      </c>
      <c r="AV30" s="832">
        <f t="shared" si="43"/>
        <v>1044113.46</v>
      </c>
      <c r="AW30" s="832">
        <f t="shared" si="43"/>
        <v>7577.6</v>
      </c>
      <c r="AX30" s="832">
        <f t="shared" si="43"/>
        <v>1051691.06</v>
      </c>
      <c r="AY30" s="832">
        <f t="shared" si="43"/>
        <v>55721.048349999997</v>
      </c>
      <c r="AZ30" s="832">
        <f t="shared" si="43"/>
        <v>22322.351649999997</v>
      </c>
      <c r="BA30" s="832">
        <f t="shared" si="43"/>
        <v>78043.399999999994</v>
      </c>
      <c r="BB30" s="832">
        <f t="shared" si="43"/>
        <v>2680520.5</v>
      </c>
      <c r="BC30" s="832">
        <f t="shared" si="43"/>
        <v>232983.9</v>
      </c>
      <c r="BD30" s="832">
        <f t="shared" si="43"/>
        <v>4000</v>
      </c>
      <c r="BE30" s="832">
        <f t="shared" si="43"/>
        <v>17878.900000000001</v>
      </c>
      <c r="BF30" s="832">
        <f t="shared" si="43"/>
        <v>4818</v>
      </c>
      <c r="BG30" s="832">
        <f t="shared" si="43"/>
        <v>151396</v>
      </c>
      <c r="BH30" s="832">
        <f t="shared" si="43"/>
        <v>178092.9</v>
      </c>
      <c r="BI30" s="1282" t="s">
        <v>2320</v>
      </c>
      <c r="BJ30" s="831">
        <f>BJ42</f>
        <v>-2.5099999999999998</v>
      </c>
      <c r="BK30" s="831">
        <f>BK42</f>
        <v>11.11</v>
      </c>
      <c r="BL30" s="831">
        <f>BL42</f>
        <v>16.940000000000001</v>
      </c>
      <c r="BM30" s="831">
        <f>BM42</f>
        <v>14.71</v>
      </c>
      <c r="BN30" s="831">
        <f>BN42</f>
        <v>9.24</v>
      </c>
      <c r="BO30" s="530">
        <v>2.0299999999999998</v>
      </c>
      <c r="BP30" s="530" t="s">
        <v>505</v>
      </c>
      <c r="BQ30" s="531" t="s">
        <v>505</v>
      </c>
      <c r="BR30" s="1046">
        <f t="shared" ref="BR30:CD30" si="44">BR42</f>
        <v>10114</v>
      </c>
      <c r="BS30" s="1046">
        <f t="shared" si="44"/>
        <v>3741</v>
      </c>
      <c r="BT30" s="831">
        <f t="shared" si="44"/>
        <v>102.99951501439315</v>
      </c>
      <c r="BU30" s="831">
        <f t="shared" si="44"/>
        <v>103.23447300771208</v>
      </c>
      <c r="BV30" s="831">
        <f t="shared" si="44"/>
        <v>106.33100652560805</v>
      </c>
      <c r="BW30" s="831">
        <f t="shared" si="44"/>
        <v>8.8176624023216785</v>
      </c>
      <c r="BX30" s="831">
        <f t="shared" si="44"/>
        <v>5</v>
      </c>
      <c r="BY30" s="831">
        <f t="shared" si="44"/>
        <v>5.5</v>
      </c>
      <c r="BZ30" s="831">
        <f t="shared" si="44"/>
        <v>9.9499999999999993</v>
      </c>
      <c r="CA30" s="831">
        <f t="shared" si="44"/>
        <v>4.4499999999999993</v>
      </c>
      <c r="CB30" s="831">
        <f t="shared" si="44"/>
        <v>10.14</v>
      </c>
      <c r="CC30" s="831">
        <f t="shared" si="44"/>
        <v>12.67</v>
      </c>
      <c r="CD30" s="831">
        <f t="shared" si="44"/>
        <v>2.5299999999999994</v>
      </c>
      <c r="CE30" s="394"/>
      <c r="CF30" s="394"/>
    </row>
    <row r="31" spans="3:84" s="393" customFormat="1" ht="12" customHeight="1">
      <c r="I31" s="451" t="s">
        <v>843</v>
      </c>
      <c r="J31" s="681">
        <v>136956.29999999999</v>
      </c>
      <c r="K31" s="681">
        <v>1540.2</v>
      </c>
      <c r="L31" s="681">
        <f t="shared" si="15"/>
        <v>138496.5</v>
      </c>
      <c r="M31" s="681">
        <v>12238.1</v>
      </c>
      <c r="N31" s="681">
        <f t="shared" si="16"/>
        <v>126258.4</v>
      </c>
      <c r="O31" s="681">
        <v>18811</v>
      </c>
      <c r="P31" s="681">
        <v>60959.199999999997</v>
      </c>
      <c r="Q31" s="681">
        <v>98980.800000000003</v>
      </c>
      <c r="R31" s="658">
        <v>783688.3</v>
      </c>
      <c r="S31" s="658">
        <f t="shared" si="17"/>
        <v>882669.10000000009</v>
      </c>
      <c r="T31" s="681">
        <f t="shared" si="18"/>
        <v>943628.3</v>
      </c>
      <c r="U31" s="681">
        <v>664.2</v>
      </c>
      <c r="V31" s="432">
        <f t="shared" ref="V31:V47" si="45">N31+Q31+U31</f>
        <v>225903.40000000002</v>
      </c>
      <c r="W31" s="432">
        <f t="shared" ref="W31:W47" si="46">R31+V31</f>
        <v>1009591.7000000001</v>
      </c>
      <c r="X31" s="658" t="s">
        <v>505</v>
      </c>
      <c r="Y31" s="658" t="s">
        <v>505</v>
      </c>
      <c r="Z31" s="451" t="s">
        <v>843</v>
      </c>
      <c r="AA31" s="432">
        <v>0</v>
      </c>
      <c r="AB31" s="681">
        <v>15772.1</v>
      </c>
      <c r="AC31" s="681">
        <v>729968</v>
      </c>
      <c r="AD31" s="432">
        <f t="shared" si="21"/>
        <v>745740.1</v>
      </c>
      <c r="AE31" s="432">
        <v>0</v>
      </c>
      <c r="AF31" s="681">
        <v>1717.7</v>
      </c>
      <c r="AG31" s="681">
        <v>27379.7</v>
      </c>
      <c r="AH31" s="432">
        <f t="shared" si="22"/>
        <v>29097.4</v>
      </c>
      <c r="AI31" s="685">
        <v>13287.6</v>
      </c>
      <c r="AJ31" s="685">
        <v>153991.70000000001</v>
      </c>
      <c r="AK31" s="685">
        <v>15747.8</v>
      </c>
      <c r="AL31" s="686">
        <f t="shared" si="23"/>
        <v>169739.5</v>
      </c>
      <c r="AM31" s="432">
        <f t="shared" ref="AM31:AM47" si="47">AA31+AE31+AI31</f>
        <v>13287.6</v>
      </c>
      <c r="AN31" s="432">
        <f t="shared" ref="AN31:AN47" si="48">AB31+AF31+AJ31</f>
        <v>171481.5</v>
      </c>
      <c r="AO31" s="432">
        <f t="shared" ref="AO31:AO47" si="49">AC31+AG31+AK31</f>
        <v>773095.5</v>
      </c>
      <c r="AP31" s="432">
        <f t="shared" ref="AP31:AP47" si="50">AD31+AH31+AL31</f>
        <v>944577</v>
      </c>
      <c r="AQ31" s="451" t="s">
        <v>843</v>
      </c>
      <c r="AR31" s="681">
        <v>5912.2</v>
      </c>
      <c r="AS31" s="681">
        <v>24569.7</v>
      </c>
      <c r="AT31" s="681">
        <v>19157.2</v>
      </c>
      <c r="AU31" s="681">
        <v>63.3</v>
      </c>
      <c r="AV31" s="681">
        <f>943677.1-24.03</f>
        <v>943653.07</v>
      </c>
      <c r="AW31" s="681">
        <v>6202.7</v>
      </c>
      <c r="AX31" s="432">
        <f t="shared" si="25"/>
        <v>949855.7699999999</v>
      </c>
      <c r="AY31" s="432">
        <f t="shared" ref="AY31:AY32" si="51">0.065*AX31</f>
        <v>61740.625049999995</v>
      </c>
      <c r="AZ31" s="432">
        <f t="shared" ref="AZ31:AZ34" si="52">BA31-AY31</f>
        <v>9386.4749500000107</v>
      </c>
      <c r="BA31" s="681">
        <v>71127.100000000006</v>
      </c>
      <c r="BB31" s="681">
        <v>2240565.5</v>
      </c>
      <c r="BC31" s="431">
        <f t="shared" si="28"/>
        <v>209623.6</v>
      </c>
      <c r="BD31" s="681">
        <v>0</v>
      </c>
      <c r="BE31" s="681">
        <v>10818</v>
      </c>
      <c r="BF31" s="681">
        <v>3297.4</v>
      </c>
      <c r="BG31" s="681">
        <v>152766.79999999999</v>
      </c>
      <c r="BH31" s="432">
        <f t="shared" si="29"/>
        <v>166882.19999999998</v>
      </c>
      <c r="BI31" s="451" t="s">
        <v>843</v>
      </c>
      <c r="BJ31" s="439">
        <v>-2.64</v>
      </c>
      <c r="BK31" s="439">
        <v>1.66</v>
      </c>
      <c r="BL31" s="439">
        <v>0.25</v>
      </c>
      <c r="BM31" s="439">
        <v>-0.04</v>
      </c>
      <c r="BN31" s="439">
        <v>-0.64</v>
      </c>
      <c r="BO31" s="439" t="s">
        <v>505</v>
      </c>
      <c r="BP31" s="439" t="s">
        <v>505</v>
      </c>
      <c r="BQ31" s="440" t="s">
        <v>505</v>
      </c>
      <c r="BR31" s="440">
        <v>9740</v>
      </c>
      <c r="BS31" s="440">
        <v>3713</v>
      </c>
      <c r="BT31" s="439">
        <f t="shared" ref="BT31" si="53">AP31/AV31*100</f>
        <v>100.09790992361206</v>
      </c>
      <c r="BU31" s="439">
        <f t="shared" ref="BU31:BU45" si="54">AV31/BR31</f>
        <v>96.884298767967138</v>
      </c>
      <c r="BV31" s="439">
        <f t="shared" ref="BV31:BV47" si="55">AP31/BR31</f>
        <v>96.979158110882963</v>
      </c>
      <c r="BW31" s="439">
        <f t="shared" ref="BW31:BW47" si="56">(M31+BA31)/AV31*100</f>
        <v>8.8343060230811332</v>
      </c>
      <c r="BX31" s="439">
        <v>5</v>
      </c>
      <c r="BY31" s="439">
        <v>4.8899999999999997</v>
      </c>
      <c r="BZ31" s="439">
        <v>9.51</v>
      </c>
      <c r="CA31" s="439">
        <f t="shared" si="34"/>
        <v>4.62</v>
      </c>
      <c r="CB31" s="439">
        <v>8.34</v>
      </c>
      <c r="CC31" s="439">
        <v>11.61</v>
      </c>
      <c r="CD31" s="439">
        <f t="shared" si="35"/>
        <v>3.2699999999999996</v>
      </c>
      <c r="CE31" s="394"/>
      <c r="CF31" s="394"/>
    </row>
    <row r="32" spans="3:84" s="393" customFormat="1" ht="12" customHeight="1">
      <c r="I32" s="252" t="s">
        <v>844</v>
      </c>
      <c r="J32" s="687">
        <v>157654.70000000001</v>
      </c>
      <c r="K32" s="687">
        <v>1544.6</v>
      </c>
      <c r="L32" s="687">
        <f t="shared" si="15"/>
        <v>159199.30000000002</v>
      </c>
      <c r="M32" s="687">
        <v>11375.9</v>
      </c>
      <c r="N32" s="687">
        <f t="shared" si="16"/>
        <v>147823.40000000002</v>
      </c>
      <c r="O32" s="687">
        <v>20104.900000000001</v>
      </c>
      <c r="P32" s="687">
        <v>63109.4</v>
      </c>
      <c r="Q32" s="687">
        <v>94907</v>
      </c>
      <c r="R32" s="691">
        <v>787748.4</v>
      </c>
      <c r="S32" s="691">
        <f t="shared" si="17"/>
        <v>882655.4</v>
      </c>
      <c r="T32" s="691">
        <f t="shared" si="18"/>
        <v>945764.8</v>
      </c>
      <c r="U32" s="687">
        <v>672.9</v>
      </c>
      <c r="V32" s="348">
        <f t="shared" si="45"/>
        <v>243403.30000000002</v>
      </c>
      <c r="W32" s="348">
        <f t="shared" si="46"/>
        <v>1031151.7000000001</v>
      </c>
      <c r="X32" s="691" t="s">
        <v>505</v>
      </c>
      <c r="Y32" s="691" t="s">
        <v>505</v>
      </c>
      <c r="Z32" s="252" t="s">
        <v>844</v>
      </c>
      <c r="AA32" s="348">
        <v>0</v>
      </c>
      <c r="AB32" s="687">
        <v>15760</v>
      </c>
      <c r="AC32" s="687">
        <v>742507.7</v>
      </c>
      <c r="AD32" s="348">
        <f t="shared" si="21"/>
        <v>758267.7</v>
      </c>
      <c r="AE32" s="348">
        <v>0</v>
      </c>
      <c r="AF32" s="687">
        <v>1941.9</v>
      </c>
      <c r="AG32" s="687">
        <v>28040.3</v>
      </c>
      <c r="AH32" s="348">
        <f t="shared" si="22"/>
        <v>29982.2</v>
      </c>
      <c r="AI32" s="713">
        <v>13156.9</v>
      </c>
      <c r="AJ32" s="713">
        <v>152296.1</v>
      </c>
      <c r="AK32" s="713">
        <v>16425.3</v>
      </c>
      <c r="AL32" s="662">
        <f t="shared" si="23"/>
        <v>168721.4</v>
      </c>
      <c r="AM32" s="348">
        <f t="shared" si="47"/>
        <v>13156.9</v>
      </c>
      <c r="AN32" s="348">
        <f t="shared" si="48"/>
        <v>169998</v>
      </c>
      <c r="AO32" s="348">
        <f t="shared" si="49"/>
        <v>786973.3</v>
      </c>
      <c r="AP32" s="348">
        <f t="shared" si="50"/>
        <v>956971.29999999993</v>
      </c>
      <c r="AQ32" s="252" t="s">
        <v>844</v>
      </c>
      <c r="AR32" s="687">
        <v>6760.9</v>
      </c>
      <c r="AS32" s="687">
        <v>23427.7</v>
      </c>
      <c r="AT32" s="687">
        <v>22323.4</v>
      </c>
      <c r="AU32" s="687">
        <v>68.400000000000006</v>
      </c>
      <c r="AV32" s="687">
        <f>945813.5-23.72</f>
        <v>945789.78</v>
      </c>
      <c r="AW32" s="687">
        <v>6586.7</v>
      </c>
      <c r="AX32" s="348">
        <f t="shared" si="25"/>
        <v>952376.48</v>
      </c>
      <c r="AY32" s="348">
        <f t="shared" si="51"/>
        <v>61904.4712</v>
      </c>
      <c r="AZ32" s="348">
        <f t="shared" si="52"/>
        <v>8418.9287999999942</v>
      </c>
      <c r="BA32" s="687">
        <v>70323.399999999994</v>
      </c>
      <c r="BB32" s="687">
        <v>2258622.1</v>
      </c>
      <c r="BC32" s="347">
        <f t="shared" si="28"/>
        <v>229522.7</v>
      </c>
      <c r="BD32" s="687">
        <v>4000</v>
      </c>
      <c r="BE32" s="687">
        <v>12718.1</v>
      </c>
      <c r="BF32" s="687">
        <v>3443</v>
      </c>
      <c r="BG32" s="687">
        <v>151013.5</v>
      </c>
      <c r="BH32" s="348">
        <f t="shared" si="29"/>
        <v>171174.6</v>
      </c>
      <c r="BI32" s="252" t="s">
        <v>844</v>
      </c>
      <c r="BJ32" s="394">
        <v>4.0599999999999996</v>
      </c>
      <c r="BK32" s="394">
        <v>2.38</v>
      </c>
      <c r="BL32" s="394">
        <v>2.0299999999999998</v>
      </c>
      <c r="BM32" s="394">
        <v>2.2599999999999998</v>
      </c>
      <c r="BN32" s="394">
        <v>1.48</v>
      </c>
      <c r="BO32" s="394" t="s">
        <v>505</v>
      </c>
      <c r="BP32" s="394" t="s">
        <v>505</v>
      </c>
      <c r="BQ32" s="586" t="s">
        <v>505</v>
      </c>
      <c r="BR32" s="586">
        <v>9752</v>
      </c>
      <c r="BS32" s="586">
        <v>3713</v>
      </c>
      <c r="BT32" s="394">
        <f t="shared" ref="BT32:BT42" si="57">AP32/AV32*100</f>
        <v>101.18224157592397</v>
      </c>
      <c r="BU32" s="394">
        <f t="shared" si="54"/>
        <v>96.984185808039385</v>
      </c>
      <c r="BV32" s="394">
        <f t="shared" si="55"/>
        <v>98.130773174733378</v>
      </c>
      <c r="BW32" s="394">
        <f t="shared" si="56"/>
        <v>8.6382092223495999</v>
      </c>
      <c r="BX32" s="394">
        <v>5</v>
      </c>
      <c r="BY32" s="394">
        <v>4.93</v>
      </c>
      <c r="BZ32" s="394">
        <v>9.4600000000000009</v>
      </c>
      <c r="CA32" s="394">
        <f t="shared" si="34"/>
        <v>4.5300000000000011</v>
      </c>
      <c r="CB32" s="394">
        <v>8.33</v>
      </c>
      <c r="CC32" s="394">
        <v>11.59</v>
      </c>
      <c r="CD32" s="394">
        <f t="shared" si="35"/>
        <v>3.26</v>
      </c>
      <c r="CE32" s="394"/>
      <c r="CF32" s="394"/>
    </row>
    <row r="33" spans="1:84" s="393" customFormat="1" ht="12" customHeight="1">
      <c r="I33" s="451" t="s">
        <v>838</v>
      </c>
      <c r="J33" s="681">
        <v>142587.20000000001</v>
      </c>
      <c r="K33" s="681">
        <v>1543.9</v>
      </c>
      <c r="L33" s="681">
        <f t="shared" si="15"/>
        <v>144131.1</v>
      </c>
      <c r="M33" s="681">
        <v>11307.9</v>
      </c>
      <c r="N33" s="681">
        <f t="shared" si="16"/>
        <v>132823.20000000001</v>
      </c>
      <c r="O33" s="681">
        <v>22254</v>
      </c>
      <c r="P33" s="681">
        <v>63544.1</v>
      </c>
      <c r="Q33" s="681">
        <v>97812.800000000003</v>
      </c>
      <c r="R33" s="658">
        <v>797377.4</v>
      </c>
      <c r="S33" s="658">
        <f t="shared" si="17"/>
        <v>895190.20000000007</v>
      </c>
      <c r="T33" s="658">
        <f t="shared" si="18"/>
        <v>958734.3</v>
      </c>
      <c r="U33" s="681">
        <v>687.4</v>
      </c>
      <c r="V33" s="432">
        <f t="shared" si="45"/>
        <v>231323.4</v>
      </c>
      <c r="W33" s="432">
        <f t="shared" si="46"/>
        <v>1028700.8</v>
      </c>
      <c r="X33" s="658" t="s">
        <v>505</v>
      </c>
      <c r="Y33" s="658" t="s">
        <v>505</v>
      </c>
      <c r="Z33" s="451" t="s">
        <v>838</v>
      </c>
      <c r="AA33" s="432">
        <v>0</v>
      </c>
      <c r="AB33" s="681">
        <v>15603.8</v>
      </c>
      <c r="AC33" s="681">
        <v>753085.6</v>
      </c>
      <c r="AD33" s="432">
        <f t="shared" si="21"/>
        <v>768689.4</v>
      </c>
      <c r="AE33" s="432">
        <v>0</v>
      </c>
      <c r="AF33" s="681">
        <v>1908.3</v>
      </c>
      <c r="AG33" s="681">
        <v>27191.7</v>
      </c>
      <c r="AH33" s="432">
        <f t="shared" si="22"/>
        <v>29100</v>
      </c>
      <c r="AI33" s="685">
        <v>13914.6</v>
      </c>
      <c r="AJ33" s="685">
        <v>153759.6</v>
      </c>
      <c r="AK33" s="685">
        <v>16103.9</v>
      </c>
      <c r="AL33" s="686">
        <f t="shared" si="23"/>
        <v>169863.5</v>
      </c>
      <c r="AM33" s="432">
        <f t="shared" si="47"/>
        <v>13914.6</v>
      </c>
      <c r="AN33" s="432">
        <f t="shared" si="48"/>
        <v>171271.7</v>
      </c>
      <c r="AO33" s="432">
        <f t="shared" si="49"/>
        <v>796381.2</v>
      </c>
      <c r="AP33" s="432">
        <f t="shared" si="50"/>
        <v>967652.9</v>
      </c>
      <c r="AQ33" s="451" t="s">
        <v>838</v>
      </c>
      <c r="AR33" s="681">
        <v>6395.4</v>
      </c>
      <c r="AS33" s="681">
        <v>23246.6</v>
      </c>
      <c r="AT33" s="681">
        <v>22200.9</v>
      </c>
      <c r="AU33" s="681">
        <v>49.6</v>
      </c>
      <c r="AV33" s="681">
        <f>958783.1-27.8</f>
        <v>958755.29999999993</v>
      </c>
      <c r="AW33" s="681">
        <v>6274.7</v>
      </c>
      <c r="AX33" s="432">
        <f t="shared" si="25"/>
        <v>965029.99999999988</v>
      </c>
      <c r="AY33" s="432">
        <f t="shared" ref="AY33:AY37" si="58">0.065*AX31</f>
        <v>61740.625049999995</v>
      </c>
      <c r="AZ33" s="432">
        <f t="shared" si="52"/>
        <v>8701.074950000002</v>
      </c>
      <c r="BA33" s="681">
        <v>70441.7</v>
      </c>
      <c r="BB33" s="681">
        <v>2301412.7000000002</v>
      </c>
      <c r="BC33" s="431">
        <f t="shared" si="28"/>
        <v>214572.79999999999</v>
      </c>
      <c r="BD33" s="681">
        <v>0</v>
      </c>
      <c r="BE33" s="681">
        <v>10848.6</v>
      </c>
      <c r="BF33" s="681">
        <v>3279.9</v>
      </c>
      <c r="BG33" s="681">
        <v>152467.1</v>
      </c>
      <c r="BH33" s="432">
        <f t="shared" si="29"/>
        <v>166595.6</v>
      </c>
      <c r="BI33" s="451" t="s">
        <v>838</v>
      </c>
      <c r="BJ33" s="439">
        <v>-2.97</v>
      </c>
      <c r="BK33" s="439">
        <v>2.2999999999999998</v>
      </c>
      <c r="BL33" s="439">
        <v>3.24</v>
      </c>
      <c r="BM33" s="439">
        <v>2.5499999999999998</v>
      </c>
      <c r="BN33" s="439">
        <v>1.24</v>
      </c>
      <c r="BO33" s="439" t="s">
        <v>505</v>
      </c>
      <c r="BP33" s="439" t="s">
        <v>505</v>
      </c>
      <c r="BQ33" s="440" t="s">
        <v>505</v>
      </c>
      <c r="BR33" s="440">
        <v>9774</v>
      </c>
      <c r="BS33" s="440">
        <v>3714</v>
      </c>
      <c r="BT33" s="439">
        <f t="shared" si="57"/>
        <v>100.92803659077556</v>
      </c>
      <c r="BU33" s="439">
        <f t="shared" si="54"/>
        <v>98.092418661755673</v>
      </c>
      <c r="BV33" s="439">
        <f t="shared" si="55"/>
        <v>99.002752199713527</v>
      </c>
      <c r="BW33" s="439">
        <f t="shared" si="56"/>
        <v>8.5266386532622036</v>
      </c>
      <c r="BX33" s="439">
        <v>5</v>
      </c>
      <c r="BY33" s="439">
        <v>4.9000000000000004</v>
      </c>
      <c r="BZ33" s="439">
        <v>9.4499999999999993</v>
      </c>
      <c r="CA33" s="439">
        <f t="shared" si="34"/>
        <v>4.5499999999999989</v>
      </c>
      <c r="CB33" s="439">
        <v>8.31</v>
      </c>
      <c r="CC33" s="439">
        <v>11.49</v>
      </c>
      <c r="CD33" s="439">
        <f t="shared" si="35"/>
        <v>3.1799999999999997</v>
      </c>
      <c r="CE33" s="394"/>
      <c r="CF33" s="394"/>
    </row>
    <row r="34" spans="1:84" s="393" customFormat="1" ht="12" customHeight="1">
      <c r="I34" s="252" t="s">
        <v>845</v>
      </c>
      <c r="J34" s="687">
        <v>137533.29999999999</v>
      </c>
      <c r="K34" s="687">
        <v>1542</v>
      </c>
      <c r="L34" s="687">
        <f t="shared" si="15"/>
        <v>139075.29999999999</v>
      </c>
      <c r="M34" s="687">
        <v>12310.7</v>
      </c>
      <c r="N34" s="687">
        <f t="shared" si="16"/>
        <v>126764.59999999999</v>
      </c>
      <c r="O34" s="687">
        <v>23083.8</v>
      </c>
      <c r="P34" s="687">
        <v>65252.800000000003</v>
      </c>
      <c r="Q34" s="687">
        <v>99301.3</v>
      </c>
      <c r="R34" s="691">
        <v>806477.3</v>
      </c>
      <c r="S34" s="691">
        <f t="shared" si="17"/>
        <v>905778.60000000009</v>
      </c>
      <c r="T34" s="691">
        <f t="shared" si="18"/>
        <v>971031.40000000014</v>
      </c>
      <c r="U34" s="687">
        <v>678.6</v>
      </c>
      <c r="V34" s="348">
        <f t="shared" si="45"/>
        <v>226744.5</v>
      </c>
      <c r="W34" s="348">
        <f t="shared" si="46"/>
        <v>1033221.8</v>
      </c>
      <c r="X34" s="691" t="s">
        <v>505</v>
      </c>
      <c r="Y34" s="691" t="s">
        <v>505</v>
      </c>
      <c r="Z34" s="252" t="s">
        <v>845</v>
      </c>
      <c r="AA34" s="348">
        <v>0</v>
      </c>
      <c r="AB34" s="687">
        <v>16260.5</v>
      </c>
      <c r="AC34" s="687">
        <v>763828.5</v>
      </c>
      <c r="AD34" s="348">
        <f t="shared" si="21"/>
        <v>780089</v>
      </c>
      <c r="AE34" s="348">
        <v>0</v>
      </c>
      <c r="AF34" s="687">
        <v>1781.6</v>
      </c>
      <c r="AG34" s="687">
        <v>28083.7</v>
      </c>
      <c r="AH34" s="348">
        <f t="shared" si="22"/>
        <v>29865.3</v>
      </c>
      <c r="AI34" s="713">
        <v>13494</v>
      </c>
      <c r="AJ34" s="713">
        <v>151132.9</v>
      </c>
      <c r="AK34" s="713">
        <v>15918.7</v>
      </c>
      <c r="AL34" s="662">
        <f t="shared" si="23"/>
        <v>167051.6</v>
      </c>
      <c r="AM34" s="348">
        <f t="shared" si="47"/>
        <v>13494</v>
      </c>
      <c r="AN34" s="348">
        <f t="shared" si="48"/>
        <v>169175</v>
      </c>
      <c r="AO34" s="348">
        <f t="shared" si="49"/>
        <v>807830.89999999991</v>
      </c>
      <c r="AP34" s="348">
        <f t="shared" si="50"/>
        <v>977005.9</v>
      </c>
      <c r="AQ34" s="252" t="s">
        <v>845</v>
      </c>
      <c r="AR34" s="687">
        <v>6336.9</v>
      </c>
      <c r="AS34" s="687">
        <v>25941.3</v>
      </c>
      <c r="AT34" s="687">
        <v>20672.3</v>
      </c>
      <c r="AU34" s="687">
        <v>21.3</v>
      </c>
      <c r="AV34" s="687">
        <f>971080.3-27.3</f>
        <v>971053</v>
      </c>
      <c r="AW34" s="687">
        <v>5839.5</v>
      </c>
      <c r="AX34" s="348">
        <f t="shared" si="25"/>
        <v>976892.5</v>
      </c>
      <c r="AY34" s="348">
        <f t="shared" si="58"/>
        <v>61904.4712</v>
      </c>
      <c r="AZ34" s="348">
        <f t="shared" si="52"/>
        <v>8618.6288000000059</v>
      </c>
      <c r="BA34" s="687">
        <v>70523.100000000006</v>
      </c>
      <c r="BB34" s="687">
        <v>2398339.9</v>
      </c>
      <c r="BC34" s="347">
        <f t="shared" si="28"/>
        <v>209598.4</v>
      </c>
      <c r="BD34" s="687">
        <v>0</v>
      </c>
      <c r="BE34" s="687">
        <v>10719.8</v>
      </c>
      <c r="BF34" s="687">
        <v>3456.7</v>
      </c>
      <c r="BG34" s="687">
        <v>149841.70000000001</v>
      </c>
      <c r="BH34" s="348">
        <f t="shared" si="29"/>
        <v>164018.20000000001</v>
      </c>
      <c r="BI34" s="252" t="s">
        <v>845</v>
      </c>
      <c r="BJ34" s="394">
        <v>-5.29</v>
      </c>
      <c r="BK34" s="394">
        <v>4.3499999999999996</v>
      </c>
      <c r="BL34" s="394">
        <v>4.72</v>
      </c>
      <c r="BM34" s="394">
        <v>3.62</v>
      </c>
      <c r="BN34" s="394">
        <v>1.69</v>
      </c>
      <c r="BO34" s="394" t="s">
        <v>505</v>
      </c>
      <c r="BP34" s="394" t="s">
        <v>505</v>
      </c>
      <c r="BQ34" s="586" t="s">
        <v>505</v>
      </c>
      <c r="BR34" s="586">
        <v>9793</v>
      </c>
      <c r="BS34" s="586">
        <v>3718</v>
      </c>
      <c r="BT34" s="394">
        <f t="shared" si="57"/>
        <v>100.61303553976973</v>
      </c>
      <c r="BU34" s="394">
        <f t="shared" si="54"/>
        <v>99.157867864801389</v>
      </c>
      <c r="BV34" s="394">
        <f t="shared" si="55"/>
        <v>99.765740835290515</v>
      </c>
      <c r="BW34" s="394">
        <f t="shared" si="56"/>
        <v>8.5303067906695098</v>
      </c>
      <c r="BX34" s="394">
        <v>5</v>
      </c>
      <c r="BY34" s="394">
        <v>4.8899999999999997</v>
      </c>
      <c r="BZ34" s="394">
        <v>9.39</v>
      </c>
      <c r="CA34" s="394">
        <f t="shared" si="34"/>
        <v>4.5000000000000009</v>
      </c>
      <c r="CB34" s="394">
        <v>8.33</v>
      </c>
      <c r="CC34" s="394">
        <v>11.35</v>
      </c>
      <c r="CD34" s="394">
        <f t="shared" si="35"/>
        <v>3.0199999999999996</v>
      </c>
      <c r="CE34" s="394"/>
      <c r="CF34" s="394"/>
    </row>
    <row r="35" spans="1:84" s="393" customFormat="1" ht="12" customHeight="1">
      <c r="I35" s="451" t="s">
        <v>846</v>
      </c>
      <c r="J35" s="681">
        <v>136701.5</v>
      </c>
      <c r="K35" s="681">
        <v>1539.2</v>
      </c>
      <c r="L35" s="681">
        <f t="shared" si="15"/>
        <v>138240.70000000001</v>
      </c>
      <c r="M35" s="681">
        <v>11357.5</v>
      </c>
      <c r="N35" s="681">
        <f t="shared" si="16"/>
        <v>126883.20000000001</v>
      </c>
      <c r="O35" s="681">
        <v>24155.7</v>
      </c>
      <c r="P35" s="681">
        <v>65117.7</v>
      </c>
      <c r="Q35" s="681">
        <v>99526.6</v>
      </c>
      <c r="R35" s="658">
        <v>813273.3</v>
      </c>
      <c r="S35" s="658">
        <f t="shared" si="17"/>
        <v>912799.9</v>
      </c>
      <c r="T35" s="658">
        <f t="shared" si="18"/>
        <v>977917.6</v>
      </c>
      <c r="U35" s="681">
        <v>682.1</v>
      </c>
      <c r="V35" s="432">
        <f t="shared" si="45"/>
        <v>227091.90000000002</v>
      </c>
      <c r="W35" s="432">
        <f t="shared" si="46"/>
        <v>1040365.2000000001</v>
      </c>
      <c r="X35" s="658" t="s">
        <v>505</v>
      </c>
      <c r="Y35" s="658" t="s">
        <v>505</v>
      </c>
      <c r="Z35" s="451" t="s">
        <v>846</v>
      </c>
      <c r="AA35" s="432">
        <v>0</v>
      </c>
      <c r="AB35" s="681">
        <v>16620.7</v>
      </c>
      <c r="AC35" s="681">
        <v>777632.2</v>
      </c>
      <c r="AD35" s="432">
        <f t="shared" si="21"/>
        <v>794252.89999999991</v>
      </c>
      <c r="AE35" s="432">
        <v>0</v>
      </c>
      <c r="AF35" s="681">
        <v>1696.9</v>
      </c>
      <c r="AG35" s="681">
        <v>28742.6</v>
      </c>
      <c r="AH35" s="432">
        <f t="shared" si="22"/>
        <v>30439.5</v>
      </c>
      <c r="AI35" s="685">
        <v>12814.8</v>
      </c>
      <c r="AJ35" s="685">
        <v>151117.6</v>
      </c>
      <c r="AK35" s="685">
        <v>15683.2</v>
      </c>
      <c r="AL35" s="686">
        <f t="shared" si="23"/>
        <v>166800.80000000002</v>
      </c>
      <c r="AM35" s="432">
        <f t="shared" si="47"/>
        <v>12814.8</v>
      </c>
      <c r="AN35" s="432">
        <f t="shared" si="48"/>
        <v>169435.2</v>
      </c>
      <c r="AO35" s="432">
        <f t="shared" si="49"/>
        <v>822057.99999999988</v>
      </c>
      <c r="AP35" s="432">
        <f t="shared" si="50"/>
        <v>991493.2</v>
      </c>
      <c r="AQ35" s="451" t="s">
        <v>846</v>
      </c>
      <c r="AR35" s="681">
        <v>6722.8</v>
      </c>
      <c r="AS35" s="681">
        <v>26851.7</v>
      </c>
      <c r="AT35" s="681">
        <v>18797.599999999999</v>
      </c>
      <c r="AU35" s="681">
        <v>75.400000000000006</v>
      </c>
      <c r="AV35" s="681">
        <f>977966.3-31.97</f>
        <v>977934.33000000007</v>
      </c>
      <c r="AW35" s="681">
        <v>6738.9</v>
      </c>
      <c r="AX35" s="432">
        <f t="shared" si="25"/>
        <v>984673.2300000001</v>
      </c>
      <c r="AY35" s="432">
        <f t="shared" si="58"/>
        <v>62726.95</v>
      </c>
      <c r="AZ35" s="432">
        <f t="shared" ref="AZ35:AZ36" si="59">BA35-AY35</f>
        <v>7369.5500000000029</v>
      </c>
      <c r="BA35" s="681">
        <v>70096.5</v>
      </c>
      <c r="BB35" s="681">
        <v>2529328</v>
      </c>
      <c r="BC35" s="431">
        <f t="shared" si="28"/>
        <v>208337.2</v>
      </c>
      <c r="BD35" s="681">
        <v>734.4</v>
      </c>
      <c r="BE35" s="681">
        <v>10726</v>
      </c>
      <c r="BF35" s="681">
        <v>3629.4</v>
      </c>
      <c r="BG35" s="681">
        <v>149821.70000000001</v>
      </c>
      <c r="BH35" s="432">
        <f t="shared" si="29"/>
        <v>164911.5</v>
      </c>
      <c r="BI35" s="451" t="s">
        <v>846</v>
      </c>
      <c r="BJ35" s="439">
        <v>-4.8600000000000003</v>
      </c>
      <c r="BK35" s="439">
        <v>4.9800000000000004</v>
      </c>
      <c r="BL35" s="439">
        <v>6.56</v>
      </c>
      <c r="BM35" s="439">
        <v>5.28</v>
      </c>
      <c r="BN35" s="439">
        <v>2.39</v>
      </c>
      <c r="BO35" s="439" t="s">
        <v>505</v>
      </c>
      <c r="BP35" s="439" t="s">
        <v>505</v>
      </c>
      <c r="BQ35" s="440" t="s">
        <v>505</v>
      </c>
      <c r="BR35" s="440">
        <v>9843</v>
      </c>
      <c r="BS35" s="440">
        <v>3718</v>
      </c>
      <c r="BT35" s="439">
        <f t="shared" si="57"/>
        <v>101.38648062390854</v>
      </c>
      <c r="BU35" s="439">
        <f t="shared" si="54"/>
        <v>99.35327948796099</v>
      </c>
      <c r="BV35" s="439">
        <f t="shared" si="55"/>
        <v>100.73079345727928</v>
      </c>
      <c r="BW35" s="439">
        <f t="shared" si="56"/>
        <v>8.329189138906699</v>
      </c>
      <c r="BX35" s="439">
        <v>5</v>
      </c>
      <c r="BY35" s="439">
        <v>4.9000000000000004</v>
      </c>
      <c r="BZ35" s="439">
        <v>9.3000000000000007</v>
      </c>
      <c r="CA35" s="439">
        <f t="shared" si="34"/>
        <v>4.4000000000000004</v>
      </c>
      <c r="CB35" s="439">
        <v>8.39</v>
      </c>
      <c r="CC35" s="439">
        <v>11.34</v>
      </c>
      <c r="CD35" s="439">
        <f t="shared" si="35"/>
        <v>2.9499999999999993</v>
      </c>
      <c r="CE35" s="394"/>
      <c r="CF35" s="394"/>
    </row>
    <row r="36" spans="1:84" s="393" customFormat="1" ht="12" customHeight="1">
      <c r="I36" s="252" t="s">
        <v>839</v>
      </c>
      <c r="J36" s="687">
        <v>139150.9</v>
      </c>
      <c r="K36" s="687">
        <v>1535.6</v>
      </c>
      <c r="L36" s="687">
        <f t="shared" si="15"/>
        <v>140686.5</v>
      </c>
      <c r="M36" s="687">
        <v>11537.3</v>
      </c>
      <c r="N36" s="687">
        <f t="shared" si="16"/>
        <v>129149.2</v>
      </c>
      <c r="O36" s="687">
        <v>26128.6</v>
      </c>
      <c r="P36" s="687">
        <v>65966.7</v>
      </c>
      <c r="Q36" s="687">
        <v>103970.1</v>
      </c>
      <c r="R36" s="691">
        <v>822209.2</v>
      </c>
      <c r="S36" s="691">
        <f t="shared" si="17"/>
        <v>926179.29999999993</v>
      </c>
      <c r="T36" s="687">
        <f t="shared" si="18"/>
        <v>992145.99999999988</v>
      </c>
      <c r="U36" s="687">
        <v>670.4</v>
      </c>
      <c r="V36" s="348">
        <f t="shared" si="45"/>
        <v>233789.69999999998</v>
      </c>
      <c r="W36" s="348">
        <f t="shared" si="46"/>
        <v>1055998.8999999999</v>
      </c>
      <c r="X36" s="691" t="s">
        <v>505</v>
      </c>
      <c r="Y36" s="691" t="s">
        <v>505</v>
      </c>
      <c r="Z36" s="252" t="s">
        <v>839</v>
      </c>
      <c r="AA36" s="348">
        <v>0</v>
      </c>
      <c r="AB36" s="687">
        <v>17760.8</v>
      </c>
      <c r="AC36" s="687">
        <v>794854.7</v>
      </c>
      <c r="AD36" s="348">
        <f t="shared" si="21"/>
        <v>812615.5</v>
      </c>
      <c r="AE36" s="348">
        <v>0</v>
      </c>
      <c r="AF36" s="687">
        <v>1520.4</v>
      </c>
      <c r="AG36" s="687">
        <v>30299.7</v>
      </c>
      <c r="AH36" s="348">
        <f t="shared" si="22"/>
        <v>31820.100000000002</v>
      </c>
      <c r="AI36" s="713">
        <v>15313.6</v>
      </c>
      <c r="AJ36" s="713">
        <v>147858.5</v>
      </c>
      <c r="AK36" s="713">
        <v>15946.6</v>
      </c>
      <c r="AL36" s="662">
        <f t="shared" si="23"/>
        <v>163805.1</v>
      </c>
      <c r="AM36" s="348">
        <f t="shared" si="47"/>
        <v>15313.6</v>
      </c>
      <c r="AN36" s="348">
        <f t="shared" si="48"/>
        <v>167139.70000000001</v>
      </c>
      <c r="AO36" s="348">
        <f t="shared" si="49"/>
        <v>841100.99999999988</v>
      </c>
      <c r="AP36" s="348">
        <f t="shared" si="50"/>
        <v>1008240.7</v>
      </c>
      <c r="AQ36" s="252" t="s">
        <v>839</v>
      </c>
      <c r="AR36" s="687">
        <v>8716.2000000000007</v>
      </c>
      <c r="AS36" s="687">
        <v>27608.6</v>
      </c>
      <c r="AT36" s="687">
        <v>22145.9</v>
      </c>
      <c r="AU36" s="687">
        <v>60.9</v>
      </c>
      <c r="AV36" s="687">
        <f>992193.8-34.82</f>
        <v>992158.9800000001</v>
      </c>
      <c r="AW36" s="687">
        <v>6981.5</v>
      </c>
      <c r="AX36" s="348">
        <f t="shared" si="25"/>
        <v>999140.4800000001</v>
      </c>
      <c r="AY36" s="348">
        <f>0.065*AX34</f>
        <v>63498.012500000004</v>
      </c>
      <c r="AZ36" s="348">
        <f t="shared" si="59"/>
        <v>12128.88749999999</v>
      </c>
      <c r="BA36" s="687">
        <v>75626.899999999994</v>
      </c>
      <c r="BB36" s="687">
        <v>2426236.2999999998</v>
      </c>
      <c r="BC36" s="347">
        <f t="shared" si="28"/>
        <v>216313.4</v>
      </c>
      <c r="BD36" s="687">
        <v>0</v>
      </c>
      <c r="BE36" s="687">
        <v>11325.9</v>
      </c>
      <c r="BF36" s="687">
        <v>4096.7</v>
      </c>
      <c r="BG36" s="687">
        <v>146577.5</v>
      </c>
      <c r="BH36" s="348">
        <f t="shared" si="29"/>
        <v>162000.1</v>
      </c>
      <c r="BI36" s="252" t="s">
        <v>839</v>
      </c>
      <c r="BJ36" s="394">
        <v>-10.33</v>
      </c>
      <c r="BK36" s="394">
        <v>7.79</v>
      </c>
      <c r="BL36" s="394">
        <v>9.02</v>
      </c>
      <c r="BM36" s="394">
        <v>6.88</v>
      </c>
      <c r="BN36" s="394">
        <v>3.93</v>
      </c>
      <c r="BO36" s="394" t="s">
        <v>505</v>
      </c>
      <c r="BP36" s="394" t="s">
        <v>505</v>
      </c>
      <c r="BQ36" s="586" t="s">
        <v>505</v>
      </c>
      <c r="BR36" s="586">
        <v>9955</v>
      </c>
      <c r="BS36" s="586">
        <v>3721</v>
      </c>
      <c r="BT36" s="394">
        <f t="shared" si="57"/>
        <v>101.62088136318637</v>
      </c>
      <c r="BU36" s="394">
        <f t="shared" si="54"/>
        <v>99.664387744851837</v>
      </c>
      <c r="BV36" s="394">
        <f t="shared" si="55"/>
        <v>101.27982923154194</v>
      </c>
      <c r="BW36" s="394">
        <f t="shared" si="56"/>
        <v>8.7853057581558129</v>
      </c>
      <c r="BX36" s="394">
        <v>5</v>
      </c>
      <c r="BY36" s="394">
        <v>4.91</v>
      </c>
      <c r="BZ36" s="394">
        <v>9.35</v>
      </c>
      <c r="CA36" s="394">
        <f t="shared" si="34"/>
        <v>4.4399999999999995</v>
      </c>
      <c r="CB36" s="394">
        <v>8.48</v>
      </c>
      <c r="CC36" s="394">
        <v>11.41</v>
      </c>
      <c r="CD36" s="394">
        <f t="shared" si="35"/>
        <v>2.9299999999999997</v>
      </c>
      <c r="CE36" s="394"/>
      <c r="CF36" s="394"/>
    </row>
    <row r="37" spans="1:84" s="393" customFormat="1" ht="12" customHeight="1">
      <c r="I37" s="451" t="s">
        <v>847</v>
      </c>
      <c r="J37" s="681">
        <v>138759.29999999999</v>
      </c>
      <c r="K37" s="681">
        <v>1532.1</v>
      </c>
      <c r="L37" s="681">
        <f t="shared" si="15"/>
        <v>140291.4</v>
      </c>
      <c r="M37" s="681">
        <v>12043.1</v>
      </c>
      <c r="N37" s="681">
        <f t="shared" si="16"/>
        <v>128248.29999999999</v>
      </c>
      <c r="O37" s="681">
        <v>23567.4</v>
      </c>
      <c r="P37" s="681">
        <v>67912.899999999994</v>
      </c>
      <c r="Q37" s="681">
        <v>97526.3</v>
      </c>
      <c r="R37" s="658">
        <v>821620.1</v>
      </c>
      <c r="S37" s="658">
        <f t="shared" si="17"/>
        <v>919146.4</v>
      </c>
      <c r="T37" s="658">
        <f t="shared" si="18"/>
        <v>987059.3</v>
      </c>
      <c r="U37" s="681">
        <v>667.5</v>
      </c>
      <c r="V37" s="432">
        <f t="shared" si="45"/>
        <v>226442.09999999998</v>
      </c>
      <c r="W37" s="432">
        <f t="shared" si="46"/>
        <v>1048062.2</v>
      </c>
      <c r="X37" s="658" t="s">
        <v>505</v>
      </c>
      <c r="Y37" s="658" t="s">
        <v>505</v>
      </c>
      <c r="Z37" s="451" t="s">
        <v>847</v>
      </c>
      <c r="AA37" s="432">
        <v>0</v>
      </c>
      <c r="AB37" s="681">
        <v>17924.2</v>
      </c>
      <c r="AC37" s="681">
        <v>802763.2</v>
      </c>
      <c r="AD37" s="432">
        <f t="shared" si="21"/>
        <v>820687.39999999991</v>
      </c>
      <c r="AE37" s="432">
        <v>0</v>
      </c>
      <c r="AF37" s="681">
        <v>1525.6</v>
      </c>
      <c r="AG37" s="681">
        <v>27429.200000000001</v>
      </c>
      <c r="AH37" s="432">
        <f t="shared" si="22"/>
        <v>28954.799999999999</v>
      </c>
      <c r="AI37" s="685">
        <v>15452.5</v>
      </c>
      <c r="AJ37" s="685">
        <v>145287</v>
      </c>
      <c r="AK37" s="685">
        <v>16229.3</v>
      </c>
      <c r="AL37" s="686">
        <f t="shared" si="23"/>
        <v>161516.29999999999</v>
      </c>
      <c r="AM37" s="432">
        <f t="shared" si="47"/>
        <v>15452.5</v>
      </c>
      <c r="AN37" s="432">
        <f t="shared" si="48"/>
        <v>164736.79999999999</v>
      </c>
      <c r="AO37" s="432">
        <f t="shared" si="49"/>
        <v>846421.7</v>
      </c>
      <c r="AP37" s="432">
        <f t="shared" si="50"/>
        <v>1011158.5</v>
      </c>
      <c r="AQ37" s="451" t="s">
        <v>847</v>
      </c>
      <c r="AR37" s="681">
        <v>8903.6</v>
      </c>
      <c r="AS37" s="681">
        <v>28764.3</v>
      </c>
      <c r="AT37" s="681">
        <v>21985.200000000001</v>
      </c>
      <c r="AU37" s="681">
        <v>96.6</v>
      </c>
      <c r="AV37" s="681">
        <f>987106.7-34.56</f>
        <v>987072.1399999999</v>
      </c>
      <c r="AW37" s="681">
        <v>7736</v>
      </c>
      <c r="AX37" s="432">
        <f t="shared" si="25"/>
        <v>994808.1399999999</v>
      </c>
      <c r="AY37" s="432">
        <f t="shared" si="58"/>
        <v>64003.759950000007</v>
      </c>
      <c r="AZ37" s="432">
        <f t="shared" ref="AZ37" si="60">BA37-AY37</f>
        <v>5357.9400499999902</v>
      </c>
      <c r="BA37" s="681">
        <v>69361.7</v>
      </c>
      <c r="BB37" s="681">
        <v>2447027.7000000002</v>
      </c>
      <c r="BC37" s="431">
        <f t="shared" si="28"/>
        <v>209653.09999999998</v>
      </c>
      <c r="BD37" s="681">
        <v>0</v>
      </c>
      <c r="BE37" s="681">
        <v>11144.5</v>
      </c>
      <c r="BF37" s="681">
        <v>4551.3999999999996</v>
      </c>
      <c r="BG37" s="681">
        <v>143998.6</v>
      </c>
      <c r="BH37" s="432">
        <f t="shared" si="29"/>
        <v>159694.5</v>
      </c>
      <c r="BI37" s="451" t="s">
        <v>847</v>
      </c>
      <c r="BJ37" s="439">
        <v>-16.75</v>
      </c>
      <c r="BK37" s="439">
        <v>6.45</v>
      </c>
      <c r="BL37" s="439">
        <v>9.7100000000000009</v>
      </c>
      <c r="BM37" s="439">
        <v>6.76</v>
      </c>
      <c r="BN37" s="439">
        <v>3.15</v>
      </c>
      <c r="BO37" s="439" t="s">
        <v>505</v>
      </c>
      <c r="BP37" s="439" t="s">
        <v>505</v>
      </c>
      <c r="BQ37" s="440" t="s">
        <v>505</v>
      </c>
      <c r="BR37" s="440">
        <v>9957</v>
      </c>
      <c r="BS37" s="440">
        <v>3721</v>
      </c>
      <c r="BT37" s="439">
        <f t="shared" si="57"/>
        <v>102.44018233560924</v>
      </c>
      <c r="BU37" s="439">
        <f t="shared" si="54"/>
        <v>99.133487998393079</v>
      </c>
      <c r="BV37" s="439">
        <f t="shared" si="55"/>
        <v>101.55252586120318</v>
      </c>
      <c r="BW37" s="439">
        <f t="shared" si="56"/>
        <v>8.2470973195535642</v>
      </c>
      <c r="BX37" s="439">
        <v>5</v>
      </c>
      <c r="BY37" s="439">
        <v>5.01</v>
      </c>
      <c r="BZ37" s="439">
        <v>9.42</v>
      </c>
      <c r="CA37" s="439">
        <f t="shared" si="34"/>
        <v>4.41</v>
      </c>
      <c r="CB37" s="439">
        <v>8.6300000000000008</v>
      </c>
      <c r="CC37" s="439">
        <v>11.42</v>
      </c>
      <c r="CD37" s="439">
        <f t="shared" si="35"/>
        <v>2.7899999999999991</v>
      </c>
      <c r="CE37" s="394"/>
      <c r="CF37" s="394"/>
    </row>
    <row r="38" spans="1:84" s="393" customFormat="1" ht="12" customHeight="1">
      <c r="I38" s="252" t="s">
        <v>848</v>
      </c>
      <c r="J38" s="687">
        <v>139592.29999999999</v>
      </c>
      <c r="K38" s="687">
        <v>1529.1</v>
      </c>
      <c r="L38" s="687">
        <f t="shared" si="15"/>
        <v>141121.4</v>
      </c>
      <c r="M38" s="687">
        <v>12783.3</v>
      </c>
      <c r="N38" s="687">
        <f t="shared" si="16"/>
        <v>128338.09999999999</v>
      </c>
      <c r="O38" s="687">
        <v>24393</v>
      </c>
      <c r="P38" s="687">
        <v>70810.899999999994</v>
      </c>
      <c r="Q38" s="687">
        <v>97459.3</v>
      </c>
      <c r="R38" s="687">
        <v>825001</v>
      </c>
      <c r="S38" s="691">
        <f t="shared" si="17"/>
        <v>922460.3</v>
      </c>
      <c r="T38" s="691">
        <f t="shared" si="18"/>
        <v>993271.20000000007</v>
      </c>
      <c r="U38" s="687">
        <v>748.4</v>
      </c>
      <c r="V38" s="348">
        <f t="shared" si="45"/>
        <v>226545.8</v>
      </c>
      <c r="W38" s="348">
        <f t="shared" si="46"/>
        <v>1051546.8</v>
      </c>
      <c r="X38" s="691" t="s">
        <v>505</v>
      </c>
      <c r="Y38" s="691" t="s">
        <v>505</v>
      </c>
      <c r="Z38" s="252" t="s">
        <v>848</v>
      </c>
      <c r="AA38" s="348">
        <v>0</v>
      </c>
      <c r="AB38" s="687">
        <v>17822.099999999999</v>
      </c>
      <c r="AC38" s="687">
        <v>813773</v>
      </c>
      <c r="AD38" s="348">
        <f t="shared" si="21"/>
        <v>831595.1</v>
      </c>
      <c r="AE38" s="348">
        <v>0</v>
      </c>
      <c r="AF38" s="687">
        <v>1567.5</v>
      </c>
      <c r="AG38" s="687">
        <v>27405.8</v>
      </c>
      <c r="AH38" s="348">
        <f t="shared" si="22"/>
        <v>28973.3</v>
      </c>
      <c r="AI38" s="713">
        <v>16481.400000000001</v>
      </c>
      <c r="AJ38" s="713">
        <v>143930.9</v>
      </c>
      <c r="AK38" s="713">
        <v>16125.3</v>
      </c>
      <c r="AL38" s="662">
        <f t="shared" si="23"/>
        <v>160056.19999999998</v>
      </c>
      <c r="AM38" s="348">
        <f t="shared" si="47"/>
        <v>16481.400000000001</v>
      </c>
      <c r="AN38" s="348">
        <f t="shared" si="48"/>
        <v>163320.5</v>
      </c>
      <c r="AO38" s="348">
        <f t="shared" si="49"/>
        <v>857304.10000000009</v>
      </c>
      <c r="AP38" s="348">
        <f t="shared" si="50"/>
        <v>1020624.6</v>
      </c>
      <c r="AQ38" s="252" t="s">
        <v>848</v>
      </c>
      <c r="AR38" s="687">
        <v>10103.299999999999</v>
      </c>
      <c r="AS38" s="687">
        <v>30304.799999999999</v>
      </c>
      <c r="AT38" s="687">
        <v>24901.1</v>
      </c>
      <c r="AU38" s="687">
        <v>360.7</v>
      </c>
      <c r="AV38" s="687">
        <f>993318.6-32.65</f>
        <v>993285.95</v>
      </c>
      <c r="AW38" s="687">
        <v>7907.9</v>
      </c>
      <c r="AX38" s="348">
        <f t="shared" si="25"/>
        <v>1001193.85</v>
      </c>
      <c r="AY38" s="348">
        <f>0.065*AX36</f>
        <v>64944.131200000011</v>
      </c>
      <c r="AZ38" s="348">
        <f t="shared" ref="AZ38" si="61">BA38-AY38</f>
        <v>3735.4687999999951</v>
      </c>
      <c r="BA38" s="687">
        <v>68679.600000000006</v>
      </c>
      <c r="BB38" s="687">
        <v>2489061.7000000002</v>
      </c>
      <c r="BC38" s="347">
        <f t="shared" si="28"/>
        <v>209801</v>
      </c>
      <c r="BD38" s="687">
        <v>0</v>
      </c>
      <c r="BE38" s="687">
        <v>9663</v>
      </c>
      <c r="BF38" s="687">
        <v>4478.3999999999996</v>
      </c>
      <c r="BG38" s="687">
        <v>142494.39999999999</v>
      </c>
      <c r="BH38" s="348">
        <f t="shared" si="29"/>
        <v>156635.79999999999</v>
      </c>
      <c r="BI38" s="252" t="s">
        <v>848</v>
      </c>
      <c r="BJ38" s="394">
        <v>-22.87</v>
      </c>
      <c r="BK38" s="394">
        <v>7.4</v>
      </c>
      <c r="BL38" s="394">
        <v>11.1</v>
      </c>
      <c r="BM38" s="394">
        <v>7.32</v>
      </c>
      <c r="BN38" s="394">
        <v>3.49</v>
      </c>
      <c r="BO38" s="394" t="s">
        <v>505</v>
      </c>
      <c r="BP38" s="394" t="s">
        <v>505</v>
      </c>
      <c r="BQ38" s="586" t="s">
        <v>505</v>
      </c>
      <c r="BR38" s="586">
        <v>9957</v>
      </c>
      <c r="BS38" s="586">
        <v>3721</v>
      </c>
      <c r="BT38" s="394">
        <f t="shared" si="57"/>
        <v>102.75234437776956</v>
      </c>
      <c r="BU38" s="394">
        <f t="shared" si="54"/>
        <v>99.757552475645269</v>
      </c>
      <c r="BV38" s="394">
        <f t="shared" si="55"/>
        <v>102.50322386260922</v>
      </c>
      <c r="BW38" s="394">
        <f t="shared" si="56"/>
        <v>8.2013543028570979</v>
      </c>
      <c r="BX38" s="394">
        <v>5</v>
      </c>
      <c r="BY38" s="394">
        <v>5.18</v>
      </c>
      <c r="BZ38" s="394">
        <v>9.5500000000000007</v>
      </c>
      <c r="CA38" s="394">
        <f t="shared" si="34"/>
        <v>4.370000000000001</v>
      </c>
      <c r="CB38" s="394">
        <v>8.9600000000000009</v>
      </c>
      <c r="CC38" s="394">
        <v>11.71</v>
      </c>
      <c r="CD38" s="394">
        <f t="shared" si="35"/>
        <v>2.75</v>
      </c>
      <c r="CE38" s="394"/>
      <c r="CF38" s="394"/>
    </row>
    <row r="39" spans="1:84" s="393" customFormat="1" ht="12" customHeight="1">
      <c r="I39" s="451" t="s">
        <v>840</v>
      </c>
      <c r="J39" s="681">
        <v>138648.5</v>
      </c>
      <c r="K39" s="681">
        <v>1527.4</v>
      </c>
      <c r="L39" s="681">
        <f t="shared" si="15"/>
        <v>140175.9</v>
      </c>
      <c r="M39" s="681">
        <v>12042.8</v>
      </c>
      <c r="N39" s="681">
        <f t="shared" si="16"/>
        <v>128133.09999999999</v>
      </c>
      <c r="O39" s="681">
        <v>27221.200000000001</v>
      </c>
      <c r="P39" s="681">
        <v>71009.8</v>
      </c>
      <c r="Q39" s="681">
        <v>96438.6</v>
      </c>
      <c r="R39" s="681">
        <v>828841.1</v>
      </c>
      <c r="S39" s="681">
        <f t="shared" si="17"/>
        <v>925279.7</v>
      </c>
      <c r="T39" s="681">
        <f t="shared" si="18"/>
        <v>996289.5</v>
      </c>
      <c r="U39" s="681">
        <v>700.4</v>
      </c>
      <c r="V39" s="432">
        <f t="shared" si="45"/>
        <v>225272.1</v>
      </c>
      <c r="W39" s="432">
        <f t="shared" si="46"/>
        <v>1054113.2</v>
      </c>
      <c r="X39" s="658" t="s">
        <v>505</v>
      </c>
      <c r="Y39" s="658" t="s">
        <v>505</v>
      </c>
      <c r="Z39" s="451" t="s">
        <v>840</v>
      </c>
      <c r="AA39" s="432">
        <v>0</v>
      </c>
      <c r="AB39" s="681">
        <v>17667.099999999999</v>
      </c>
      <c r="AC39" s="681">
        <v>822873.5</v>
      </c>
      <c r="AD39" s="432">
        <f t="shared" si="21"/>
        <v>840540.6</v>
      </c>
      <c r="AE39" s="432">
        <v>0</v>
      </c>
      <c r="AF39" s="681">
        <v>1578.7</v>
      </c>
      <c r="AG39" s="681">
        <v>27443</v>
      </c>
      <c r="AH39" s="432">
        <f t="shared" si="22"/>
        <v>29021.7</v>
      </c>
      <c r="AI39" s="685">
        <v>16159.1</v>
      </c>
      <c r="AJ39" s="685">
        <v>140726.5</v>
      </c>
      <c r="AK39" s="685">
        <v>16156.1</v>
      </c>
      <c r="AL39" s="686">
        <f t="shared" si="23"/>
        <v>156882.6</v>
      </c>
      <c r="AM39" s="432">
        <f t="shared" si="47"/>
        <v>16159.1</v>
      </c>
      <c r="AN39" s="432">
        <f t="shared" si="48"/>
        <v>159972.29999999999</v>
      </c>
      <c r="AO39" s="432">
        <f t="shared" si="49"/>
        <v>866472.6</v>
      </c>
      <c r="AP39" s="432">
        <f t="shared" si="50"/>
        <v>1026444.8999999999</v>
      </c>
      <c r="AQ39" s="451" t="s">
        <v>840</v>
      </c>
      <c r="AR39" s="681">
        <v>10412.1</v>
      </c>
      <c r="AS39" s="681">
        <v>30791.5</v>
      </c>
      <c r="AT39" s="681">
        <v>24820.6</v>
      </c>
      <c r="AU39" s="681">
        <v>316</v>
      </c>
      <c r="AV39" s="681">
        <f>996337-30.44</f>
        <v>996306.56</v>
      </c>
      <c r="AW39" s="681">
        <v>7147.4</v>
      </c>
      <c r="AX39" s="432">
        <f t="shared" si="25"/>
        <v>1003453.9600000001</v>
      </c>
      <c r="AY39" s="432">
        <f t="shared" ref="AY39" si="62">0.065*AX37</f>
        <v>64662.529099999992</v>
      </c>
      <c r="AZ39" s="432">
        <f t="shared" ref="AZ39" si="63">BA39-AY39</f>
        <v>6711.5709000000134</v>
      </c>
      <c r="BA39" s="681">
        <v>71374.100000000006</v>
      </c>
      <c r="BB39" s="681">
        <v>2529314</v>
      </c>
      <c r="BC39" s="431">
        <f t="shared" si="28"/>
        <v>211550</v>
      </c>
      <c r="BD39" s="681">
        <v>0</v>
      </c>
      <c r="BE39" s="681">
        <v>9825.9</v>
      </c>
      <c r="BF39" s="681">
        <v>4694</v>
      </c>
      <c r="BG39" s="681">
        <v>139293.79999999999</v>
      </c>
      <c r="BH39" s="432">
        <f t="shared" si="29"/>
        <v>153813.69999999998</v>
      </c>
      <c r="BI39" s="451" t="s">
        <v>840</v>
      </c>
      <c r="BJ39" s="439">
        <v>-23.38</v>
      </c>
      <c r="BK39" s="439">
        <v>5.31</v>
      </c>
      <c r="BL39" s="439">
        <v>12.29</v>
      </c>
      <c r="BM39" s="439">
        <v>8.26</v>
      </c>
      <c r="BN39" s="439">
        <v>3.74</v>
      </c>
      <c r="BO39" s="439" t="s">
        <v>505</v>
      </c>
      <c r="BP39" s="439" t="s">
        <v>505</v>
      </c>
      <c r="BQ39" s="440" t="s">
        <v>505</v>
      </c>
      <c r="BR39" s="440">
        <v>9973</v>
      </c>
      <c r="BS39" s="440">
        <v>3721</v>
      </c>
      <c r="BT39" s="439">
        <f t="shared" si="57"/>
        <v>103.02500668067465</v>
      </c>
      <c r="BU39" s="439">
        <f t="shared" si="54"/>
        <v>99.90038704502156</v>
      </c>
      <c r="BV39" s="439">
        <f t="shared" si="55"/>
        <v>102.9223804271533</v>
      </c>
      <c r="BW39" s="439">
        <f t="shared" si="56"/>
        <v>8.3726137465159312</v>
      </c>
      <c r="BX39" s="439">
        <v>5</v>
      </c>
      <c r="BY39" s="439">
        <v>5.3</v>
      </c>
      <c r="BZ39" s="439">
        <v>9.6999999999999993</v>
      </c>
      <c r="CA39" s="439">
        <f t="shared" si="34"/>
        <v>4.3999999999999995</v>
      </c>
      <c r="CB39" s="439">
        <v>9.35</v>
      </c>
      <c r="CC39" s="439">
        <v>11.98</v>
      </c>
      <c r="CD39" s="439">
        <f t="shared" si="35"/>
        <v>2.6300000000000008</v>
      </c>
      <c r="CE39" s="394"/>
      <c r="CF39" s="394"/>
    </row>
    <row r="40" spans="1:84" s="393" customFormat="1" ht="12" customHeight="1">
      <c r="I40" s="252" t="s">
        <v>849</v>
      </c>
      <c r="J40" s="687">
        <v>139370.29999999999</v>
      </c>
      <c r="K40" s="687">
        <v>1526.7</v>
      </c>
      <c r="L40" s="687">
        <f t="shared" si="15"/>
        <v>140897</v>
      </c>
      <c r="M40" s="687">
        <v>12550.3</v>
      </c>
      <c r="N40" s="687">
        <f t="shared" si="16"/>
        <v>128346.7</v>
      </c>
      <c r="O40" s="687">
        <v>29297.1</v>
      </c>
      <c r="P40" s="687">
        <v>74073.8</v>
      </c>
      <c r="Q40" s="687">
        <v>97967.9</v>
      </c>
      <c r="R40" s="687">
        <v>832313.3</v>
      </c>
      <c r="S40" s="687">
        <f t="shared" ref="S40:S41" si="64">Q40+R40</f>
        <v>930281.20000000007</v>
      </c>
      <c r="T40" s="687">
        <f>P40+S40</f>
        <v>1004355.0000000001</v>
      </c>
      <c r="U40" s="687">
        <v>840.3</v>
      </c>
      <c r="V40" s="348">
        <f t="shared" si="45"/>
        <v>227154.89999999997</v>
      </c>
      <c r="W40" s="348">
        <f t="shared" si="46"/>
        <v>1059468.2</v>
      </c>
      <c r="X40" s="691" t="s">
        <v>505</v>
      </c>
      <c r="Y40" s="691" t="s">
        <v>505</v>
      </c>
      <c r="Z40" s="252" t="s">
        <v>849</v>
      </c>
      <c r="AA40" s="348">
        <v>0</v>
      </c>
      <c r="AB40" s="687">
        <v>17793</v>
      </c>
      <c r="AC40" s="687">
        <v>832872.4</v>
      </c>
      <c r="AD40" s="348">
        <f t="shared" si="21"/>
        <v>850665.4</v>
      </c>
      <c r="AE40" s="348">
        <v>0</v>
      </c>
      <c r="AF40" s="687">
        <v>1642.8</v>
      </c>
      <c r="AG40" s="687">
        <v>27439.599999999999</v>
      </c>
      <c r="AH40" s="348">
        <f t="shared" si="22"/>
        <v>29082.399999999998</v>
      </c>
      <c r="AI40" s="713">
        <v>15317.6</v>
      </c>
      <c r="AJ40" s="713">
        <v>140309.4</v>
      </c>
      <c r="AK40" s="713">
        <v>16161.2</v>
      </c>
      <c r="AL40" s="662">
        <f t="shared" si="23"/>
        <v>156470.6</v>
      </c>
      <c r="AM40" s="348">
        <f t="shared" si="47"/>
        <v>15317.6</v>
      </c>
      <c r="AN40" s="348">
        <f t="shared" si="48"/>
        <v>159745.19999999998</v>
      </c>
      <c r="AO40" s="348">
        <f t="shared" si="49"/>
        <v>876473.2</v>
      </c>
      <c r="AP40" s="348">
        <f t="shared" si="50"/>
        <v>1036218.4</v>
      </c>
      <c r="AQ40" s="252" t="s">
        <v>849</v>
      </c>
      <c r="AR40" s="687">
        <v>9351.4</v>
      </c>
      <c r="AS40" s="687">
        <v>30918.400000000001</v>
      </c>
      <c r="AT40" s="687">
        <v>21324.400000000001</v>
      </c>
      <c r="AU40" s="687">
        <v>49</v>
      </c>
      <c r="AV40" s="687">
        <f>1004402.5-28.03</f>
        <v>1004374.47</v>
      </c>
      <c r="AW40" s="687">
        <v>8735.5</v>
      </c>
      <c r="AX40" s="348">
        <f>AV40+AW40</f>
        <v>1013109.97</v>
      </c>
      <c r="AY40" s="348">
        <f>0.055*AX38</f>
        <v>55065.661749999999</v>
      </c>
      <c r="AZ40" s="348">
        <f t="shared" ref="AZ40:AZ47" si="65">BA40-AY40</f>
        <v>15578.038249999998</v>
      </c>
      <c r="BA40" s="687">
        <v>70643.7</v>
      </c>
      <c r="BB40" s="687">
        <v>2562406.7000000002</v>
      </c>
      <c r="BC40" s="347">
        <f t="shared" si="28"/>
        <v>211540.7</v>
      </c>
      <c r="BD40" s="687">
        <v>808.7</v>
      </c>
      <c r="BE40" s="687">
        <v>9828.4</v>
      </c>
      <c r="BF40" s="687">
        <v>3875</v>
      </c>
      <c r="BG40" s="687">
        <v>138877.79999999999</v>
      </c>
      <c r="BH40" s="348">
        <f t="shared" si="29"/>
        <v>153389.9</v>
      </c>
      <c r="BI40" s="252" t="s">
        <v>849</v>
      </c>
      <c r="BJ40" s="394">
        <v>-26.41</v>
      </c>
      <c r="BK40" s="394">
        <v>11.89</v>
      </c>
      <c r="BL40" s="394">
        <v>13.59</v>
      </c>
      <c r="BM40" s="394">
        <v>9.18</v>
      </c>
      <c r="BN40" s="394">
        <v>4.2699999999999996</v>
      </c>
      <c r="BO40" s="394" t="s">
        <v>505</v>
      </c>
      <c r="BP40" s="394" t="s">
        <v>505</v>
      </c>
      <c r="BQ40" s="586" t="s">
        <v>505</v>
      </c>
      <c r="BR40" s="586">
        <v>9975</v>
      </c>
      <c r="BS40" s="586">
        <v>3721</v>
      </c>
      <c r="BT40" s="394">
        <f t="shared" si="57"/>
        <v>103.17052363945491</v>
      </c>
      <c r="BU40" s="394">
        <f t="shared" si="54"/>
        <v>100.68916992481202</v>
      </c>
      <c r="BV40" s="394">
        <f t="shared" si="55"/>
        <v>103.88154385964913</v>
      </c>
      <c r="BW40" s="394">
        <f t="shared" si="56"/>
        <v>8.2831655408365759</v>
      </c>
      <c r="BX40" s="394">
        <v>5</v>
      </c>
      <c r="BY40" s="394">
        <v>5.43</v>
      </c>
      <c r="BZ40" s="394">
        <v>9.89</v>
      </c>
      <c r="CA40" s="394">
        <f t="shared" si="34"/>
        <v>4.4600000000000009</v>
      </c>
      <c r="CB40" s="394">
        <v>9.7200000000000006</v>
      </c>
      <c r="CC40" s="394">
        <v>12.12</v>
      </c>
      <c r="CD40" s="394">
        <f t="shared" si="35"/>
        <v>2.3999999999999986</v>
      </c>
      <c r="CE40" s="394"/>
      <c r="CF40" s="394"/>
    </row>
    <row r="41" spans="1:84" s="393" customFormat="1" ht="12" customHeight="1">
      <c r="I41" s="451" t="s">
        <v>850</v>
      </c>
      <c r="J41" s="681">
        <v>145099.20000000001</v>
      </c>
      <c r="K41" s="681">
        <v>1528.4</v>
      </c>
      <c r="L41" s="681">
        <f t="shared" si="15"/>
        <v>146627.6</v>
      </c>
      <c r="M41" s="681">
        <v>13183.7</v>
      </c>
      <c r="N41" s="681">
        <f t="shared" si="16"/>
        <v>133443.9</v>
      </c>
      <c r="O41" s="681">
        <v>29795.8</v>
      </c>
      <c r="P41" s="681">
        <v>73451.5</v>
      </c>
      <c r="Q41" s="681">
        <v>99762.9</v>
      </c>
      <c r="R41" s="681">
        <v>844438.9</v>
      </c>
      <c r="S41" s="681">
        <f t="shared" si="64"/>
        <v>944201.8</v>
      </c>
      <c r="T41" s="681">
        <f>P41+S41</f>
        <v>1017653.3</v>
      </c>
      <c r="U41" s="681">
        <v>652.4</v>
      </c>
      <c r="V41" s="432">
        <f t="shared" si="45"/>
        <v>233859.19999999998</v>
      </c>
      <c r="W41" s="432">
        <f t="shared" si="46"/>
        <v>1078298.1000000001</v>
      </c>
      <c r="X41" s="658" t="s">
        <v>505</v>
      </c>
      <c r="Y41" s="658" t="s">
        <v>505</v>
      </c>
      <c r="Z41" s="451" t="s">
        <v>850</v>
      </c>
      <c r="AA41" s="432">
        <v>0</v>
      </c>
      <c r="AB41" s="681">
        <v>18898.599999999999</v>
      </c>
      <c r="AC41" s="681">
        <v>843077.4</v>
      </c>
      <c r="AD41" s="432">
        <f t="shared" si="21"/>
        <v>861976</v>
      </c>
      <c r="AE41" s="432">
        <v>0</v>
      </c>
      <c r="AF41" s="681">
        <v>1600.4</v>
      </c>
      <c r="AG41" s="681">
        <v>27664</v>
      </c>
      <c r="AH41" s="432">
        <f t="shared" si="22"/>
        <v>29264.400000000001</v>
      </c>
      <c r="AI41" s="685">
        <v>16592.8</v>
      </c>
      <c r="AJ41" s="685">
        <v>144808.29999999999</v>
      </c>
      <c r="AK41" s="685">
        <v>16590.8</v>
      </c>
      <c r="AL41" s="686">
        <f t="shared" si="23"/>
        <v>161399.09999999998</v>
      </c>
      <c r="AM41" s="432">
        <f t="shared" si="47"/>
        <v>16592.8</v>
      </c>
      <c r="AN41" s="432">
        <f t="shared" si="48"/>
        <v>165307.29999999999</v>
      </c>
      <c r="AO41" s="432">
        <f t="shared" si="49"/>
        <v>887332.20000000007</v>
      </c>
      <c r="AP41" s="432">
        <f t="shared" si="50"/>
        <v>1052639.5</v>
      </c>
      <c r="AQ41" s="451" t="s">
        <v>850</v>
      </c>
      <c r="AR41" s="681">
        <v>10337.5</v>
      </c>
      <c r="AS41" s="681">
        <v>31698.6</v>
      </c>
      <c r="AT41" s="681">
        <v>23354.6</v>
      </c>
      <c r="AU41" s="681">
        <v>140.69999999999999</v>
      </c>
      <c r="AV41" s="681">
        <f>1017700.8-27.7</f>
        <v>1017673.1000000001</v>
      </c>
      <c r="AW41" s="681">
        <v>8388.9</v>
      </c>
      <c r="AX41" s="432">
        <f>AV41+AW41</f>
        <v>1026062.0000000001</v>
      </c>
      <c r="AY41" s="432">
        <f>0.055*AX39</f>
        <v>55189.967800000006</v>
      </c>
      <c r="AZ41" s="432">
        <f t="shared" si="65"/>
        <v>8571.6321999999927</v>
      </c>
      <c r="BA41" s="681">
        <v>63761.599999999999</v>
      </c>
      <c r="BB41" s="681">
        <v>2607208.9</v>
      </c>
      <c r="BC41" s="431">
        <f t="shared" si="28"/>
        <v>210389.2</v>
      </c>
      <c r="BD41" s="681">
        <v>377.4</v>
      </c>
      <c r="BE41" s="681">
        <v>9488.7000000000007</v>
      </c>
      <c r="BF41" s="681">
        <v>4508.6000000000004</v>
      </c>
      <c r="BG41" s="681">
        <v>143376.79999999999</v>
      </c>
      <c r="BH41" s="432">
        <f t="shared" si="29"/>
        <v>157751.5</v>
      </c>
      <c r="BI41" s="451" t="s">
        <v>850</v>
      </c>
      <c r="BJ41" s="439">
        <v>-21.2</v>
      </c>
      <c r="BK41" s="439">
        <v>14.62</v>
      </c>
      <c r="BL41" s="439">
        <v>14.99</v>
      </c>
      <c r="BM41" s="439">
        <v>11.03</v>
      </c>
      <c r="BN41" s="439">
        <v>6.12</v>
      </c>
      <c r="BO41" s="439" t="s">
        <v>505</v>
      </c>
      <c r="BP41" s="439" t="s">
        <v>505</v>
      </c>
      <c r="BQ41" s="439" t="s">
        <v>505</v>
      </c>
      <c r="BR41" s="440">
        <v>9981</v>
      </c>
      <c r="BS41" s="440">
        <v>3721</v>
      </c>
      <c r="BT41" s="439">
        <f t="shared" si="57"/>
        <v>103.43591670055933</v>
      </c>
      <c r="BU41" s="439">
        <f t="shared" si="54"/>
        <v>101.96103596833986</v>
      </c>
      <c r="BV41" s="439">
        <f t="shared" si="55"/>
        <v>105.46433223123935</v>
      </c>
      <c r="BW41" s="439">
        <f t="shared" si="56"/>
        <v>7.5609053634217123</v>
      </c>
      <c r="BX41" s="439">
        <v>5</v>
      </c>
      <c r="BY41" s="439">
        <v>5.51</v>
      </c>
      <c r="BZ41" s="439">
        <v>9.9600000000000009</v>
      </c>
      <c r="CA41" s="439">
        <f t="shared" si="34"/>
        <v>4.4500000000000011</v>
      </c>
      <c r="CB41" s="439">
        <v>9.99</v>
      </c>
      <c r="CC41" s="439">
        <v>12.53</v>
      </c>
      <c r="CD41" s="439">
        <f t="shared" si="35"/>
        <v>2.5399999999999991</v>
      </c>
      <c r="CE41" s="394"/>
      <c r="CF41" s="394"/>
    </row>
    <row r="42" spans="1:84" s="393" customFormat="1" ht="12" customHeight="1">
      <c r="I42" s="252" t="s">
        <v>841</v>
      </c>
      <c r="J42" s="687">
        <v>153411.20000000001</v>
      </c>
      <c r="K42" s="687">
        <v>1529.3</v>
      </c>
      <c r="L42" s="687">
        <f t="shared" si="15"/>
        <v>154940.5</v>
      </c>
      <c r="M42" s="687">
        <v>14023</v>
      </c>
      <c r="N42" s="687">
        <f t="shared" si="16"/>
        <v>140917.5</v>
      </c>
      <c r="O42" s="687">
        <v>33411</v>
      </c>
      <c r="P42" s="687">
        <v>75790.3</v>
      </c>
      <c r="Q42" s="687">
        <v>113217.1</v>
      </c>
      <c r="R42" s="687">
        <v>855087.3</v>
      </c>
      <c r="S42" s="687">
        <f>Q42+R42</f>
        <v>968304.4</v>
      </c>
      <c r="T42" s="687">
        <f>P42+S42</f>
        <v>1044094.7000000001</v>
      </c>
      <c r="U42" s="687">
        <v>759.1</v>
      </c>
      <c r="V42" s="348">
        <f t="shared" si="45"/>
        <v>254893.7</v>
      </c>
      <c r="W42" s="348">
        <f t="shared" si="46"/>
        <v>1109981</v>
      </c>
      <c r="X42" s="691" t="s">
        <v>505</v>
      </c>
      <c r="Y42" s="691" t="s">
        <v>505</v>
      </c>
      <c r="Z42" s="252" t="s">
        <v>841</v>
      </c>
      <c r="AA42" s="348">
        <v>0</v>
      </c>
      <c r="AB42" s="687">
        <v>18543.400000000001</v>
      </c>
      <c r="AC42" s="687">
        <v>859131.1</v>
      </c>
      <c r="AD42" s="348">
        <f t="shared" si="21"/>
        <v>877674.5</v>
      </c>
      <c r="AE42" s="348">
        <v>0</v>
      </c>
      <c r="AF42" s="687">
        <v>1666.1</v>
      </c>
      <c r="AG42" s="687">
        <v>26533.1</v>
      </c>
      <c r="AH42" s="348">
        <f t="shared" si="22"/>
        <v>28199.199999999997</v>
      </c>
      <c r="AI42" s="713">
        <v>17367.400000000001</v>
      </c>
      <c r="AJ42" s="713">
        <v>152836.79999999999</v>
      </c>
      <c r="AK42" s="713">
        <v>16721.3</v>
      </c>
      <c r="AL42" s="662">
        <f t="shared" si="23"/>
        <v>169558.09999999998</v>
      </c>
      <c r="AM42" s="348">
        <f t="shared" si="47"/>
        <v>17367.400000000001</v>
      </c>
      <c r="AN42" s="348">
        <f t="shared" si="48"/>
        <v>173046.3</v>
      </c>
      <c r="AO42" s="348">
        <f t="shared" si="49"/>
        <v>902385.5</v>
      </c>
      <c r="AP42" s="348">
        <f t="shared" si="50"/>
        <v>1075431.7999999998</v>
      </c>
      <c r="AQ42" s="252" t="s">
        <v>841</v>
      </c>
      <c r="AR42" s="687">
        <v>9988.7999999999993</v>
      </c>
      <c r="AS42" s="687">
        <v>32329.9</v>
      </c>
      <c r="AT42" s="687">
        <v>25777.8</v>
      </c>
      <c r="AU42" s="687">
        <v>59.2</v>
      </c>
      <c r="AV42" s="687">
        <f>1044142.5-29.04</f>
        <v>1044113.46</v>
      </c>
      <c r="AW42" s="687">
        <v>7577.6</v>
      </c>
      <c r="AX42" s="348">
        <f>AV42+AW42</f>
        <v>1051691.06</v>
      </c>
      <c r="AY42" s="348">
        <f>0.055*AX40</f>
        <v>55721.048349999997</v>
      </c>
      <c r="AZ42" s="348">
        <f t="shared" si="65"/>
        <v>22322.351649999997</v>
      </c>
      <c r="BA42" s="687">
        <v>78043.399999999994</v>
      </c>
      <c r="BB42" s="687">
        <v>2680520.5</v>
      </c>
      <c r="BC42" s="347">
        <f t="shared" si="28"/>
        <v>232983.9</v>
      </c>
      <c r="BD42" s="687">
        <v>4000</v>
      </c>
      <c r="BE42" s="687">
        <v>17878.900000000001</v>
      </c>
      <c r="BF42" s="687">
        <v>4818</v>
      </c>
      <c r="BG42" s="687">
        <v>151396</v>
      </c>
      <c r="BH42" s="348">
        <f t="shared" si="29"/>
        <v>178092.9</v>
      </c>
      <c r="BI42" s="252" t="s">
        <v>841</v>
      </c>
      <c r="BJ42" s="394">
        <v>-2.5099999999999998</v>
      </c>
      <c r="BK42" s="394">
        <v>11.11</v>
      </c>
      <c r="BL42" s="394">
        <v>16.940000000000001</v>
      </c>
      <c r="BM42" s="394">
        <v>14.71</v>
      </c>
      <c r="BN42" s="394">
        <v>9.24</v>
      </c>
      <c r="BO42" s="394" t="s">
        <v>505</v>
      </c>
      <c r="BP42" s="394" t="s">
        <v>505</v>
      </c>
      <c r="BQ42" s="586" t="s">
        <v>505</v>
      </c>
      <c r="BR42" s="586">
        <v>10114</v>
      </c>
      <c r="BS42" s="586">
        <v>3741</v>
      </c>
      <c r="BT42" s="394">
        <f t="shared" si="57"/>
        <v>102.99951501439315</v>
      </c>
      <c r="BU42" s="394">
        <f t="shared" si="54"/>
        <v>103.23447300771208</v>
      </c>
      <c r="BV42" s="394">
        <f t="shared" si="55"/>
        <v>106.33100652560805</v>
      </c>
      <c r="BW42" s="394">
        <f t="shared" si="56"/>
        <v>8.8176624023216785</v>
      </c>
      <c r="BX42" s="394">
        <v>5</v>
      </c>
      <c r="BY42" s="394">
        <v>5.5</v>
      </c>
      <c r="BZ42" s="394">
        <v>9.9499999999999993</v>
      </c>
      <c r="CA42" s="394">
        <f t="shared" si="34"/>
        <v>4.4499999999999993</v>
      </c>
      <c r="CB42" s="394">
        <v>10.14</v>
      </c>
      <c r="CC42" s="394">
        <v>12.67</v>
      </c>
      <c r="CD42" s="394">
        <f t="shared" si="35"/>
        <v>2.5299999999999994</v>
      </c>
      <c r="CE42" s="394"/>
      <c r="CF42" s="394"/>
    </row>
    <row r="43" spans="1:84" s="664" customFormat="1" ht="12" customHeight="1">
      <c r="I43" s="453" t="s">
        <v>2585</v>
      </c>
      <c r="J43" s="681"/>
      <c r="K43" s="681"/>
      <c r="L43" s="681"/>
      <c r="M43" s="681"/>
      <c r="N43" s="681"/>
      <c r="O43" s="681"/>
      <c r="P43" s="681"/>
      <c r="Q43" s="681"/>
      <c r="R43" s="681"/>
      <c r="S43" s="681"/>
      <c r="T43" s="681"/>
      <c r="U43" s="681"/>
      <c r="V43" s="681"/>
      <c r="W43" s="681"/>
      <c r="X43" s="658"/>
      <c r="Y43" s="658"/>
      <c r="Z43" s="453" t="s">
        <v>2585</v>
      </c>
      <c r="AA43" s="432"/>
      <c r="AB43" s="681"/>
      <c r="AC43" s="681"/>
      <c r="AD43" s="681"/>
      <c r="AE43" s="432"/>
      <c r="AF43" s="681"/>
      <c r="AG43" s="681"/>
      <c r="AH43" s="681"/>
      <c r="AI43" s="685"/>
      <c r="AJ43" s="685"/>
      <c r="AK43" s="685"/>
      <c r="AL43" s="685"/>
      <c r="AM43" s="685"/>
      <c r="AN43" s="685"/>
      <c r="AO43" s="685"/>
      <c r="AP43" s="685"/>
      <c r="AQ43" s="453" t="s">
        <v>2585</v>
      </c>
      <c r="AR43" s="681"/>
      <c r="AS43" s="681"/>
      <c r="AT43" s="681"/>
      <c r="AU43" s="681"/>
      <c r="AV43" s="681"/>
      <c r="AW43" s="681"/>
      <c r="AX43" s="681"/>
      <c r="AY43" s="432"/>
      <c r="AZ43" s="432"/>
      <c r="BA43" s="681"/>
      <c r="BB43" s="681"/>
      <c r="BC43" s="681"/>
      <c r="BD43" s="681"/>
      <c r="BE43" s="681"/>
      <c r="BF43" s="681"/>
      <c r="BG43" s="681"/>
      <c r="BH43" s="681"/>
      <c r="BI43" s="453" t="s">
        <v>2585</v>
      </c>
      <c r="BJ43" s="439"/>
      <c r="BK43" s="439"/>
      <c r="BL43" s="439"/>
      <c r="BM43" s="439"/>
      <c r="BN43" s="439"/>
      <c r="BO43" s="439"/>
      <c r="BP43" s="439"/>
      <c r="BQ43" s="440"/>
      <c r="BR43" s="440"/>
      <c r="BS43" s="440"/>
      <c r="BT43" s="440"/>
      <c r="BU43" s="440"/>
      <c r="BV43" s="440"/>
      <c r="BW43" s="440"/>
      <c r="BX43" s="439"/>
      <c r="BY43" s="439"/>
      <c r="BZ43" s="439"/>
      <c r="CA43" s="439"/>
      <c r="CB43" s="439"/>
      <c r="CC43" s="439"/>
      <c r="CD43" s="439"/>
    </row>
    <row r="44" spans="1:84" s="674" customFormat="1" ht="12" customHeight="1">
      <c r="A44" s="664"/>
      <c r="B44" s="664"/>
      <c r="C44" s="664"/>
      <c r="D44" s="664"/>
      <c r="E44" s="664"/>
      <c r="F44" s="664"/>
      <c r="G44" s="664"/>
      <c r="H44" s="664"/>
      <c r="I44" s="252" t="s">
        <v>843</v>
      </c>
      <c r="J44" s="687">
        <v>149492.79999999999</v>
      </c>
      <c r="K44" s="687">
        <v>1527</v>
      </c>
      <c r="L44" s="687">
        <f t="shared" si="15"/>
        <v>151019.79999999999</v>
      </c>
      <c r="M44" s="687">
        <v>13317.5</v>
      </c>
      <c r="N44" s="687">
        <f t="shared" si="16"/>
        <v>137702.29999999999</v>
      </c>
      <c r="O44" s="687">
        <v>30503.1</v>
      </c>
      <c r="P44" s="687">
        <v>70875.7</v>
      </c>
      <c r="Q44" s="687">
        <v>106870.3</v>
      </c>
      <c r="R44" s="687">
        <v>860756.6</v>
      </c>
      <c r="S44" s="687">
        <f t="shared" ref="S44:S47" si="66">Q44+R44</f>
        <v>967626.9</v>
      </c>
      <c r="T44" s="687">
        <f t="shared" ref="T44:T47" si="67">P44+S44</f>
        <v>1038502.6</v>
      </c>
      <c r="U44" s="687">
        <v>831.5</v>
      </c>
      <c r="V44" s="687">
        <f t="shared" si="45"/>
        <v>245404.09999999998</v>
      </c>
      <c r="W44" s="687">
        <f t="shared" si="46"/>
        <v>1106160.7</v>
      </c>
      <c r="X44" s="691" t="s">
        <v>505</v>
      </c>
      <c r="Y44" s="691" t="s">
        <v>505</v>
      </c>
      <c r="Z44" s="252" t="s">
        <v>843</v>
      </c>
      <c r="AA44" s="348">
        <v>0</v>
      </c>
      <c r="AB44" s="687">
        <v>19059.3</v>
      </c>
      <c r="AC44" s="687">
        <v>854121.1</v>
      </c>
      <c r="AD44" s="687">
        <f t="shared" si="21"/>
        <v>873180.4</v>
      </c>
      <c r="AE44" s="348">
        <v>0</v>
      </c>
      <c r="AF44" s="687">
        <v>1765.2</v>
      </c>
      <c r="AG44" s="687">
        <v>25493.3</v>
      </c>
      <c r="AH44" s="687">
        <f t="shared" si="22"/>
        <v>27258.5</v>
      </c>
      <c r="AI44" s="713">
        <v>16928.099999999999</v>
      </c>
      <c r="AJ44" s="713">
        <v>159910.70000000001</v>
      </c>
      <c r="AK44" s="713">
        <v>16754.3</v>
      </c>
      <c r="AL44" s="713">
        <f t="shared" si="23"/>
        <v>176665</v>
      </c>
      <c r="AM44" s="713">
        <f t="shared" si="47"/>
        <v>16928.099999999999</v>
      </c>
      <c r="AN44" s="713">
        <f t="shared" si="48"/>
        <v>180735.2</v>
      </c>
      <c r="AO44" s="713">
        <f t="shared" si="49"/>
        <v>896368.70000000007</v>
      </c>
      <c r="AP44" s="713">
        <f t="shared" si="50"/>
        <v>1077103.8999999999</v>
      </c>
      <c r="AQ44" s="252" t="s">
        <v>843</v>
      </c>
      <c r="AR44" s="687">
        <v>9546.6</v>
      </c>
      <c r="AS44" s="687">
        <v>32179.5</v>
      </c>
      <c r="AT44" s="687">
        <v>24307.9</v>
      </c>
      <c r="AU44" s="687">
        <v>57.3</v>
      </c>
      <c r="AV44" s="687">
        <f>1038550.5-28.02</f>
        <v>1038522.48</v>
      </c>
      <c r="AW44" s="687">
        <v>7473.5</v>
      </c>
      <c r="AX44" s="687">
        <f t="shared" ref="AX44:AX47" si="68">AV44+AW44</f>
        <v>1045995.98</v>
      </c>
      <c r="AY44" s="687">
        <f>0.055*AX41</f>
        <v>56433.41</v>
      </c>
      <c r="AZ44" s="687">
        <f t="shared" si="65"/>
        <v>12983.190000000002</v>
      </c>
      <c r="BA44" s="687">
        <v>69416.600000000006</v>
      </c>
      <c r="BB44" s="687">
        <v>2714235.3</v>
      </c>
      <c r="BC44" s="687">
        <f t="shared" si="28"/>
        <v>220436.4</v>
      </c>
      <c r="BD44" s="687">
        <v>0</v>
      </c>
      <c r="BE44" s="687">
        <v>14845.9</v>
      </c>
      <c r="BF44" s="687">
        <v>5138</v>
      </c>
      <c r="BG44" s="687">
        <v>158469.4</v>
      </c>
      <c r="BH44" s="687">
        <f t="shared" si="29"/>
        <v>178453.3</v>
      </c>
      <c r="BI44" s="252" t="s">
        <v>843</v>
      </c>
      <c r="BJ44" s="394">
        <v>2.41</v>
      </c>
      <c r="BK44" s="394">
        <v>1.48</v>
      </c>
      <c r="BL44" s="394">
        <v>-0.67</v>
      </c>
      <c r="BM44" s="394">
        <v>-0.34</v>
      </c>
      <c r="BN44" s="394">
        <v>-0.34</v>
      </c>
      <c r="BO44" s="394" t="s">
        <v>505</v>
      </c>
      <c r="BP44" s="394" t="s">
        <v>505</v>
      </c>
      <c r="BQ44" s="586" t="s">
        <v>505</v>
      </c>
      <c r="BR44" s="586">
        <v>10131</v>
      </c>
      <c r="BS44" s="586">
        <v>3741</v>
      </c>
      <c r="BT44" s="394">
        <f>AP44/AV44*100</f>
        <v>103.71502983738974</v>
      </c>
      <c r="BU44" s="394">
        <f t="shared" si="54"/>
        <v>102.50937518507551</v>
      </c>
      <c r="BV44" s="394">
        <f t="shared" si="55"/>
        <v>106.31762905932285</v>
      </c>
      <c r="BW44" s="394">
        <f t="shared" si="56"/>
        <v>7.9665198966131197</v>
      </c>
      <c r="BX44" s="394">
        <v>5</v>
      </c>
      <c r="BY44" s="394">
        <v>5.4</v>
      </c>
      <c r="BZ44" s="394">
        <v>9.7100000000000009</v>
      </c>
      <c r="CA44" s="394">
        <f t="shared" si="34"/>
        <v>4.3100000000000005</v>
      </c>
      <c r="CB44" s="394">
        <v>10.0946338</v>
      </c>
      <c r="CC44" s="394">
        <v>12.848167699999999</v>
      </c>
      <c r="CD44" s="394">
        <f t="shared" si="35"/>
        <v>2.753533899999999</v>
      </c>
    </row>
    <row r="45" spans="1:84" s="674" customFormat="1" ht="12" customHeight="1">
      <c r="A45" s="664"/>
      <c r="B45" s="664"/>
      <c r="C45" s="664"/>
      <c r="D45" s="664"/>
      <c r="E45" s="664"/>
      <c r="F45" s="664"/>
      <c r="G45" s="664"/>
      <c r="H45" s="664"/>
      <c r="I45" s="451" t="s">
        <v>844</v>
      </c>
      <c r="J45" s="681">
        <v>166059.1</v>
      </c>
      <c r="K45" s="681">
        <v>1527.6</v>
      </c>
      <c r="L45" s="681">
        <f t="shared" si="15"/>
        <v>167586.70000000001</v>
      </c>
      <c r="M45" s="681">
        <v>14192.1</v>
      </c>
      <c r="N45" s="681">
        <f t="shared" si="16"/>
        <v>153394.6</v>
      </c>
      <c r="O45" s="681">
        <v>31471.8</v>
      </c>
      <c r="P45" s="681">
        <v>71608</v>
      </c>
      <c r="Q45" s="681">
        <v>103018.3</v>
      </c>
      <c r="R45" s="681">
        <v>866797.8</v>
      </c>
      <c r="S45" s="681">
        <f t="shared" si="66"/>
        <v>969816.10000000009</v>
      </c>
      <c r="T45" s="681">
        <f t="shared" si="67"/>
        <v>1041424.1000000001</v>
      </c>
      <c r="U45" s="681">
        <v>743.6</v>
      </c>
      <c r="V45" s="681">
        <f t="shared" si="45"/>
        <v>257156.50000000003</v>
      </c>
      <c r="W45" s="681">
        <f t="shared" si="46"/>
        <v>1123954.3</v>
      </c>
      <c r="X45" s="681" t="s">
        <v>505</v>
      </c>
      <c r="Y45" s="681" t="s">
        <v>505</v>
      </c>
      <c r="Z45" s="451" t="s">
        <v>844</v>
      </c>
      <c r="AA45" s="432">
        <v>0</v>
      </c>
      <c r="AB45" s="681">
        <v>18699.599999999999</v>
      </c>
      <c r="AC45" s="681">
        <v>862163.9</v>
      </c>
      <c r="AD45" s="681">
        <f t="shared" si="21"/>
        <v>880863.5</v>
      </c>
      <c r="AE45" s="432">
        <v>0</v>
      </c>
      <c r="AF45" s="681">
        <v>1983.3</v>
      </c>
      <c r="AG45" s="681">
        <v>26084.799999999999</v>
      </c>
      <c r="AH45" s="681">
        <f t="shared" si="22"/>
        <v>28068.1</v>
      </c>
      <c r="AI45" s="685">
        <v>18768.099999999999</v>
      </c>
      <c r="AJ45" s="685">
        <v>158847.9</v>
      </c>
      <c r="AK45" s="685">
        <v>16866.5</v>
      </c>
      <c r="AL45" s="685">
        <f t="shared" si="23"/>
        <v>175714.4</v>
      </c>
      <c r="AM45" s="685">
        <f t="shared" si="47"/>
        <v>18768.099999999999</v>
      </c>
      <c r="AN45" s="685">
        <f t="shared" si="48"/>
        <v>179530.8</v>
      </c>
      <c r="AO45" s="685">
        <f t="shared" si="49"/>
        <v>905115.20000000007</v>
      </c>
      <c r="AP45" s="685">
        <f t="shared" si="50"/>
        <v>1084646</v>
      </c>
      <c r="AQ45" s="451" t="s">
        <v>844</v>
      </c>
      <c r="AR45" s="681">
        <v>8148.7</v>
      </c>
      <c r="AS45" s="681">
        <v>31895.5</v>
      </c>
      <c r="AT45" s="681">
        <v>31233.599999999999</v>
      </c>
      <c r="AU45" s="681">
        <v>46.3</v>
      </c>
      <c r="AV45" s="681">
        <f>1041472-27.72</f>
        <v>1041444.28</v>
      </c>
      <c r="AW45" s="681">
        <v>9970.2999999999993</v>
      </c>
      <c r="AX45" s="681">
        <f t="shared" si="68"/>
        <v>1051414.58</v>
      </c>
      <c r="AY45" s="681">
        <f>0.055*AX42</f>
        <v>57843.008300000001</v>
      </c>
      <c r="AZ45" s="681">
        <f t="shared" si="65"/>
        <v>8197.4916999999987</v>
      </c>
      <c r="BA45" s="681">
        <v>66040.5</v>
      </c>
      <c r="BB45" s="681">
        <v>2758949.3</v>
      </c>
      <c r="BC45" s="681">
        <f t="shared" si="28"/>
        <v>233627.2</v>
      </c>
      <c r="BD45" s="681">
        <v>3988.8</v>
      </c>
      <c r="BE45" s="681">
        <v>14888.3</v>
      </c>
      <c r="BF45" s="681">
        <v>5056.2</v>
      </c>
      <c r="BG45" s="681">
        <v>157407.70000000001</v>
      </c>
      <c r="BH45" s="681">
        <f t="shared" si="29"/>
        <v>181341</v>
      </c>
      <c r="BI45" s="451" t="s">
        <v>844</v>
      </c>
      <c r="BJ45" s="439">
        <v>7.16</v>
      </c>
      <c r="BK45" s="439">
        <v>1.18</v>
      </c>
      <c r="BL45" s="439">
        <v>0.28999999999999998</v>
      </c>
      <c r="BM45" s="439">
        <v>0.95</v>
      </c>
      <c r="BN45" s="439">
        <v>1.26</v>
      </c>
      <c r="BO45" s="439" t="s">
        <v>505</v>
      </c>
      <c r="BP45" s="439" t="s">
        <v>505</v>
      </c>
      <c r="BQ45" s="440" t="s">
        <v>505</v>
      </c>
      <c r="BR45" s="440">
        <v>10143</v>
      </c>
      <c r="BS45" s="440">
        <v>3741</v>
      </c>
      <c r="BT45" s="439">
        <f>AP45/AV45*100</f>
        <v>104.14825073502732</v>
      </c>
      <c r="BU45" s="439">
        <f t="shared" si="54"/>
        <v>102.67615892733906</v>
      </c>
      <c r="BV45" s="439">
        <f t="shared" si="55"/>
        <v>106.93542344474021</v>
      </c>
      <c r="BW45" s="439">
        <f t="shared" si="56"/>
        <v>7.7039743307246358</v>
      </c>
      <c r="BX45" s="439">
        <v>5</v>
      </c>
      <c r="BY45" s="439">
        <v>5.36</v>
      </c>
      <c r="BZ45" s="439">
        <v>9.6300000000000008</v>
      </c>
      <c r="CA45" s="439">
        <f t="shared" si="34"/>
        <v>4.2700000000000005</v>
      </c>
      <c r="CB45" s="439">
        <v>9.98</v>
      </c>
      <c r="CC45" s="439">
        <v>12.86</v>
      </c>
      <c r="CD45" s="439">
        <f t="shared" si="35"/>
        <v>2.879999999999999</v>
      </c>
    </row>
    <row r="46" spans="1:84" s="674" customFormat="1" ht="12" customHeight="1">
      <c r="I46" s="252" t="s">
        <v>838</v>
      </c>
      <c r="J46" s="687">
        <v>153996</v>
      </c>
      <c r="K46" s="687">
        <v>1525.4</v>
      </c>
      <c r="L46" s="687">
        <f t="shared" si="15"/>
        <v>155521.4</v>
      </c>
      <c r="M46" s="687">
        <v>14502.5</v>
      </c>
      <c r="N46" s="687">
        <f t="shared" si="16"/>
        <v>141018.9</v>
      </c>
      <c r="O46" s="687">
        <v>30922.9</v>
      </c>
      <c r="P46" s="687">
        <v>71586.899999999994</v>
      </c>
      <c r="Q46" s="687">
        <v>103162.1</v>
      </c>
      <c r="R46" s="687">
        <v>873958.6</v>
      </c>
      <c r="S46" s="687">
        <f t="shared" si="66"/>
        <v>977120.7</v>
      </c>
      <c r="T46" s="687">
        <f t="shared" si="67"/>
        <v>1048707.5999999999</v>
      </c>
      <c r="U46" s="687">
        <v>755</v>
      </c>
      <c r="V46" s="687">
        <f t="shared" si="45"/>
        <v>244936</v>
      </c>
      <c r="W46" s="687">
        <f t="shared" si="46"/>
        <v>1118894.6000000001</v>
      </c>
      <c r="X46" s="687" t="s">
        <v>505</v>
      </c>
      <c r="Y46" s="687" t="s">
        <v>505</v>
      </c>
      <c r="Z46" s="252" t="s">
        <v>838</v>
      </c>
      <c r="AA46" s="348">
        <v>0</v>
      </c>
      <c r="AB46" s="687">
        <v>18624.400000000001</v>
      </c>
      <c r="AC46" s="687">
        <v>872385</v>
      </c>
      <c r="AD46" s="687">
        <f t="shared" si="21"/>
        <v>891009.4</v>
      </c>
      <c r="AE46" s="348">
        <v>0</v>
      </c>
      <c r="AF46" s="687">
        <v>1875.1</v>
      </c>
      <c r="AG46" s="687">
        <v>24361.4</v>
      </c>
      <c r="AH46" s="687">
        <f t="shared" si="22"/>
        <v>26236.5</v>
      </c>
      <c r="AI46" s="713">
        <v>18777.5</v>
      </c>
      <c r="AJ46" s="713">
        <v>160233.70000000001</v>
      </c>
      <c r="AK46" s="713">
        <v>16995.900000000001</v>
      </c>
      <c r="AL46" s="713">
        <f t="shared" si="23"/>
        <v>177229.6</v>
      </c>
      <c r="AM46" s="713">
        <f t="shared" si="47"/>
        <v>18777.5</v>
      </c>
      <c r="AN46" s="713">
        <f t="shared" si="48"/>
        <v>180733.2</v>
      </c>
      <c r="AO46" s="713">
        <f t="shared" si="49"/>
        <v>913742.3</v>
      </c>
      <c r="AP46" s="713">
        <f t="shared" si="50"/>
        <v>1094475.5</v>
      </c>
      <c r="AQ46" s="252" t="s">
        <v>838</v>
      </c>
      <c r="AR46" s="687">
        <v>8587.4</v>
      </c>
      <c r="AS46" s="687">
        <v>31971</v>
      </c>
      <c r="AT46" s="687">
        <v>28484.9</v>
      </c>
      <c r="AU46" s="687">
        <v>52.9</v>
      </c>
      <c r="AV46" s="687">
        <f>1048755.5-14.3</f>
        <v>1048741.2</v>
      </c>
      <c r="AW46" s="687">
        <v>8118.6</v>
      </c>
      <c r="AX46" s="687">
        <f t="shared" si="68"/>
        <v>1056859.8</v>
      </c>
      <c r="AY46" s="687">
        <f>0.055*AX44</f>
        <v>57529.778899999998</v>
      </c>
      <c r="AZ46" s="687">
        <f t="shared" si="65"/>
        <v>14681.021100000005</v>
      </c>
      <c r="BA46" s="687">
        <v>72210.8</v>
      </c>
      <c r="BB46" s="687">
        <v>2779139.5</v>
      </c>
      <c r="BC46" s="687">
        <f t="shared" si="28"/>
        <v>227732.2</v>
      </c>
      <c r="BD46" s="687">
        <v>0</v>
      </c>
      <c r="BE46" s="687">
        <v>14375</v>
      </c>
      <c r="BF46" s="687">
        <v>4661.7</v>
      </c>
      <c r="BG46" s="687">
        <v>158802.4</v>
      </c>
      <c r="BH46" s="687">
        <f t="shared" si="29"/>
        <v>177839.1</v>
      </c>
      <c r="BI46" s="252" t="s">
        <v>838</v>
      </c>
      <c r="BJ46" s="394">
        <v>0.84</v>
      </c>
      <c r="BK46" s="394">
        <v>2.25</v>
      </c>
      <c r="BL46" s="394">
        <v>1.24</v>
      </c>
      <c r="BM46" s="394">
        <v>1.22</v>
      </c>
      <c r="BN46" s="394">
        <v>0.8</v>
      </c>
      <c r="BO46" s="394" t="s">
        <v>505</v>
      </c>
      <c r="BP46" s="394" t="s">
        <v>505</v>
      </c>
      <c r="BQ46" s="586" t="s">
        <v>505</v>
      </c>
      <c r="BR46" s="586">
        <v>10159</v>
      </c>
      <c r="BS46" s="586">
        <v>3743</v>
      </c>
      <c r="BT46" s="394">
        <f>AP46/AV46*100</f>
        <v>104.36087568601292</v>
      </c>
      <c r="BU46" s="394">
        <f>AV46/BR46</f>
        <v>103.23271975588148</v>
      </c>
      <c r="BV46" s="394">
        <f t="shared" si="55"/>
        <v>107.73457033172556</v>
      </c>
      <c r="BW46" s="394">
        <f t="shared" si="56"/>
        <v>8.2683220607715242</v>
      </c>
      <c r="BX46" s="394">
        <v>5</v>
      </c>
      <c r="BY46" s="394">
        <v>5.27</v>
      </c>
      <c r="BZ46" s="394">
        <v>9.5399999999999991</v>
      </c>
      <c r="CA46" s="394">
        <f t="shared" si="34"/>
        <v>4.2699999999999996</v>
      </c>
      <c r="CB46" s="394">
        <v>9.8800000000000008</v>
      </c>
      <c r="CC46" s="394">
        <v>12.79</v>
      </c>
      <c r="CD46" s="394">
        <f t="shared" si="35"/>
        <v>2.9099999999999984</v>
      </c>
    </row>
    <row r="47" spans="1:84" s="674" customFormat="1" ht="12" customHeight="1" thickBot="1">
      <c r="I47" s="519" t="s">
        <v>845</v>
      </c>
      <c r="J47" s="1451">
        <v>150900.6</v>
      </c>
      <c r="K47" s="1451">
        <v>1523.6</v>
      </c>
      <c r="L47" s="1451">
        <f t="shared" si="15"/>
        <v>152424.20000000001</v>
      </c>
      <c r="M47" s="1451">
        <v>13346.1</v>
      </c>
      <c r="N47" s="1451">
        <f t="shared" si="16"/>
        <v>139078.1</v>
      </c>
      <c r="O47" s="1451">
        <v>32478.1</v>
      </c>
      <c r="P47" s="1451">
        <v>75151.100000000006</v>
      </c>
      <c r="Q47" s="1451">
        <v>104949.5</v>
      </c>
      <c r="R47" s="1451">
        <v>881083.1</v>
      </c>
      <c r="S47" s="1451">
        <f t="shared" si="66"/>
        <v>986032.6</v>
      </c>
      <c r="T47" s="1451">
        <f t="shared" si="67"/>
        <v>1061183.7</v>
      </c>
      <c r="U47" s="1451">
        <v>714.3</v>
      </c>
      <c r="V47" s="1451">
        <f t="shared" si="45"/>
        <v>244741.9</v>
      </c>
      <c r="W47" s="1451">
        <f t="shared" si="46"/>
        <v>1125825</v>
      </c>
      <c r="X47" s="1451" t="s">
        <v>505</v>
      </c>
      <c r="Y47" s="1451" t="s">
        <v>505</v>
      </c>
      <c r="Z47" s="519" t="s">
        <v>845</v>
      </c>
      <c r="AA47" s="1129">
        <v>0</v>
      </c>
      <c r="AB47" s="1451">
        <v>18982.5</v>
      </c>
      <c r="AC47" s="1451">
        <v>885427.1</v>
      </c>
      <c r="AD47" s="1451">
        <f t="shared" si="21"/>
        <v>904409.59999999998</v>
      </c>
      <c r="AE47" s="1129">
        <v>0</v>
      </c>
      <c r="AF47" s="1451">
        <v>1802.8</v>
      </c>
      <c r="AG47" s="1451">
        <v>24924</v>
      </c>
      <c r="AH47" s="1451">
        <f t="shared" si="22"/>
        <v>26726.799999999999</v>
      </c>
      <c r="AI47" s="1641">
        <v>19271.900000000001</v>
      </c>
      <c r="AJ47" s="1641">
        <v>159600.1</v>
      </c>
      <c r="AK47" s="1641">
        <v>17024.900000000001</v>
      </c>
      <c r="AL47" s="1641">
        <f t="shared" si="23"/>
        <v>176625</v>
      </c>
      <c r="AM47" s="1641">
        <f t="shared" si="47"/>
        <v>19271.900000000001</v>
      </c>
      <c r="AN47" s="1641">
        <f t="shared" si="48"/>
        <v>180385.4</v>
      </c>
      <c r="AO47" s="1641">
        <f t="shared" si="49"/>
        <v>927376</v>
      </c>
      <c r="AP47" s="1641">
        <f t="shared" si="50"/>
        <v>1107761.3999999999</v>
      </c>
      <c r="AQ47" s="519" t="s">
        <v>845</v>
      </c>
      <c r="AR47" s="1451">
        <v>8179.4</v>
      </c>
      <c r="AS47" s="1451">
        <v>32023.8</v>
      </c>
      <c r="AT47" s="1451">
        <v>26793.8</v>
      </c>
      <c r="AU47" s="1451">
        <v>52.1</v>
      </c>
      <c r="AV47" s="1451">
        <f>1061231.7-27.52</f>
        <v>1061204.18</v>
      </c>
      <c r="AW47" s="1451">
        <v>8491.5</v>
      </c>
      <c r="AX47" s="1451">
        <f t="shared" si="68"/>
        <v>1069695.68</v>
      </c>
      <c r="AY47" s="1451">
        <f>0.055*AX45</f>
        <v>57827.801900000006</v>
      </c>
      <c r="AZ47" s="1451">
        <f t="shared" si="65"/>
        <v>17151.898099999991</v>
      </c>
      <c r="BA47" s="1451">
        <v>74979.7</v>
      </c>
      <c r="BB47" s="1451">
        <v>2824513.3</v>
      </c>
      <c r="BC47" s="1451">
        <f t="shared" si="28"/>
        <v>227403.90000000002</v>
      </c>
      <c r="BD47" s="1451">
        <v>1763.7</v>
      </c>
      <c r="BE47" s="1451">
        <v>14378.3</v>
      </c>
      <c r="BF47" s="1451">
        <v>4371.8999999999996</v>
      </c>
      <c r="BG47" s="1451">
        <v>158169.79999999999</v>
      </c>
      <c r="BH47" s="1451">
        <f t="shared" si="29"/>
        <v>178683.69999999998</v>
      </c>
      <c r="BI47" s="519" t="s">
        <v>845</v>
      </c>
      <c r="BJ47" s="717">
        <v>0.82</v>
      </c>
      <c r="BK47" s="717">
        <v>5.36</v>
      </c>
      <c r="BL47" s="717">
        <v>2.73</v>
      </c>
      <c r="BM47" s="717">
        <v>2.61</v>
      </c>
      <c r="BN47" s="717">
        <v>1.43</v>
      </c>
      <c r="BO47" s="717" t="s">
        <v>505</v>
      </c>
      <c r="BP47" s="717" t="s">
        <v>505</v>
      </c>
      <c r="BQ47" s="1642" t="s">
        <v>505</v>
      </c>
      <c r="BR47" s="1642">
        <v>10178</v>
      </c>
      <c r="BS47" s="1642">
        <v>3743</v>
      </c>
      <c r="BT47" s="717">
        <f>AP47/AV47*100</f>
        <v>104.38720661654386</v>
      </c>
      <c r="BU47" s="717">
        <f>AV47/BR47</f>
        <v>104.26450972686185</v>
      </c>
      <c r="BV47" s="717">
        <f t="shared" si="55"/>
        <v>108.83880919630575</v>
      </c>
      <c r="BW47" s="717">
        <f t="shared" si="56"/>
        <v>8.3231673663403782</v>
      </c>
      <c r="BX47" s="717">
        <v>5</v>
      </c>
      <c r="BY47" s="717">
        <v>5.25</v>
      </c>
      <c r="BZ47" s="717">
        <v>9.4700000000000006</v>
      </c>
      <c r="CA47" s="717">
        <f t="shared" si="34"/>
        <v>4.2200000000000006</v>
      </c>
      <c r="CB47" s="717">
        <v>9.89</v>
      </c>
      <c r="CC47" s="717">
        <v>12.68</v>
      </c>
      <c r="CD47" s="717">
        <f t="shared" si="35"/>
        <v>2.7899999999999991</v>
      </c>
    </row>
    <row r="48" spans="1:84">
      <c r="F48" s="11"/>
      <c r="I48" s="665" t="s">
        <v>2381</v>
      </c>
      <c r="J48" s="1747" t="s">
        <v>2502</v>
      </c>
      <c r="K48" s="1747"/>
      <c r="L48" s="1747"/>
      <c r="M48" s="1747"/>
      <c r="N48" s="1747"/>
      <c r="O48" s="1747"/>
      <c r="P48" s="1747"/>
      <c r="Q48" s="1747"/>
      <c r="R48" s="1279" t="s">
        <v>2385</v>
      </c>
      <c r="S48" s="1746" t="s">
        <v>246</v>
      </c>
      <c r="T48" s="1746"/>
      <c r="U48" s="1746"/>
      <c r="V48" s="1746"/>
      <c r="W48" s="1746"/>
      <c r="X48" s="1746"/>
      <c r="Y48" s="1746"/>
      <c r="Z48" s="668" t="s">
        <v>50</v>
      </c>
      <c r="AA48" s="1746" t="s">
        <v>2264</v>
      </c>
      <c r="AB48" s="1746"/>
      <c r="AC48" s="1746"/>
      <c r="AD48" s="1746"/>
      <c r="AE48" s="1746"/>
      <c r="AF48" s="1746"/>
      <c r="AG48" s="1746"/>
      <c r="AH48" s="1746"/>
      <c r="AI48" s="669" t="s">
        <v>2386</v>
      </c>
      <c r="AJ48" s="1742" t="s">
        <v>2121</v>
      </c>
      <c r="AK48" s="1742"/>
      <c r="AL48" s="1742"/>
      <c r="AM48" s="1742"/>
      <c r="AN48" s="1742"/>
      <c r="AO48" s="1742"/>
      <c r="AP48" s="1742"/>
      <c r="AQ48" s="670"/>
      <c r="AR48" s="671"/>
      <c r="AS48" s="671"/>
      <c r="AT48" s="671"/>
      <c r="AU48" s="671"/>
      <c r="AV48" s="671"/>
      <c r="AW48" s="671"/>
      <c r="AX48" s="348"/>
      <c r="AY48" s="672" t="s">
        <v>245</v>
      </c>
      <c r="AZ48" s="666" t="s">
        <v>2337</v>
      </c>
      <c r="BA48" s="664"/>
      <c r="BB48" s="664"/>
      <c r="BC48" s="664"/>
      <c r="BD48" s="664"/>
      <c r="BE48" s="664"/>
      <c r="BF48" s="664"/>
      <c r="BG48" s="664"/>
      <c r="BH48" s="664"/>
      <c r="BI48" s="673" t="s">
        <v>942</v>
      </c>
      <c r="BJ48" s="1747" t="s">
        <v>2265</v>
      </c>
      <c r="BK48" s="1747"/>
      <c r="BL48" s="1747"/>
      <c r="BM48" s="1747"/>
      <c r="BN48" s="1747"/>
      <c r="BO48" s="1747"/>
      <c r="BP48" s="1747"/>
      <c r="BQ48" s="1747"/>
      <c r="BR48" s="1747"/>
      <c r="BS48" s="664"/>
      <c r="BT48" s="744" t="s">
        <v>1691</v>
      </c>
      <c r="BU48" s="666" t="s">
        <v>1692</v>
      </c>
      <c r="BV48" s="666"/>
      <c r="BW48" s="666"/>
      <c r="BX48" s="666"/>
      <c r="BY48" s="666"/>
      <c r="BZ48" s="666"/>
      <c r="CA48" s="666"/>
      <c r="CB48" s="664"/>
      <c r="CC48" s="664"/>
      <c r="CD48" s="664"/>
    </row>
    <row r="49" spans="9:82" s="11" customFormat="1">
      <c r="I49" s="674"/>
      <c r="J49" s="1744" t="s">
        <v>2687</v>
      </c>
      <c r="K49" s="1744"/>
      <c r="L49" s="1744"/>
      <c r="M49" s="1744"/>
      <c r="N49" s="1744"/>
      <c r="O49" s="1744"/>
      <c r="P49" s="1744"/>
      <c r="Q49" s="1744"/>
      <c r="R49" s="674"/>
      <c r="S49" s="1746" t="s">
        <v>2058</v>
      </c>
      <c r="T49" s="1746"/>
      <c r="U49" s="674"/>
      <c r="V49" s="674"/>
      <c r="W49" s="674"/>
      <c r="X49" s="674"/>
      <c r="Y49" s="675"/>
      <c r="Z49" s="677"/>
      <c r="AA49" s="1166"/>
      <c r="AB49" s="1166"/>
      <c r="AC49" s="1166"/>
      <c r="AD49" s="1166"/>
      <c r="AE49" s="1166"/>
      <c r="AF49" s="1166"/>
      <c r="AG49" s="1166"/>
      <c r="AH49" s="1166"/>
      <c r="AI49" s="666"/>
      <c r="AJ49" s="1748" t="s">
        <v>2168</v>
      </c>
      <c r="AK49" s="1748"/>
      <c r="AL49" s="1748"/>
      <c r="AM49" s="1748"/>
      <c r="AN49" s="1748"/>
      <c r="AO49" s="1748"/>
      <c r="AP49" s="1748"/>
      <c r="AQ49" s="678"/>
      <c r="AR49" s="676"/>
      <c r="AS49" s="671"/>
      <c r="AT49" s="671"/>
      <c r="AU49" s="671"/>
      <c r="AV49" s="671"/>
      <c r="AW49" s="671"/>
      <c r="AX49" s="671"/>
      <c r="AY49" s="674"/>
      <c r="AZ49" s="1746" t="s">
        <v>2335</v>
      </c>
      <c r="BA49" s="1746"/>
      <c r="BB49" s="1746"/>
      <c r="BC49" s="1746"/>
      <c r="BD49" s="1746"/>
      <c r="BE49" s="1746"/>
      <c r="BF49" s="1746"/>
      <c r="BG49" s="1746"/>
      <c r="BH49" s="1746"/>
      <c r="BI49" s="674"/>
      <c r="BJ49" s="1746" t="s">
        <v>2266</v>
      </c>
      <c r="BK49" s="1746"/>
      <c r="BL49" s="1746"/>
      <c r="BM49" s="1746"/>
      <c r="BN49" s="1746"/>
      <c r="BO49" s="1746"/>
      <c r="BP49" s="1746"/>
      <c r="BQ49" s="1746"/>
      <c r="BR49" s="1746"/>
      <c r="BS49" s="674"/>
      <c r="BT49" s="674"/>
      <c r="BU49" s="674" t="s">
        <v>2268</v>
      </c>
      <c r="BV49" s="671"/>
      <c r="BW49" s="671"/>
      <c r="BX49" s="671"/>
      <c r="BY49" s="671"/>
      <c r="BZ49" s="671"/>
      <c r="CA49" s="674"/>
      <c r="CB49" s="674"/>
      <c r="CC49" s="674"/>
      <c r="CD49" s="674"/>
    </row>
    <row r="50" spans="9:82" s="11" customFormat="1">
      <c r="I50" s="674"/>
      <c r="J50" s="1744" t="s">
        <v>2262</v>
      </c>
      <c r="K50" s="1744"/>
      <c r="L50" s="1744"/>
      <c r="M50" s="1744"/>
      <c r="N50" s="1744"/>
      <c r="O50" s="1744"/>
      <c r="P50" s="1744"/>
      <c r="Q50" s="1744"/>
      <c r="R50" s="676"/>
      <c r="S50" s="676"/>
      <c r="T50" s="676"/>
      <c r="U50" s="676"/>
      <c r="V50" s="676"/>
      <c r="W50" s="676"/>
      <c r="X50" s="676"/>
      <c r="Y50" s="676"/>
      <c r="Z50" s="667"/>
      <c r="AA50" s="1745"/>
      <c r="AB50" s="1745"/>
      <c r="AC50" s="1745"/>
      <c r="AD50" s="1745"/>
      <c r="AE50" s="1745"/>
      <c r="AF50" s="1745"/>
      <c r="AG50" s="1745"/>
      <c r="AH50" s="1745"/>
      <c r="AI50" s="671"/>
      <c r="AJ50" s="676"/>
      <c r="AK50" s="671"/>
      <c r="AL50" s="671"/>
      <c r="AM50" s="671"/>
      <c r="AN50" s="671"/>
      <c r="AO50" s="671"/>
      <c r="AP50" s="678"/>
      <c r="AQ50" s="678"/>
      <c r="AR50" s="671"/>
      <c r="AS50" s="671"/>
      <c r="AT50" s="671"/>
      <c r="AU50" s="671"/>
      <c r="AV50" s="671"/>
      <c r="AW50" s="671"/>
      <c r="AX50" s="671" t="s">
        <v>47</v>
      </c>
      <c r="AY50" s="679"/>
      <c r="AZ50" s="1746" t="s">
        <v>2336</v>
      </c>
      <c r="BA50" s="1746"/>
      <c r="BB50" s="1746"/>
      <c r="BC50" s="1746"/>
      <c r="BD50" s="1746"/>
      <c r="BE50" s="1746"/>
      <c r="BF50" s="1746"/>
      <c r="BG50" s="1746"/>
      <c r="BH50" s="1746"/>
      <c r="BI50" s="674"/>
      <c r="BJ50" s="674" t="s">
        <v>2267</v>
      </c>
      <c r="BK50" s="674"/>
      <c r="BL50" s="674"/>
      <c r="BM50" s="674"/>
      <c r="BN50" s="674"/>
      <c r="BO50" s="674"/>
      <c r="BP50" s="674"/>
      <c r="BQ50" s="674"/>
      <c r="BR50" s="674"/>
      <c r="BS50" s="671"/>
      <c r="BT50" s="674"/>
      <c r="BU50" s="741" t="s">
        <v>2550</v>
      </c>
      <c r="BV50" s="741"/>
      <c r="BW50" s="671"/>
      <c r="BX50" s="671"/>
      <c r="BY50" s="671"/>
      <c r="BZ50" s="671"/>
      <c r="CA50" s="674"/>
      <c r="CB50" s="674"/>
      <c r="CC50" s="674"/>
      <c r="CD50" s="674"/>
    </row>
    <row r="51" spans="9:82" s="11" customFormat="1" ht="12">
      <c r="I51" s="665" t="s">
        <v>2380</v>
      </c>
      <c r="J51" s="679" t="s">
        <v>2171</v>
      </c>
      <c r="K51" s="679"/>
      <c r="L51" s="679"/>
      <c r="M51" s="674"/>
      <c r="N51" s="674"/>
      <c r="O51" s="674"/>
      <c r="P51" s="674"/>
      <c r="Q51" s="674"/>
      <c r="R51" s="674"/>
      <c r="S51" s="674"/>
      <c r="T51" s="674"/>
      <c r="U51" s="674"/>
      <c r="V51" s="674"/>
      <c r="W51" s="674"/>
      <c r="X51" s="691"/>
      <c r="Y51" s="691"/>
      <c r="Z51" s="674"/>
      <c r="AA51" s="676"/>
      <c r="AB51" s="679"/>
      <c r="AC51" s="674"/>
      <c r="AD51" s="674"/>
      <c r="AE51" s="674"/>
      <c r="AF51" s="674"/>
      <c r="AG51" s="674"/>
      <c r="AH51" s="674"/>
      <c r="AI51" s="674"/>
      <c r="AJ51" s="674"/>
      <c r="AK51" s="674"/>
      <c r="AL51" s="674"/>
      <c r="AM51" s="674"/>
      <c r="AN51" s="674"/>
      <c r="AO51" s="674"/>
      <c r="AP51" s="674"/>
      <c r="AQ51" s="674"/>
      <c r="AR51" s="674"/>
      <c r="AS51" s="674"/>
      <c r="AT51" s="674"/>
      <c r="AU51" s="674"/>
      <c r="AV51" s="674"/>
      <c r="AW51" s="674"/>
      <c r="AX51" s="674"/>
      <c r="AY51" s="674"/>
      <c r="AZ51" s="1746" t="s">
        <v>2549</v>
      </c>
      <c r="BA51" s="1746"/>
      <c r="BB51" s="1746"/>
      <c r="BC51" s="1746"/>
      <c r="BD51" s="1746"/>
      <c r="BE51" s="1746"/>
      <c r="BF51" s="1746"/>
      <c r="BG51" s="1746"/>
      <c r="BH51" s="1746"/>
      <c r="BI51" s="674"/>
      <c r="BJ51" s="1744"/>
      <c r="BK51" s="1744"/>
      <c r="BL51" s="674"/>
      <c r="BM51" s="674"/>
      <c r="BN51" s="674"/>
      <c r="BO51" s="674"/>
      <c r="BP51" s="674"/>
      <c r="BQ51" s="674"/>
      <c r="BR51" s="1659"/>
      <c r="BS51" s="674"/>
      <c r="BT51" s="665" t="s">
        <v>32</v>
      </c>
      <c r="BU51" s="679" t="s">
        <v>2171</v>
      </c>
      <c r="BV51" s="10"/>
      <c r="BW51" s="10"/>
      <c r="BX51" s="674"/>
      <c r="BY51" s="674"/>
      <c r="BZ51" s="674"/>
      <c r="CA51" s="674"/>
      <c r="CB51" s="674"/>
      <c r="CC51" s="674"/>
      <c r="CD51" s="674"/>
    </row>
    <row r="52" spans="9:82" s="11" customFormat="1"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43"/>
      <c r="W52" s="10"/>
      <c r="X52" s="10"/>
      <c r="Y52" s="10"/>
      <c r="Z52" s="10"/>
      <c r="AA52" s="10"/>
      <c r="AB52" s="348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Y52" s="10"/>
      <c r="BZ52" s="10"/>
      <c r="CA52" s="10"/>
      <c r="CB52" s="10"/>
      <c r="CC52" s="10"/>
      <c r="CD52" s="10"/>
    </row>
    <row r="53" spans="9:82">
      <c r="I53" s="252"/>
      <c r="J53" s="687"/>
      <c r="K53" s="687"/>
      <c r="L53" s="687"/>
      <c r="M53" s="687"/>
      <c r="N53" s="687"/>
      <c r="O53" s="687"/>
      <c r="P53" s="687"/>
      <c r="Q53" s="687"/>
      <c r="R53" s="687"/>
      <c r="S53" s="687"/>
      <c r="T53" s="687"/>
      <c r="U53" s="687"/>
      <c r="V53" s="348"/>
      <c r="W53" s="348"/>
      <c r="X53" s="691"/>
      <c r="Y53" s="691"/>
      <c r="Z53" s="252"/>
      <c r="AA53" s="348"/>
      <c r="AB53" s="687"/>
      <c r="AC53" s="840"/>
      <c r="AD53" s="348"/>
      <c r="AE53" s="348"/>
      <c r="AF53" s="687"/>
      <c r="AG53" s="687"/>
      <c r="AH53" s="348"/>
      <c r="AI53" s="713"/>
      <c r="AJ53" s="713"/>
      <c r="AK53" s="713"/>
      <c r="AL53" s="662"/>
      <c r="AM53" s="348"/>
      <c r="AN53" s="348"/>
      <c r="AO53" s="348"/>
      <c r="AP53" s="348"/>
      <c r="AQ53" s="252"/>
      <c r="AR53" s="687"/>
      <c r="AS53" s="687"/>
      <c r="AT53" s="687"/>
      <c r="AU53" s="687"/>
      <c r="AV53" s="687"/>
      <c r="AW53" s="687"/>
      <c r="AX53" s="348"/>
      <c r="AY53" s="348"/>
      <c r="AZ53" s="348"/>
      <c r="BA53" s="687"/>
      <c r="BB53" s="687"/>
      <c r="BC53" s="347"/>
      <c r="BD53" s="687"/>
      <c r="BE53" s="687"/>
      <c r="BF53" s="687"/>
      <c r="BG53" s="687"/>
      <c r="BH53" s="348"/>
      <c r="BI53" s="252"/>
      <c r="BJ53" s="394"/>
      <c r="BK53" s="394"/>
      <c r="BL53" s="394"/>
      <c r="BM53" s="394"/>
      <c r="BN53" s="394"/>
      <c r="BO53" s="394"/>
      <c r="BP53" s="394"/>
      <c r="BQ53" s="586"/>
      <c r="BR53" s="586"/>
      <c r="BS53" s="586"/>
      <c r="BT53" s="394"/>
      <c r="BU53" s="394"/>
      <c r="BV53" s="394"/>
      <c r="BW53" s="394"/>
      <c r="BX53" s="394"/>
      <c r="BY53" s="394"/>
      <c r="BZ53" s="394"/>
      <c r="CA53" s="394"/>
      <c r="CB53" s="394"/>
      <c r="CC53" s="394"/>
      <c r="CD53" s="394"/>
    </row>
    <row r="54" spans="9:82">
      <c r="I54" s="11"/>
      <c r="J54" s="11"/>
      <c r="K54" s="11"/>
      <c r="L54" s="215"/>
      <c r="M54" s="11"/>
      <c r="N54" s="11"/>
      <c r="O54" s="11"/>
      <c r="P54" s="11"/>
      <c r="Q54" s="11"/>
      <c r="R54" s="11"/>
      <c r="S54" s="687"/>
      <c r="T54" s="11"/>
      <c r="U54" s="11"/>
      <c r="V54" s="215"/>
      <c r="W54" s="11"/>
      <c r="X54" s="11"/>
      <c r="Y54" s="11"/>
      <c r="Z54" s="11"/>
      <c r="AA54" s="11"/>
      <c r="AB54" s="11"/>
      <c r="AC54" s="11"/>
      <c r="AD54" s="246"/>
      <c r="AE54" s="11"/>
      <c r="AF54" s="11"/>
      <c r="AG54" s="11"/>
      <c r="AH54" s="11"/>
      <c r="AI54" s="11"/>
      <c r="AJ54" s="11"/>
      <c r="AK54" s="11"/>
      <c r="AL54" s="11"/>
      <c r="AM54" s="11"/>
      <c r="AN54" s="215"/>
      <c r="AO54" s="215"/>
      <c r="AP54" s="215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215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246"/>
      <c r="CB54" s="11"/>
      <c r="CC54" s="11"/>
      <c r="CD54" s="11"/>
    </row>
    <row r="55" spans="9:82">
      <c r="I55" s="11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5"/>
      <c r="CA55" s="215"/>
      <c r="CB55" s="215"/>
      <c r="CC55" s="215"/>
      <c r="CD55" s="215"/>
    </row>
    <row r="56" spans="9:82"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348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246"/>
      <c r="CB56" s="11"/>
      <c r="CC56" s="11"/>
      <c r="CD56" s="11"/>
    </row>
    <row r="57" spans="9:82"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</row>
    <row r="58" spans="9:82">
      <c r="AE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T58" s="120"/>
      <c r="BU58" s="120"/>
      <c r="BV58" s="120"/>
      <c r="BW58" s="120"/>
    </row>
    <row r="59" spans="9:82">
      <c r="AM59" s="53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9:82">
      <c r="AD60" s="53"/>
      <c r="AE60" s="53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9:82">
      <c r="AD61" s="53"/>
      <c r="AE61" s="53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9:82">
      <c r="AD62" s="53"/>
      <c r="AE62" s="53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9:82">
      <c r="AD63" s="53"/>
      <c r="AE63" s="53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9:82">
      <c r="AD64" s="53"/>
      <c r="AE64" s="53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0:82">
      <c r="AD65" s="53"/>
      <c r="AE65" s="53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0:82">
      <c r="AD66" s="53"/>
      <c r="AE66" s="53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0:82"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</row>
    <row r="68" spans="10:82"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</row>
    <row r="69" spans="10:82"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</row>
    <row r="70" spans="10:82"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</row>
    <row r="71" spans="10:82"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</row>
    <row r="72" spans="10:82"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</row>
    <row r="73" spans="10:82"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</row>
    <row r="74" spans="10:82"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</row>
    <row r="75" spans="10:82"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</row>
    <row r="76" spans="10:82" ht="12.75" customHeight="1"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</row>
    <row r="77" spans="10:82" ht="12" customHeight="1"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</row>
    <row r="78" spans="10:82" ht="15" customHeight="1">
      <c r="AD78" s="53"/>
      <c r="AE78" s="53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0:82" ht="12" customHeight="1">
      <c r="AD79" s="53"/>
      <c r="AE79" s="53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0:82" ht="12" customHeight="1">
      <c r="AD80" s="53"/>
      <c r="AE80" s="53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30:60">
      <c r="AD81" s="53"/>
      <c r="AE81" s="53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30:60">
      <c r="AD82" s="53"/>
      <c r="AE82" s="53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30:60">
      <c r="AD83" s="53"/>
      <c r="AE83" s="53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30:60">
      <c r="AD84" s="53"/>
      <c r="AE84" s="53"/>
      <c r="AY84" s="11"/>
      <c r="AZ84" s="11"/>
      <c r="BA84" s="11"/>
      <c r="BB84" s="11"/>
      <c r="BC84" s="11"/>
      <c r="BD84" s="11"/>
      <c r="BE84" s="11"/>
      <c r="BF84" s="11"/>
      <c r="BG84" s="11"/>
      <c r="BH84" s="11"/>
    </row>
    <row r="85" spans="30:60">
      <c r="AD85" s="53"/>
      <c r="AE85" s="53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30:60">
      <c r="AD86" s="53"/>
      <c r="AE86" s="53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30:60">
      <c r="AD87" s="53"/>
      <c r="AE87" s="53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30:60">
      <c r="AD88" s="53"/>
      <c r="AE88" s="53"/>
      <c r="AY88" s="11"/>
      <c r="AZ88" s="11"/>
      <c r="BA88" s="11"/>
      <c r="BB88" s="11"/>
      <c r="BC88" s="11"/>
      <c r="BD88" s="11"/>
      <c r="BE88" s="11"/>
      <c r="BF88" s="11"/>
      <c r="BG88" s="11"/>
      <c r="BH88" s="11"/>
    </row>
    <row r="89" spans="30:60">
      <c r="AD89" s="53"/>
      <c r="AE89" s="53"/>
      <c r="AY89" s="11"/>
      <c r="AZ89" s="11"/>
      <c r="BA89" s="11"/>
      <c r="BB89" s="11"/>
      <c r="BC89" s="11"/>
      <c r="BD89" s="11"/>
      <c r="BE89" s="11"/>
      <c r="BF89" s="11"/>
      <c r="BG89" s="11"/>
      <c r="BH89" s="11"/>
    </row>
    <row r="90" spans="30:60">
      <c r="AD90" s="53"/>
      <c r="AE90" s="53"/>
      <c r="AY90" s="11"/>
      <c r="AZ90" s="11"/>
      <c r="BA90" s="11"/>
      <c r="BB90" s="11"/>
      <c r="BC90" s="11"/>
      <c r="BD90" s="11"/>
      <c r="BE90" s="11"/>
      <c r="BF90" s="11"/>
      <c r="BG90" s="11"/>
      <c r="BH90" s="11"/>
    </row>
    <row r="91" spans="30:60">
      <c r="AD91" s="53"/>
      <c r="AE91" s="53"/>
      <c r="AY91" s="11"/>
      <c r="AZ91" s="11"/>
      <c r="BA91" s="11"/>
      <c r="BB91" s="11"/>
      <c r="BC91" s="11"/>
      <c r="BD91" s="11"/>
      <c r="BE91" s="11"/>
      <c r="BF91" s="11"/>
      <c r="BG91" s="11"/>
      <c r="BH91" s="11"/>
    </row>
    <row r="92" spans="30:60">
      <c r="AD92" s="53"/>
      <c r="AE92" s="53"/>
      <c r="AY92" s="11"/>
      <c r="AZ92" s="11"/>
      <c r="BA92" s="11"/>
      <c r="BB92" s="11"/>
      <c r="BC92" s="11"/>
      <c r="BD92" s="11"/>
      <c r="BE92" s="11"/>
      <c r="BF92" s="11"/>
      <c r="BG92" s="11"/>
      <c r="BH92" s="11"/>
    </row>
    <row r="93" spans="30:60">
      <c r="AD93" s="53"/>
      <c r="AE93" s="53"/>
      <c r="AY93" s="11"/>
      <c r="AZ93" s="11"/>
      <c r="BA93" s="11"/>
      <c r="BB93" s="11"/>
      <c r="BC93" s="11"/>
      <c r="BD93" s="11"/>
      <c r="BE93" s="11"/>
      <c r="BF93" s="11"/>
      <c r="BG93" s="11"/>
      <c r="BH93" s="11"/>
    </row>
    <row r="94" spans="30:60">
      <c r="AD94" s="53"/>
      <c r="AE94" s="53"/>
      <c r="AY94" s="11"/>
      <c r="AZ94" s="11"/>
      <c r="BA94" s="11"/>
      <c r="BB94" s="11"/>
      <c r="BC94" s="11"/>
      <c r="BD94" s="11"/>
      <c r="BE94" s="11"/>
      <c r="BF94" s="11"/>
      <c r="BG94" s="11"/>
      <c r="BH94" s="11"/>
    </row>
    <row r="95" spans="30:60">
      <c r="AD95" s="53"/>
      <c r="AE95" s="53"/>
      <c r="AY95" s="11"/>
      <c r="AZ95" s="11"/>
      <c r="BA95" s="11"/>
      <c r="BB95" s="11"/>
      <c r="BC95" s="11"/>
      <c r="BD95" s="11"/>
      <c r="BE95" s="11"/>
      <c r="BF95" s="11"/>
      <c r="BG95" s="11"/>
      <c r="BH95" s="11"/>
    </row>
    <row r="96" spans="30:60">
      <c r="AD96" s="53"/>
      <c r="AE96" s="53"/>
      <c r="AY96" s="11"/>
      <c r="AZ96" s="11"/>
      <c r="BA96" s="11"/>
      <c r="BB96" s="11"/>
      <c r="BC96" s="11"/>
      <c r="BD96" s="11"/>
      <c r="BE96" s="11"/>
      <c r="BF96" s="11"/>
      <c r="BG96" s="11"/>
      <c r="BH96" s="11"/>
    </row>
    <row r="97" spans="30:60">
      <c r="AD97" s="53"/>
      <c r="AE97" s="53"/>
      <c r="AY97" s="11"/>
      <c r="AZ97" s="11"/>
      <c r="BA97" s="11"/>
      <c r="BB97" s="11"/>
      <c r="BC97" s="11"/>
      <c r="BD97" s="11"/>
      <c r="BE97" s="11"/>
      <c r="BF97" s="11"/>
      <c r="BG97" s="11"/>
      <c r="BH97" s="11"/>
    </row>
    <row r="98" spans="30:60">
      <c r="AD98" s="53"/>
      <c r="AE98" s="53"/>
      <c r="AY98" s="11"/>
      <c r="AZ98" s="11"/>
      <c r="BA98" s="11"/>
      <c r="BB98" s="11"/>
      <c r="BC98" s="11"/>
      <c r="BD98" s="11"/>
      <c r="BE98" s="11"/>
      <c r="BF98" s="11"/>
      <c r="BG98" s="11"/>
      <c r="BH98" s="11"/>
    </row>
    <row r="99" spans="30:60">
      <c r="AD99" s="53"/>
      <c r="AE99" s="53"/>
      <c r="AY99" s="11"/>
      <c r="AZ99" s="11"/>
      <c r="BA99" s="11"/>
      <c r="BB99" s="11"/>
      <c r="BC99" s="11"/>
      <c r="BD99" s="11"/>
      <c r="BE99" s="11"/>
      <c r="BF99" s="11"/>
      <c r="BG99" s="11"/>
      <c r="BH99" s="11"/>
    </row>
    <row r="100" spans="30:60">
      <c r="AD100" s="53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</row>
    <row r="101" spans="30:60">
      <c r="AD101" s="53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</row>
    <row r="102" spans="30:60">
      <c r="AD102" s="53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</row>
    <row r="103" spans="30:60"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</row>
    <row r="104" spans="30:60"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</row>
    <row r="105" spans="30:60"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</row>
  </sheetData>
  <mergeCells count="117">
    <mergeCell ref="C16:G17"/>
    <mergeCell ref="AY1:BE1"/>
    <mergeCell ref="AV1:AX1"/>
    <mergeCell ref="AW2:AX2"/>
    <mergeCell ref="BD3:BH3"/>
    <mergeCell ref="AX4:AX5"/>
    <mergeCell ref="BG2:BH2"/>
    <mergeCell ref="BF1:BH1"/>
    <mergeCell ref="AN1:AP1"/>
    <mergeCell ref="AO2:AP2"/>
    <mergeCell ref="AN4:AN5"/>
    <mergeCell ref="AP4:AP5"/>
    <mergeCell ref="AM3:AP3"/>
    <mergeCell ref="AS4:AS5"/>
    <mergeCell ref="AM4:AM5"/>
    <mergeCell ref="AQ3:AQ6"/>
    <mergeCell ref="AR3:AU3"/>
    <mergeCell ref="AE1:AH1"/>
    <mergeCell ref="AI4:AI5"/>
    <mergeCell ref="AG2:AH2"/>
    <mergeCell ref="W1:Y1"/>
    <mergeCell ref="X4:X5"/>
    <mergeCell ref="AE3:AH3"/>
    <mergeCell ref="AH4:AH5"/>
    <mergeCell ref="AZ51:BH51"/>
    <mergeCell ref="BJ49:BR49"/>
    <mergeCell ref="AZ50:BH50"/>
    <mergeCell ref="BD4:BE4"/>
    <mergeCell ref="BC3:BC5"/>
    <mergeCell ref="AV4:AV5"/>
    <mergeCell ref="BJ48:BR48"/>
    <mergeCell ref="BA4:BA5"/>
    <mergeCell ref="BR3:BR5"/>
    <mergeCell ref="BP4:BP5"/>
    <mergeCell ref="AZ49:BH49"/>
    <mergeCell ref="AY3:BA3"/>
    <mergeCell ref="BB3:BB5"/>
    <mergeCell ref="BJ51:BK51"/>
    <mergeCell ref="BJ3:BN3"/>
    <mergeCell ref="BK4:BK5"/>
    <mergeCell ref="BO3:BO5"/>
    <mergeCell ref="BI3:BI6"/>
    <mergeCell ref="BH4:BH5"/>
    <mergeCell ref="AY4:AY5"/>
    <mergeCell ref="AW4:AW5"/>
    <mergeCell ref="BF4:BG4"/>
    <mergeCell ref="AI1:AJ1"/>
    <mergeCell ref="AJ4:AJ5"/>
    <mergeCell ref="AI3:AL3"/>
    <mergeCell ref="I1:Q1"/>
    <mergeCell ref="AA3:AD3"/>
    <mergeCell ref="Z3:Z6"/>
    <mergeCell ref="AC4:AC5"/>
    <mergeCell ref="AD4:AD5"/>
    <mergeCell ref="M3:M5"/>
    <mergeCell ref="N3:N5"/>
    <mergeCell ref="V3:Y3"/>
    <mergeCell ref="X2:Y2"/>
    <mergeCell ref="P2:Q2"/>
    <mergeCell ref="I3:I6"/>
    <mergeCell ref="J4:J5"/>
    <mergeCell ref="P4:P5"/>
    <mergeCell ref="L4:L5"/>
    <mergeCell ref="W4:W5"/>
    <mergeCell ref="J3:L3"/>
    <mergeCell ref="AU4:AU5"/>
    <mergeCell ref="AZ4:AZ5"/>
    <mergeCell ref="T4:T5"/>
    <mergeCell ref="Y4:Y5"/>
    <mergeCell ref="U3:U5"/>
    <mergeCell ref="V4:V5"/>
    <mergeCell ref="AT4:AT5"/>
    <mergeCell ref="AR4:AR5"/>
    <mergeCell ref="AO4:AO5"/>
    <mergeCell ref="AF4:AF5"/>
    <mergeCell ref="AG4:AG5"/>
    <mergeCell ref="AJ48:AP48"/>
    <mergeCell ref="BS3:BS5"/>
    <mergeCell ref="BX4:BX5"/>
    <mergeCell ref="BT4:BT5"/>
    <mergeCell ref="BW4:BW5"/>
    <mergeCell ref="J50:Q50"/>
    <mergeCell ref="AA50:AH50"/>
    <mergeCell ref="J49:Q49"/>
    <mergeCell ref="S48:Y48"/>
    <mergeCell ref="AA48:AH48"/>
    <mergeCell ref="S49:T49"/>
    <mergeCell ref="J48:Q48"/>
    <mergeCell ref="AJ49:AP49"/>
    <mergeCell ref="O4:O5"/>
    <mergeCell ref="AB4:AB5"/>
    <mergeCell ref="AE4:AE5"/>
    <mergeCell ref="AA4:AA5"/>
    <mergeCell ref="AK4:AK5"/>
    <mergeCell ref="AL4:AL5"/>
    <mergeCell ref="AV3:AX3"/>
    <mergeCell ref="K4:K5"/>
    <mergeCell ref="R4:S4"/>
    <mergeCell ref="O3:Q3"/>
    <mergeCell ref="R3:T3"/>
    <mergeCell ref="BR2:BS2"/>
    <mergeCell ref="CB4:CD4"/>
    <mergeCell ref="BT3:CD3"/>
    <mergeCell ref="BJ4:BJ5"/>
    <mergeCell ref="BL4:BL5"/>
    <mergeCell ref="BM4:BM5"/>
    <mergeCell ref="CB1:CD1"/>
    <mergeCell ref="CC2:CD2"/>
    <mergeCell ref="BT1:BV1"/>
    <mergeCell ref="BP1:BS1"/>
    <mergeCell ref="BT2:BU2"/>
    <mergeCell ref="BU4:BU5"/>
    <mergeCell ref="BV4:BV5"/>
    <mergeCell ref="BN4:BN5"/>
    <mergeCell ref="BP3:BQ3"/>
    <mergeCell ref="BQ4:BQ5"/>
    <mergeCell ref="BY4:CA4"/>
  </mergeCells>
  <phoneticPr fontId="4" type="noConversion"/>
  <conditionalFormatting sqref="Z16:Z17 AQ16:AQ17 BI16:BI17 I16:I17">
    <cfRule type="expression" priority="85" stopIfTrue="1">
      <formula>MOD(row,0)=0</formula>
    </cfRule>
  </conditionalFormatting>
  <conditionalFormatting sqref="Z17 AQ17 BI17 I17">
    <cfRule type="expression" dxfId="9" priority="81" stopIfTrue="1">
      <formula>MOD(ROW(),2)=1</formula>
    </cfRule>
  </conditionalFormatting>
  <conditionalFormatting sqref="Z17 AQ17 BI17 I17">
    <cfRule type="expression" dxfId="8" priority="79" stopIfTrue="1">
      <formula>MOD(ROW(),2)=1</formula>
    </cfRule>
    <cfRule type="expression" priority="80" stopIfTrue="1">
      <formula>MOD(ROW(),2)=1</formula>
    </cfRule>
  </conditionalFormatting>
  <conditionalFormatting sqref="AQ17 Z17 BI17 I17">
    <cfRule type="expression" priority="77" stopIfTrue="1">
      <formula>MOD((((#REF!))),0)=0</formula>
    </cfRule>
  </conditionalFormatting>
  <conditionalFormatting sqref="Z17 AQ17 BI17">
    <cfRule type="expression" priority="46" stopIfTrue="1">
      <formula>MOD((((#REF!))),0)=0</formula>
    </cfRule>
  </conditionalFormatting>
  <pageMargins left="0.62992125984252001" right="0.511811023622047" top="0.31496062992126" bottom="2.5590551E-2" header="0" footer="6.4960630000000005E-2"/>
  <pageSetup paperSize="141" orientation="portrait" useFirstPageNumber="1" r:id="rId1"/>
  <headerFooter differentFirst="1" alignWithMargins="0">
    <oddFooter>&amp;C&amp;"Times New Roman,Regular"&amp;8&amp;P</oddFoot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1:BQ71"/>
  <sheetViews>
    <sheetView zoomScale="140" zoomScaleNormal="140" workbookViewId="0">
      <pane xSplit="1" ySplit="7" topLeftCell="B38" activePane="bottomRight" state="frozen"/>
      <selection pane="topRight" activeCell="C1" sqref="C1"/>
      <selection pane="bottomLeft" activeCell="A9" sqref="A9"/>
      <selection pane="bottomRight" activeCell="K59" sqref="K59"/>
    </sheetView>
  </sheetViews>
  <sheetFormatPr defaultColWidth="9.140625" defaultRowHeight="11.25"/>
  <cols>
    <col min="1" max="1" width="8.85546875" style="10" customWidth="1"/>
    <col min="2" max="3" width="9.28515625" style="10" customWidth="1"/>
    <col min="4" max="4" width="9.5703125" style="10" customWidth="1"/>
    <col min="5" max="5" width="9.28515625" style="10" customWidth="1"/>
    <col min="6" max="6" width="9.140625" style="10" customWidth="1"/>
    <col min="7" max="7" width="8" style="10" customWidth="1"/>
    <col min="8" max="8" width="6.42578125" style="10" customWidth="1"/>
    <col min="9" max="9" width="7" style="10" customWidth="1"/>
    <col min="10" max="10" width="6.7109375" style="10" customWidth="1"/>
    <col min="11" max="11" width="12.28515625" style="10" customWidth="1"/>
    <col min="12" max="12" width="14.5703125" style="10" customWidth="1"/>
    <col min="13" max="13" width="14.28515625" style="10" customWidth="1"/>
    <col min="14" max="14" width="14.140625" style="10" customWidth="1"/>
    <col min="15" max="15" width="15" style="10" customWidth="1"/>
    <col min="16" max="16" width="10.85546875" style="10" customWidth="1"/>
    <col min="17" max="16384" width="9.140625" style="10"/>
  </cols>
  <sheetData>
    <row r="1" spans="1:69" s="47" customFormat="1" ht="15.75">
      <c r="A1" s="1804"/>
      <c r="B1" s="1804"/>
      <c r="C1" s="1804"/>
      <c r="D1" s="1804"/>
      <c r="E1" s="1804"/>
      <c r="F1" s="1804"/>
      <c r="G1" s="1784" t="s">
        <v>176</v>
      </c>
      <c r="H1" s="1784"/>
      <c r="I1" s="1784"/>
      <c r="J1" s="1784"/>
      <c r="K1" s="57" t="s">
        <v>533</v>
      </c>
      <c r="L1" s="48"/>
      <c r="M1" s="48"/>
      <c r="N1" s="48"/>
      <c r="O1" s="1790" t="s">
        <v>256</v>
      </c>
      <c r="P1" s="1790"/>
      <c r="Q1" s="48"/>
      <c r="R1" s="48"/>
      <c r="S1" s="48"/>
    </row>
    <row r="2" spans="1:69" s="2" customFormat="1" ht="12.75" customHeight="1">
      <c r="A2" s="284"/>
      <c r="B2" s="284"/>
      <c r="C2" s="284"/>
      <c r="D2" s="284"/>
      <c r="E2" s="284"/>
      <c r="F2" s="1789" t="s">
        <v>1292</v>
      </c>
      <c r="G2" s="1789"/>
      <c r="H2" s="1789"/>
      <c r="I2" s="1789"/>
      <c r="J2" s="1789"/>
      <c r="K2" s="249" t="s">
        <v>2208</v>
      </c>
      <c r="L2" s="249"/>
      <c r="O2" s="1791"/>
      <c r="P2" s="1791"/>
    </row>
    <row r="3" spans="1:69" s="263" customFormat="1" ht="23.25" customHeight="1">
      <c r="A3" s="1787" t="s">
        <v>764</v>
      </c>
      <c r="B3" s="1810" t="s">
        <v>1367</v>
      </c>
      <c r="C3" s="1810"/>
      <c r="D3" s="1810"/>
      <c r="E3" s="1811"/>
      <c r="F3" s="1792" t="s">
        <v>862</v>
      </c>
      <c r="G3" s="1793"/>
      <c r="H3" s="1793"/>
      <c r="I3" s="1793"/>
      <c r="J3" s="1794"/>
      <c r="K3" s="1797" t="s">
        <v>1009</v>
      </c>
      <c r="L3" s="1809"/>
      <c r="M3" s="1798"/>
      <c r="N3" s="1797" t="s">
        <v>494</v>
      </c>
      <c r="O3" s="1798"/>
      <c r="P3" s="1799" t="s">
        <v>764</v>
      </c>
    </row>
    <row r="4" spans="1:69" s="263" customFormat="1" ht="23.25" customHeight="1">
      <c r="A4" s="1787"/>
      <c r="B4" s="1812"/>
      <c r="C4" s="1812"/>
      <c r="D4" s="1812"/>
      <c r="E4" s="1813"/>
      <c r="F4" s="1730" t="s">
        <v>251</v>
      </c>
      <c r="G4" s="1730"/>
      <c r="H4" s="1743" t="s">
        <v>1384</v>
      </c>
      <c r="I4" s="1743"/>
      <c r="J4" s="1743"/>
      <c r="K4" s="1802" t="s">
        <v>252</v>
      </c>
      <c r="L4" s="1803"/>
      <c r="M4" s="1738" t="s">
        <v>1531</v>
      </c>
      <c r="N4" s="1795" t="s">
        <v>1934</v>
      </c>
      <c r="O4" s="1796"/>
      <c r="P4" s="1800"/>
    </row>
    <row r="5" spans="1:69" s="263" customFormat="1" ht="21.75" customHeight="1">
      <c r="A5" s="1787"/>
      <c r="B5" s="1807" t="s">
        <v>1363</v>
      </c>
      <c r="C5" s="1785" t="s">
        <v>1364</v>
      </c>
      <c r="D5" s="1785" t="s">
        <v>1365</v>
      </c>
      <c r="E5" s="1785" t="s">
        <v>1366</v>
      </c>
      <c r="F5" s="1730" t="s">
        <v>863</v>
      </c>
      <c r="G5" s="1730" t="s">
        <v>864</v>
      </c>
      <c r="H5" s="1730" t="s">
        <v>1368</v>
      </c>
      <c r="I5" s="1730" t="s">
        <v>250</v>
      </c>
      <c r="J5" s="1730" t="s">
        <v>773</v>
      </c>
      <c r="K5" s="1738" t="s">
        <v>1933</v>
      </c>
      <c r="L5" s="1738" t="s">
        <v>2158</v>
      </c>
      <c r="M5" s="1763"/>
      <c r="N5" s="1738" t="s">
        <v>1719</v>
      </c>
      <c r="O5" s="1738" t="s">
        <v>1718</v>
      </c>
      <c r="P5" s="1800"/>
    </row>
    <row r="6" spans="1:69" s="263" customFormat="1" ht="14.25" customHeight="1">
      <c r="A6" s="1787"/>
      <c r="B6" s="1808"/>
      <c r="C6" s="1786"/>
      <c r="D6" s="1786"/>
      <c r="E6" s="1786"/>
      <c r="F6" s="1731"/>
      <c r="G6" s="1731"/>
      <c r="H6" s="1731"/>
      <c r="I6" s="1731"/>
      <c r="J6" s="1731"/>
      <c r="K6" s="1739"/>
      <c r="L6" s="1739"/>
      <c r="M6" s="1739"/>
      <c r="N6" s="1739"/>
      <c r="O6" s="1739"/>
      <c r="P6" s="1800"/>
    </row>
    <row r="7" spans="1:69" s="38" customFormat="1" ht="12.75" customHeight="1">
      <c r="A7" s="1787"/>
      <c r="B7" s="1130">
        <v>1</v>
      </c>
      <c r="C7" s="49">
        <v>2</v>
      </c>
      <c r="D7" s="49">
        <v>3</v>
      </c>
      <c r="E7" s="49">
        <v>4</v>
      </c>
      <c r="F7" s="49">
        <v>5</v>
      </c>
      <c r="G7" s="49">
        <v>6</v>
      </c>
      <c r="H7" s="49">
        <v>7</v>
      </c>
      <c r="I7" s="49">
        <v>8</v>
      </c>
      <c r="J7" s="49">
        <v>9</v>
      </c>
      <c r="K7" s="49">
        <v>10</v>
      </c>
      <c r="L7" s="49">
        <v>11</v>
      </c>
      <c r="M7" s="49">
        <v>12</v>
      </c>
      <c r="N7" s="49">
        <v>13</v>
      </c>
      <c r="O7" s="49">
        <v>14</v>
      </c>
      <c r="P7" s="1801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</row>
    <row r="8" spans="1:69" s="143" customFormat="1" ht="11.1" customHeight="1">
      <c r="A8" s="541" t="s">
        <v>114</v>
      </c>
      <c r="B8" s="333" t="s">
        <v>505</v>
      </c>
      <c r="C8" s="333">
        <v>2.25</v>
      </c>
      <c r="D8" s="333" t="s">
        <v>505</v>
      </c>
      <c r="E8" s="333">
        <v>6.66</v>
      </c>
      <c r="F8" s="333" t="s">
        <v>505</v>
      </c>
      <c r="G8" s="333" t="s">
        <v>505</v>
      </c>
      <c r="H8" s="333">
        <v>413</v>
      </c>
      <c r="I8" s="333">
        <v>55</v>
      </c>
      <c r="J8" s="333">
        <v>473</v>
      </c>
      <c r="K8" s="333">
        <v>15565.2</v>
      </c>
      <c r="L8" s="342">
        <v>22507.1</v>
      </c>
      <c r="M8" s="342">
        <v>7470.9</v>
      </c>
      <c r="N8" s="554">
        <v>68.802999999999997</v>
      </c>
      <c r="O8" s="554">
        <v>69.06</v>
      </c>
      <c r="P8" s="553" t="s">
        <v>114</v>
      </c>
      <c r="S8" s="333"/>
      <c r="T8" s="333"/>
      <c r="U8" s="333"/>
    </row>
    <row r="9" spans="1:69" s="143" customFormat="1" ht="11.1" customHeight="1">
      <c r="A9" s="498" t="s">
        <v>110</v>
      </c>
      <c r="B9" s="438" t="s">
        <v>505</v>
      </c>
      <c r="C9" s="439">
        <v>8.6999999999999993</v>
      </c>
      <c r="D9" s="438" t="s">
        <v>505</v>
      </c>
      <c r="E9" s="439">
        <v>7.31</v>
      </c>
      <c r="F9" s="438" t="s">
        <v>505</v>
      </c>
      <c r="G9" s="438" t="s">
        <v>505</v>
      </c>
      <c r="H9" s="438">
        <v>442</v>
      </c>
      <c r="I9" s="438">
        <v>65</v>
      </c>
      <c r="J9" s="438">
        <v>517</v>
      </c>
      <c r="K9" s="438">
        <v>16204.7</v>
      </c>
      <c r="L9" s="432">
        <v>23738.400000000001</v>
      </c>
      <c r="M9" s="432">
        <v>10749.7</v>
      </c>
      <c r="N9" s="544">
        <v>69.184200000000004</v>
      </c>
      <c r="O9" s="544">
        <v>69.441000000000003</v>
      </c>
      <c r="P9" s="545" t="s">
        <v>110</v>
      </c>
    </row>
    <row r="10" spans="1:69" s="555" customFormat="1" ht="11.1" customHeight="1">
      <c r="A10" s="541" t="s">
        <v>253</v>
      </c>
      <c r="B10" s="333">
        <v>11.14</v>
      </c>
      <c r="C10" s="333">
        <v>10.17</v>
      </c>
      <c r="D10" s="333" t="s">
        <v>505</v>
      </c>
      <c r="E10" s="518">
        <v>8.8000000000000007</v>
      </c>
      <c r="F10" s="333" t="s">
        <v>505</v>
      </c>
      <c r="G10" s="333" t="s">
        <v>505</v>
      </c>
      <c r="H10" s="718">
        <v>520.5</v>
      </c>
      <c r="I10" s="718">
        <v>58.416666666666664</v>
      </c>
      <c r="J10" s="718">
        <v>596.14806625547919</v>
      </c>
      <c r="K10" s="342">
        <v>22928.2</v>
      </c>
      <c r="L10" s="342">
        <v>33657.5</v>
      </c>
      <c r="M10" s="342">
        <v>10911.6</v>
      </c>
      <c r="N10" s="554">
        <v>71.216399999999993</v>
      </c>
      <c r="O10" s="554">
        <v>74.149299999999997</v>
      </c>
      <c r="P10" s="553" t="s">
        <v>253</v>
      </c>
    </row>
    <row r="11" spans="1:69" s="555" customFormat="1" ht="11.1" customHeight="1">
      <c r="A11" s="498" t="s">
        <v>1169</v>
      </c>
      <c r="B11" s="438">
        <v>5.54</v>
      </c>
      <c r="C11" s="438">
        <v>8.56</v>
      </c>
      <c r="D11" s="438" t="s">
        <v>505</v>
      </c>
      <c r="E11" s="439">
        <v>10.62</v>
      </c>
      <c r="F11" s="438" t="s">
        <v>505</v>
      </c>
      <c r="G11" s="438" t="s">
        <v>505</v>
      </c>
      <c r="H11" s="440">
        <v>570.41666666666663</v>
      </c>
      <c r="I11" s="440">
        <v>73.75</v>
      </c>
      <c r="J11" s="440">
        <v>651.7398366887777</v>
      </c>
      <c r="K11" s="432">
        <v>24302.000000000004</v>
      </c>
      <c r="L11" s="432">
        <v>35516.300000000003</v>
      </c>
      <c r="M11" s="432">
        <v>10364.4</v>
      </c>
      <c r="N11" s="544">
        <v>79.2102</v>
      </c>
      <c r="O11" s="544">
        <v>81.815799999999996</v>
      </c>
      <c r="P11" s="545" t="s">
        <v>1169</v>
      </c>
    </row>
    <row r="12" spans="1:69" s="555" customFormat="1" ht="11.1" customHeight="1">
      <c r="A12" s="391" t="s">
        <v>1361</v>
      </c>
      <c r="B12" s="393">
        <v>8.0500000000000007</v>
      </c>
      <c r="C12" s="393">
        <v>7.97</v>
      </c>
      <c r="D12" s="393">
        <v>6.78</v>
      </c>
      <c r="E12" s="394">
        <v>7.7</v>
      </c>
      <c r="F12" s="393" t="s">
        <v>505</v>
      </c>
      <c r="G12" s="393" t="s">
        <v>505</v>
      </c>
      <c r="H12" s="586">
        <v>620.91666666666663</v>
      </c>
      <c r="I12" s="586">
        <v>83.75</v>
      </c>
      <c r="J12" s="586">
        <v>708.87122270064776</v>
      </c>
      <c r="K12" s="348">
        <v>27027.45</v>
      </c>
      <c r="L12" s="348">
        <v>34083.599999999999</v>
      </c>
      <c r="M12" s="348">
        <v>15315.2</v>
      </c>
      <c r="N12" s="559">
        <v>79.935900000000004</v>
      </c>
      <c r="O12" s="559">
        <v>77.759299999999996</v>
      </c>
      <c r="P12" s="583" t="s">
        <v>1361</v>
      </c>
    </row>
    <row r="13" spans="1:69" s="393" customFormat="1" ht="11.1" customHeight="1">
      <c r="A13" s="498" t="s">
        <v>1693</v>
      </c>
      <c r="B13" s="439">
        <v>6.97</v>
      </c>
      <c r="C13" s="439" t="s">
        <v>505</v>
      </c>
      <c r="D13" s="439">
        <v>7.35</v>
      </c>
      <c r="E13" s="439" t="s">
        <v>505</v>
      </c>
      <c r="F13" s="439" t="s">
        <v>505</v>
      </c>
      <c r="G13" s="439" t="s">
        <v>505</v>
      </c>
      <c r="H13" s="439" t="s">
        <v>505</v>
      </c>
      <c r="I13" s="439" t="s">
        <v>505</v>
      </c>
      <c r="J13" s="439" t="s">
        <v>505</v>
      </c>
      <c r="K13" s="432">
        <v>30186.62</v>
      </c>
      <c r="L13" s="432">
        <v>40731.9</v>
      </c>
      <c r="M13" s="432">
        <v>21507.992999999999</v>
      </c>
      <c r="N13" s="544">
        <v>77.72</v>
      </c>
      <c r="O13" s="544">
        <v>77.63</v>
      </c>
      <c r="P13" s="545" t="s">
        <v>1693</v>
      </c>
    </row>
    <row r="14" spans="1:69" s="393" customFormat="1" ht="11.1" customHeight="1">
      <c r="A14" s="391" t="s">
        <v>1795</v>
      </c>
      <c r="B14" s="394">
        <v>6.25</v>
      </c>
      <c r="C14" s="394" t="s">
        <v>505</v>
      </c>
      <c r="D14" s="394">
        <v>6.4</v>
      </c>
      <c r="E14" s="394" t="s">
        <v>505</v>
      </c>
      <c r="F14" s="394" t="s">
        <v>505</v>
      </c>
      <c r="G14" s="394" t="s">
        <v>505</v>
      </c>
      <c r="H14" s="394" t="s">
        <v>505</v>
      </c>
      <c r="I14" s="394" t="s">
        <v>505</v>
      </c>
      <c r="J14" s="394" t="s">
        <v>505</v>
      </c>
      <c r="K14" s="348">
        <v>31208.949999999997</v>
      </c>
      <c r="L14" s="348">
        <v>40579.300000000003</v>
      </c>
      <c r="M14" s="348">
        <v>25025.200000000001</v>
      </c>
      <c r="N14" s="559">
        <v>77.674999999999997</v>
      </c>
      <c r="O14" s="559">
        <v>77.800399999999996</v>
      </c>
      <c r="P14" s="583" t="s">
        <v>1795</v>
      </c>
    </row>
    <row r="15" spans="1:69" s="393" customFormat="1" ht="11.1" customHeight="1">
      <c r="A15" s="556" t="s">
        <v>1996</v>
      </c>
      <c r="B15" s="517">
        <v>5.53</v>
      </c>
      <c r="C15" s="517" t="s">
        <v>505</v>
      </c>
      <c r="D15" s="517">
        <v>5.92</v>
      </c>
      <c r="E15" s="517" t="s">
        <v>505</v>
      </c>
      <c r="F15" s="517" t="s">
        <v>505</v>
      </c>
      <c r="G15" s="517" t="s">
        <v>505</v>
      </c>
      <c r="H15" s="517" t="s">
        <v>505</v>
      </c>
      <c r="I15" s="517" t="s">
        <v>505</v>
      </c>
      <c r="J15" s="517" t="s">
        <v>505</v>
      </c>
      <c r="K15" s="516">
        <v>34257.18</v>
      </c>
      <c r="L15" s="516">
        <v>40097.399999999994</v>
      </c>
      <c r="M15" s="516">
        <v>30168.23</v>
      </c>
      <c r="N15" s="809">
        <v>78.268600000000006</v>
      </c>
      <c r="O15" s="809">
        <v>78.400000000000006</v>
      </c>
      <c r="P15" s="557" t="s">
        <v>1996</v>
      </c>
    </row>
    <row r="16" spans="1:69" s="393" customFormat="1" ht="11.1" customHeight="1">
      <c r="A16" s="558" t="s">
        <v>2092</v>
      </c>
      <c r="B16" s="530">
        <f>B28</f>
        <v>5.94</v>
      </c>
      <c r="C16" s="530" t="s">
        <v>505</v>
      </c>
      <c r="D16" s="530">
        <f>D28</f>
        <v>5.44</v>
      </c>
      <c r="E16" s="530" t="s">
        <v>505</v>
      </c>
      <c r="F16" s="530" t="s">
        <v>505</v>
      </c>
      <c r="G16" s="530" t="s">
        <v>505</v>
      </c>
      <c r="H16" s="530" t="s">
        <v>505</v>
      </c>
      <c r="I16" s="530" t="s">
        <v>505</v>
      </c>
      <c r="J16" s="530" t="s">
        <v>505</v>
      </c>
      <c r="K16" s="529">
        <f>SUM(K17:K28)</f>
        <v>34655.899999999994</v>
      </c>
      <c r="L16" s="529">
        <f>SUM(L17:L28)</f>
        <v>43540.840000000004</v>
      </c>
      <c r="M16" s="529">
        <f>M28</f>
        <v>33492.949999999997</v>
      </c>
      <c r="N16" s="739">
        <v>79.132999999999996</v>
      </c>
      <c r="O16" s="739">
        <f>O28</f>
        <v>80.598799999999997</v>
      </c>
      <c r="P16" s="560" t="s">
        <v>2092</v>
      </c>
    </row>
    <row r="17" spans="1:16" s="393" customFormat="1" ht="11.1" customHeight="1">
      <c r="A17" s="498" t="s">
        <v>843</v>
      </c>
      <c r="B17" s="439">
        <v>5.4</v>
      </c>
      <c r="C17" s="439" t="s">
        <v>505</v>
      </c>
      <c r="D17" s="439">
        <v>5.84</v>
      </c>
      <c r="E17" s="439" t="s">
        <v>505</v>
      </c>
      <c r="F17" s="439" t="s">
        <v>505</v>
      </c>
      <c r="G17" s="439" t="s">
        <v>505</v>
      </c>
      <c r="H17" s="439" t="s">
        <v>505</v>
      </c>
      <c r="I17" s="439" t="s">
        <v>505</v>
      </c>
      <c r="J17" s="439" t="s">
        <v>505</v>
      </c>
      <c r="K17" s="432">
        <v>2534.31</v>
      </c>
      <c r="L17" s="432">
        <v>2980.7999999999997</v>
      </c>
      <c r="M17" s="432">
        <v>30039.29</v>
      </c>
      <c r="N17" s="544">
        <v>78.400000000000006</v>
      </c>
      <c r="O17" s="544">
        <v>78.400000000000006</v>
      </c>
      <c r="P17" s="545" t="s">
        <v>843</v>
      </c>
    </row>
    <row r="18" spans="1:16" s="393" customFormat="1" ht="11.1" customHeight="1">
      <c r="A18" s="391" t="s">
        <v>844</v>
      </c>
      <c r="B18" s="394">
        <v>5.37</v>
      </c>
      <c r="C18" s="394" t="s">
        <v>505</v>
      </c>
      <c r="D18" s="394">
        <v>5.77</v>
      </c>
      <c r="E18" s="394" t="s">
        <v>505</v>
      </c>
      <c r="F18" s="394" t="s">
        <v>505</v>
      </c>
      <c r="G18" s="394" t="s">
        <v>505</v>
      </c>
      <c r="H18" s="394" t="s">
        <v>505</v>
      </c>
      <c r="I18" s="394" t="s">
        <v>505</v>
      </c>
      <c r="J18" s="394" t="s">
        <v>505</v>
      </c>
      <c r="K18" s="348">
        <v>3288.65</v>
      </c>
      <c r="L18" s="348">
        <v>3461.8</v>
      </c>
      <c r="M18" s="348">
        <v>31165.06</v>
      </c>
      <c r="N18" s="559">
        <v>78.400000000000006</v>
      </c>
      <c r="O18" s="559">
        <v>78.400000000000006</v>
      </c>
      <c r="P18" s="583" t="s">
        <v>844</v>
      </c>
    </row>
    <row r="19" spans="1:16" s="393" customFormat="1" ht="11.1" customHeight="1">
      <c r="A19" s="498" t="s">
        <v>838</v>
      </c>
      <c r="B19" s="439">
        <v>5.53</v>
      </c>
      <c r="C19" s="439" t="s">
        <v>505</v>
      </c>
      <c r="D19" s="439">
        <v>5.71</v>
      </c>
      <c r="E19" s="439" t="s">
        <v>505</v>
      </c>
      <c r="F19" s="439" t="s">
        <v>505</v>
      </c>
      <c r="G19" s="439" t="s">
        <v>505</v>
      </c>
      <c r="H19" s="439" t="s">
        <v>505</v>
      </c>
      <c r="I19" s="439" t="s">
        <v>505</v>
      </c>
      <c r="J19" s="439" t="s">
        <v>505</v>
      </c>
      <c r="K19" s="432">
        <v>2255.86</v>
      </c>
      <c r="L19" s="432">
        <v>3192.2999999999997</v>
      </c>
      <c r="M19" s="432">
        <v>31385.87</v>
      </c>
      <c r="N19" s="544">
        <v>78.400000000000006</v>
      </c>
      <c r="O19" s="544">
        <v>78.400000000000006</v>
      </c>
      <c r="P19" s="545" t="s">
        <v>838</v>
      </c>
    </row>
    <row r="20" spans="1:16" s="393" customFormat="1" ht="11.1" customHeight="1">
      <c r="A20" s="391" t="s">
        <v>845</v>
      </c>
      <c r="B20" s="394">
        <v>5.57</v>
      </c>
      <c r="C20" s="394" t="s">
        <v>505</v>
      </c>
      <c r="D20" s="394">
        <v>5.66</v>
      </c>
      <c r="E20" s="394" t="s">
        <v>505</v>
      </c>
      <c r="F20" s="394" t="s">
        <v>505</v>
      </c>
      <c r="G20" s="394" t="s">
        <v>505</v>
      </c>
      <c r="H20" s="394" t="s">
        <v>505</v>
      </c>
      <c r="I20" s="394" t="s">
        <v>505</v>
      </c>
      <c r="J20" s="394" t="s">
        <v>505</v>
      </c>
      <c r="K20" s="348">
        <v>2671.54</v>
      </c>
      <c r="L20" s="348">
        <v>3587.0000000000005</v>
      </c>
      <c r="M20" s="348">
        <v>31895.31</v>
      </c>
      <c r="N20" s="559">
        <v>78.400800000000004</v>
      </c>
      <c r="O20" s="559">
        <v>78.4148</v>
      </c>
      <c r="P20" s="583" t="s">
        <v>845</v>
      </c>
    </row>
    <row r="21" spans="1:16" s="393" customFormat="1" ht="11.1" customHeight="1">
      <c r="A21" s="498" t="s">
        <v>846</v>
      </c>
      <c r="B21" s="439">
        <v>5.38</v>
      </c>
      <c r="C21" s="439" t="s">
        <v>505</v>
      </c>
      <c r="D21" s="439">
        <v>5.6</v>
      </c>
      <c r="E21" s="439" t="s">
        <v>505</v>
      </c>
      <c r="F21" s="439" t="s">
        <v>505</v>
      </c>
      <c r="G21" s="439" t="s">
        <v>505</v>
      </c>
      <c r="H21" s="439" t="s">
        <v>505</v>
      </c>
      <c r="I21" s="439" t="s">
        <v>505</v>
      </c>
      <c r="J21" s="439" t="s">
        <v>505</v>
      </c>
      <c r="K21" s="437">
        <v>2878.09</v>
      </c>
      <c r="L21" s="432">
        <v>4018.1</v>
      </c>
      <c r="M21" s="432">
        <v>31370.880000000001</v>
      </c>
      <c r="N21" s="544">
        <v>78.547200000000004</v>
      </c>
      <c r="O21" s="544">
        <v>78.719700000000003</v>
      </c>
      <c r="P21" s="545" t="s">
        <v>846</v>
      </c>
    </row>
    <row r="22" spans="1:16" s="393" customFormat="1" ht="11.1" customHeight="1">
      <c r="A22" s="391" t="s">
        <v>839</v>
      </c>
      <c r="B22" s="394">
        <v>5.03</v>
      </c>
      <c r="C22" s="394" t="s">
        <v>505</v>
      </c>
      <c r="D22" s="394">
        <v>5.51</v>
      </c>
      <c r="E22" s="394" t="s">
        <v>505</v>
      </c>
      <c r="F22" s="394" t="s">
        <v>505</v>
      </c>
      <c r="G22" s="394" t="s">
        <v>505</v>
      </c>
      <c r="H22" s="394" t="s">
        <v>505</v>
      </c>
      <c r="I22" s="394" t="s">
        <v>505</v>
      </c>
      <c r="J22" s="394" t="s">
        <v>505</v>
      </c>
      <c r="K22" s="79">
        <v>3092.6</v>
      </c>
      <c r="L22" s="348">
        <v>3654.9000000000005</v>
      </c>
      <c r="M22" s="348">
        <v>32092.19</v>
      </c>
      <c r="N22" s="559">
        <v>78.804000000000002</v>
      </c>
      <c r="O22" s="559">
        <v>78.702200000000005</v>
      </c>
      <c r="P22" s="583" t="s">
        <v>839</v>
      </c>
    </row>
    <row r="23" spans="1:16" s="393" customFormat="1" ht="11.1" customHeight="1">
      <c r="A23" s="498" t="s">
        <v>847</v>
      </c>
      <c r="B23" s="439">
        <v>5.15</v>
      </c>
      <c r="C23" s="439" t="s">
        <v>505</v>
      </c>
      <c r="D23" s="439">
        <v>5.44</v>
      </c>
      <c r="E23" s="439" t="s">
        <v>505</v>
      </c>
      <c r="F23" s="439" t="s">
        <v>505</v>
      </c>
      <c r="G23" s="439" t="s">
        <v>505</v>
      </c>
      <c r="H23" s="439" t="s">
        <v>505</v>
      </c>
      <c r="I23" s="439" t="s">
        <v>505</v>
      </c>
      <c r="J23" s="439" t="s">
        <v>505</v>
      </c>
      <c r="K23" s="437">
        <v>3292.23</v>
      </c>
      <c r="L23" s="432">
        <v>4161.7</v>
      </c>
      <c r="M23" s="432">
        <v>31724.17</v>
      </c>
      <c r="N23" s="544">
        <v>78.853399999999993</v>
      </c>
      <c r="O23" s="544">
        <v>79.069500000000005</v>
      </c>
      <c r="P23" s="545" t="s">
        <v>847</v>
      </c>
    </row>
    <row r="24" spans="1:16" s="393" customFormat="1" ht="11.1" customHeight="1">
      <c r="A24" s="391" t="s">
        <v>848</v>
      </c>
      <c r="B24" s="394">
        <v>5.31</v>
      </c>
      <c r="C24" s="394" t="s">
        <v>505</v>
      </c>
      <c r="D24" s="394">
        <v>5.41</v>
      </c>
      <c r="E24" s="394" t="s">
        <v>505</v>
      </c>
      <c r="F24" s="394" t="s">
        <v>505</v>
      </c>
      <c r="G24" s="394" t="s">
        <v>505</v>
      </c>
      <c r="H24" s="394" t="s">
        <v>505</v>
      </c>
      <c r="I24" s="394" t="s">
        <v>505</v>
      </c>
      <c r="J24" s="394" t="s">
        <v>505</v>
      </c>
      <c r="K24" s="79">
        <v>2705.99</v>
      </c>
      <c r="L24" s="348">
        <v>3448.94</v>
      </c>
      <c r="M24" s="348">
        <v>32556.66</v>
      </c>
      <c r="N24" s="559">
        <v>79.236000000000004</v>
      </c>
      <c r="O24" s="559">
        <v>79.369699999999995</v>
      </c>
      <c r="P24" s="583" t="s">
        <v>848</v>
      </c>
    </row>
    <row r="25" spans="1:16" s="393" customFormat="1" ht="11.1" customHeight="1">
      <c r="A25" s="498" t="s">
        <v>840</v>
      </c>
      <c r="B25" s="439">
        <v>5.39</v>
      </c>
      <c r="C25" s="439" t="s">
        <v>505</v>
      </c>
      <c r="D25" s="439">
        <v>5.39</v>
      </c>
      <c r="E25" s="439" t="s">
        <v>505</v>
      </c>
      <c r="F25" s="439" t="s">
        <v>505</v>
      </c>
      <c r="G25" s="439" t="s">
        <v>505</v>
      </c>
      <c r="H25" s="439" t="s">
        <v>505</v>
      </c>
      <c r="I25" s="439" t="s">
        <v>505</v>
      </c>
      <c r="J25" s="439" t="s">
        <v>505</v>
      </c>
      <c r="K25" s="437">
        <v>3097.33</v>
      </c>
      <c r="L25" s="432">
        <v>3926.2</v>
      </c>
      <c r="M25" s="432">
        <v>32215.19</v>
      </c>
      <c r="N25" s="544">
        <v>79.535200000000003</v>
      </c>
      <c r="O25" s="544">
        <v>79.67</v>
      </c>
      <c r="P25" s="545" t="s">
        <v>840</v>
      </c>
    </row>
    <row r="26" spans="1:16" s="393" customFormat="1" ht="11.1" customHeight="1">
      <c r="A26" s="391" t="s">
        <v>849</v>
      </c>
      <c r="B26" s="394">
        <v>5.47</v>
      </c>
      <c r="C26" s="394" t="s">
        <v>505</v>
      </c>
      <c r="D26" s="394">
        <v>5.38</v>
      </c>
      <c r="E26" s="394" t="s">
        <v>505</v>
      </c>
      <c r="F26" s="394" t="s">
        <v>505</v>
      </c>
      <c r="G26" s="394" t="s">
        <v>505</v>
      </c>
      <c r="H26" s="394" t="s">
        <v>505</v>
      </c>
      <c r="I26" s="394" t="s">
        <v>505</v>
      </c>
      <c r="J26" s="394" t="s">
        <v>505</v>
      </c>
      <c r="K26" s="79">
        <v>2758.6</v>
      </c>
      <c r="L26" s="348">
        <v>3868.9</v>
      </c>
      <c r="M26" s="348">
        <v>32518.77</v>
      </c>
      <c r="N26" s="559">
        <v>79.8322</v>
      </c>
      <c r="O26" s="559">
        <v>80.23</v>
      </c>
      <c r="P26" s="583" t="s">
        <v>849</v>
      </c>
    </row>
    <row r="27" spans="1:16" s="393" customFormat="1" ht="11.1" customHeight="1">
      <c r="A27" s="498" t="s">
        <v>850</v>
      </c>
      <c r="B27" s="439">
        <v>5.76</v>
      </c>
      <c r="C27" s="439" t="s">
        <v>505</v>
      </c>
      <c r="D27" s="439">
        <v>5.41</v>
      </c>
      <c r="E27" s="439" t="s">
        <v>505</v>
      </c>
      <c r="F27" s="439" t="s">
        <v>505</v>
      </c>
      <c r="G27" s="439" t="s">
        <v>505</v>
      </c>
      <c r="H27" s="439" t="s">
        <v>505</v>
      </c>
      <c r="I27" s="439" t="s">
        <v>505</v>
      </c>
      <c r="J27" s="439" t="s">
        <v>505</v>
      </c>
      <c r="K27" s="437">
        <v>3047.67</v>
      </c>
      <c r="L27" s="432">
        <v>3944.2999999999993</v>
      </c>
      <c r="M27" s="432">
        <v>32245.69</v>
      </c>
      <c r="N27" s="544">
        <v>80.492599999999996</v>
      </c>
      <c r="O27" s="544">
        <v>80.551599999999993</v>
      </c>
      <c r="P27" s="545" t="s">
        <v>850</v>
      </c>
    </row>
    <row r="28" spans="1:16" s="393" customFormat="1" ht="11.1" customHeight="1">
      <c r="A28" s="391" t="s">
        <v>841</v>
      </c>
      <c r="B28" s="394">
        <v>5.94</v>
      </c>
      <c r="C28" s="394" t="s">
        <v>505</v>
      </c>
      <c r="D28" s="394">
        <v>5.44</v>
      </c>
      <c r="E28" s="394" t="s">
        <v>505</v>
      </c>
      <c r="F28" s="394" t="s">
        <v>505</v>
      </c>
      <c r="G28" s="394" t="s">
        <v>505</v>
      </c>
      <c r="H28" s="394" t="s">
        <v>505</v>
      </c>
      <c r="I28" s="394" t="s">
        <v>505</v>
      </c>
      <c r="J28" s="394" t="s">
        <v>505</v>
      </c>
      <c r="K28" s="79">
        <v>3033.03</v>
      </c>
      <c r="L28" s="348">
        <v>3295.8999999999996</v>
      </c>
      <c r="M28" s="348">
        <v>33492.949999999997</v>
      </c>
      <c r="N28" s="559">
        <v>80.587400000000002</v>
      </c>
      <c r="O28" s="559">
        <v>80.598799999999997</v>
      </c>
      <c r="P28" s="583" t="s">
        <v>841</v>
      </c>
    </row>
    <row r="29" spans="1:16" s="393" customFormat="1" ht="11.1" customHeight="1">
      <c r="A29" s="556" t="s">
        <v>2365</v>
      </c>
      <c r="B29" s="517">
        <f>B41</f>
        <v>5.54</v>
      </c>
      <c r="C29" s="517" t="s">
        <v>505</v>
      </c>
      <c r="D29" s="517">
        <f>D41</f>
        <v>5.78</v>
      </c>
      <c r="E29" s="517" t="s">
        <v>505</v>
      </c>
      <c r="F29" s="517" t="s">
        <v>505</v>
      </c>
      <c r="G29" s="517" t="s">
        <v>505</v>
      </c>
      <c r="H29" s="517" t="s">
        <v>505</v>
      </c>
      <c r="I29" s="517" t="s">
        <v>505</v>
      </c>
      <c r="J29" s="517" t="s">
        <v>505</v>
      </c>
      <c r="K29" s="516">
        <f>SUM(K30:K41)</f>
        <v>36668.170000000006</v>
      </c>
      <c r="L29" s="516">
        <f>SUM(L30:L41)</f>
        <v>52939.600000000006</v>
      </c>
      <c r="M29" s="516">
        <f>M41</f>
        <v>32943.46</v>
      </c>
      <c r="N29" s="809">
        <v>82.107699999999994</v>
      </c>
      <c r="O29" s="809">
        <f>O41</f>
        <v>83.702200000000005</v>
      </c>
      <c r="P29" s="557" t="s">
        <v>2365</v>
      </c>
    </row>
    <row r="30" spans="1:16" s="393" customFormat="1" ht="11.1" customHeight="1">
      <c r="A30" s="391" t="s">
        <v>843</v>
      </c>
      <c r="B30" s="394">
        <v>5.57</v>
      </c>
      <c r="C30" s="394" t="s">
        <v>505</v>
      </c>
      <c r="D30" s="394">
        <v>5.45</v>
      </c>
      <c r="E30" s="394" t="s">
        <v>505</v>
      </c>
      <c r="F30" s="394" t="s">
        <v>505</v>
      </c>
      <c r="G30" s="394" t="s">
        <v>505</v>
      </c>
      <c r="H30" s="394" t="s">
        <v>505</v>
      </c>
      <c r="I30" s="394" t="s">
        <v>505</v>
      </c>
      <c r="J30" s="394" t="s">
        <v>505</v>
      </c>
      <c r="K30" s="79">
        <v>2987.66</v>
      </c>
      <c r="L30" s="348">
        <v>3997.2</v>
      </c>
      <c r="M30" s="348">
        <v>32993.980000000003</v>
      </c>
      <c r="N30" s="559">
        <v>80.626300000000001</v>
      </c>
      <c r="O30" s="559">
        <v>80.66</v>
      </c>
      <c r="P30" s="583" t="s">
        <v>843</v>
      </c>
    </row>
    <row r="31" spans="1:16" s="393" customFormat="1" ht="11.1" customHeight="1">
      <c r="A31" s="498" t="s">
        <v>844</v>
      </c>
      <c r="B31" s="439">
        <v>5.89</v>
      </c>
      <c r="C31" s="439" t="s">
        <v>505</v>
      </c>
      <c r="D31" s="439">
        <v>5.5</v>
      </c>
      <c r="E31" s="439" t="s">
        <v>505</v>
      </c>
      <c r="F31" s="439" t="s">
        <v>505</v>
      </c>
      <c r="G31" s="439" t="s">
        <v>505</v>
      </c>
      <c r="H31" s="439" t="s">
        <v>505</v>
      </c>
      <c r="I31" s="439" t="s">
        <v>505</v>
      </c>
      <c r="J31" s="439" t="s">
        <v>505</v>
      </c>
      <c r="K31" s="437">
        <v>3640.94</v>
      </c>
      <c r="L31" s="432">
        <v>4045.6</v>
      </c>
      <c r="M31" s="432">
        <v>33596.25</v>
      </c>
      <c r="N31" s="544">
        <v>80.693899999999999</v>
      </c>
      <c r="O31" s="544">
        <v>80.7</v>
      </c>
      <c r="P31" s="545" t="s">
        <v>844</v>
      </c>
    </row>
    <row r="32" spans="1:16" s="393" customFormat="1" ht="11.1" customHeight="1">
      <c r="A32" s="391" t="s">
        <v>838</v>
      </c>
      <c r="B32" s="394">
        <v>6.12</v>
      </c>
      <c r="C32" s="394" t="s">
        <v>505</v>
      </c>
      <c r="D32" s="394">
        <v>5.55</v>
      </c>
      <c r="E32" s="394" t="s">
        <v>505</v>
      </c>
      <c r="F32" s="394" t="s">
        <v>505</v>
      </c>
      <c r="G32" s="394" t="s">
        <v>505</v>
      </c>
      <c r="H32" s="394" t="s">
        <v>505</v>
      </c>
      <c r="I32" s="394" t="s">
        <v>505</v>
      </c>
      <c r="J32" s="394" t="s">
        <v>505</v>
      </c>
      <c r="K32" s="79">
        <v>2034.13</v>
      </c>
      <c r="L32" s="348">
        <v>3848.4</v>
      </c>
      <c r="M32" s="348">
        <v>32816.589999999997</v>
      </c>
      <c r="N32" s="559">
        <v>80.737700000000004</v>
      </c>
      <c r="O32" s="559">
        <v>80.8</v>
      </c>
      <c r="P32" s="583" t="s">
        <v>838</v>
      </c>
    </row>
    <row r="33" spans="1:18" s="393" customFormat="1" ht="11.1" customHeight="1">
      <c r="A33" s="498" t="s">
        <v>845</v>
      </c>
      <c r="B33" s="439">
        <v>6.04</v>
      </c>
      <c r="C33" s="439" t="s">
        <v>505</v>
      </c>
      <c r="D33" s="439">
        <v>5.59</v>
      </c>
      <c r="E33" s="439" t="s">
        <v>505</v>
      </c>
      <c r="F33" s="439" t="s">
        <v>505</v>
      </c>
      <c r="G33" s="439" t="s">
        <v>505</v>
      </c>
      <c r="H33" s="439" t="s">
        <v>505</v>
      </c>
      <c r="I33" s="439" t="s">
        <v>505</v>
      </c>
      <c r="J33" s="439" t="s">
        <v>505</v>
      </c>
      <c r="K33" s="437">
        <v>2843.07</v>
      </c>
      <c r="L33" s="432">
        <v>4400.3</v>
      </c>
      <c r="M33" s="432">
        <v>33452.9</v>
      </c>
      <c r="N33" s="544">
        <v>80.821700000000007</v>
      </c>
      <c r="O33" s="544">
        <v>80.868099999999998</v>
      </c>
      <c r="P33" s="545" t="s">
        <v>845</v>
      </c>
    </row>
    <row r="34" spans="1:18" s="393" customFormat="1" ht="11.1" customHeight="1">
      <c r="A34" s="391" t="s">
        <v>846</v>
      </c>
      <c r="B34" s="394">
        <v>5.91</v>
      </c>
      <c r="C34" s="394" t="s">
        <v>505</v>
      </c>
      <c r="D34" s="394">
        <v>5.64</v>
      </c>
      <c r="E34" s="394" t="s">
        <v>505</v>
      </c>
      <c r="F34" s="394" t="s">
        <v>505</v>
      </c>
      <c r="G34" s="394" t="s">
        <v>505</v>
      </c>
      <c r="H34" s="394" t="s">
        <v>505</v>
      </c>
      <c r="I34" s="394" t="s">
        <v>505</v>
      </c>
      <c r="J34" s="394" t="s">
        <v>505</v>
      </c>
      <c r="K34" s="79">
        <v>3057.11</v>
      </c>
      <c r="L34" s="348">
        <v>4448.3999999999996</v>
      </c>
      <c r="M34" s="348">
        <v>32623.86</v>
      </c>
      <c r="N34" s="559">
        <v>81.284199999999998</v>
      </c>
      <c r="O34" s="559">
        <v>82.3</v>
      </c>
      <c r="P34" s="583" t="s">
        <v>846</v>
      </c>
    </row>
    <row r="35" spans="1:18" s="393" customFormat="1" ht="11.1" customHeight="1">
      <c r="A35" s="498" t="s">
        <v>839</v>
      </c>
      <c r="B35" s="439">
        <v>5.83</v>
      </c>
      <c r="C35" s="439" t="s">
        <v>505</v>
      </c>
      <c r="D35" s="439">
        <v>5.7</v>
      </c>
      <c r="E35" s="439" t="s">
        <v>505</v>
      </c>
      <c r="F35" s="439" t="s">
        <v>505</v>
      </c>
      <c r="G35" s="439" t="s">
        <v>505</v>
      </c>
      <c r="H35" s="439" t="s">
        <v>505</v>
      </c>
      <c r="I35" s="439" t="s">
        <v>505</v>
      </c>
      <c r="J35" s="439" t="s">
        <v>505</v>
      </c>
      <c r="K35" s="437">
        <v>3353.11</v>
      </c>
      <c r="L35" s="432">
        <v>4171.7</v>
      </c>
      <c r="M35" s="432">
        <v>33226.86</v>
      </c>
      <c r="N35" s="544">
        <v>82.549899999999994</v>
      </c>
      <c r="O35" s="544">
        <v>82.7</v>
      </c>
      <c r="P35" s="545" t="s">
        <v>839</v>
      </c>
      <c r="R35" s="1425"/>
    </row>
    <row r="36" spans="1:18" s="393" customFormat="1" ht="11.1" customHeight="1">
      <c r="A36" s="391" t="s">
        <v>847</v>
      </c>
      <c r="B36" s="394">
        <v>5.88</v>
      </c>
      <c r="C36" s="394" t="s">
        <v>505</v>
      </c>
      <c r="D36" s="394">
        <v>5.7633200488242498</v>
      </c>
      <c r="E36" s="394" t="s">
        <v>505</v>
      </c>
      <c r="F36" s="394" t="s">
        <v>505</v>
      </c>
      <c r="G36" s="394" t="s">
        <v>505</v>
      </c>
      <c r="H36" s="394" t="s">
        <v>505</v>
      </c>
      <c r="I36" s="394" t="s">
        <v>505</v>
      </c>
      <c r="J36" s="394" t="s">
        <v>505</v>
      </c>
      <c r="K36" s="79">
        <v>3408.88</v>
      </c>
      <c r="L36" s="348">
        <v>5054.5</v>
      </c>
      <c r="M36" s="348">
        <v>32694.69</v>
      </c>
      <c r="N36" s="559">
        <v>82.816800000000001</v>
      </c>
      <c r="O36" s="559">
        <v>82.9</v>
      </c>
      <c r="P36" s="583" t="s">
        <v>847</v>
      </c>
      <c r="R36" s="394"/>
    </row>
    <row r="37" spans="1:18" s="393" customFormat="1" ht="11.1" customHeight="1">
      <c r="A37" s="498" t="s">
        <v>848</v>
      </c>
      <c r="B37" s="439">
        <v>5.72</v>
      </c>
      <c r="C37" s="439" t="s">
        <v>505</v>
      </c>
      <c r="D37" s="439">
        <v>5.7965868408144328</v>
      </c>
      <c r="E37" s="439" t="s">
        <v>505</v>
      </c>
      <c r="F37" s="439" t="s">
        <v>505</v>
      </c>
      <c r="G37" s="439" t="s">
        <v>505</v>
      </c>
      <c r="H37" s="439" t="s">
        <v>505</v>
      </c>
      <c r="I37" s="439" t="s">
        <v>505</v>
      </c>
      <c r="J37" s="439" t="s">
        <v>505</v>
      </c>
      <c r="K37" s="437">
        <v>3072.15</v>
      </c>
      <c r="L37" s="432">
        <v>4369.5</v>
      </c>
      <c r="M37" s="432">
        <v>33368.99</v>
      </c>
      <c r="N37" s="544">
        <v>82.92</v>
      </c>
      <c r="O37" s="544">
        <v>82.96</v>
      </c>
      <c r="P37" s="545" t="s">
        <v>848</v>
      </c>
    </row>
    <row r="38" spans="1:18" s="393" customFormat="1" ht="11.1" customHeight="1">
      <c r="A38" s="391" t="s">
        <v>840</v>
      </c>
      <c r="B38" s="394">
        <v>5.68</v>
      </c>
      <c r="C38" s="394" t="s">
        <v>505</v>
      </c>
      <c r="D38" s="394">
        <v>5.8192592808566257</v>
      </c>
      <c r="E38" s="394" t="s">
        <v>505</v>
      </c>
      <c r="F38" s="394" t="s">
        <v>505</v>
      </c>
      <c r="G38" s="394" t="s">
        <v>505</v>
      </c>
      <c r="H38" s="394" t="s">
        <v>505</v>
      </c>
      <c r="I38" s="394" t="s">
        <v>505</v>
      </c>
      <c r="J38" s="394" t="s">
        <v>505</v>
      </c>
      <c r="K38" s="79">
        <v>3054.5</v>
      </c>
      <c r="L38" s="348">
        <v>4459.5</v>
      </c>
      <c r="M38" s="348">
        <v>32403.15</v>
      </c>
      <c r="N38" s="559">
        <v>82.96</v>
      </c>
      <c r="O38" s="559">
        <v>82.96</v>
      </c>
      <c r="P38" s="583" t="s">
        <v>840</v>
      </c>
    </row>
    <row r="39" spans="1:18" s="393" customFormat="1" ht="11.1" customHeight="1">
      <c r="A39" s="498" t="s">
        <v>849</v>
      </c>
      <c r="B39" s="439">
        <v>5.63</v>
      </c>
      <c r="C39" s="439" t="s">
        <v>505</v>
      </c>
      <c r="D39" s="439">
        <v>5.8319394201079122</v>
      </c>
      <c r="E39" s="439" t="s">
        <v>505</v>
      </c>
      <c r="F39" s="439" t="s">
        <v>505</v>
      </c>
      <c r="G39" s="439" t="s">
        <v>505</v>
      </c>
      <c r="H39" s="439" t="s">
        <v>505</v>
      </c>
      <c r="I39" s="439" t="s">
        <v>505</v>
      </c>
      <c r="J39" s="439" t="s">
        <v>505</v>
      </c>
      <c r="K39" s="437">
        <v>2954.86</v>
      </c>
      <c r="L39" s="432">
        <v>4870.5</v>
      </c>
      <c r="M39" s="432">
        <v>33094.26</v>
      </c>
      <c r="N39" s="544">
        <v>82.975200000000001</v>
      </c>
      <c r="O39" s="544">
        <v>82.98</v>
      </c>
      <c r="P39" s="545" t="s">
        <v>849</v>
      </c>
    </row>
    <row r="40" spans="1:18" s="393" customFormat="1" ht="11.1" customHeight="1">
      <c r="A40" s="391" t="s">
        <v>850</v>
      </c>
      <c r="B40" s="394">
        <v>5.57</v>
      </c>
      <c r="C40" s="394" t="s">
        <v>505</v>
      </c>
      <c r="D40" s="394">
        <v>5.82</v>
      </c>
      <c r="E40" s="394" t="s">
        <v>505</v>
      </c>
      <c r="F40" s="394" t="s">
        <v>505</v>
      </c>
      <c r="G40" s="394" t="s">
        <v>505</v>
      </c>
      <c r="H40" s="394" t="s">
        <v>505</v>
      </c>
      <c r="I40" s="394" t="s">
        <v>505</v>
      </c>
      <c r="J40" s="394" t="s">
        <v>505</v>
      </c>
      <c r="K40" s="79">
        <v>3322.41</v>
      </c>
      <c r="L40" s="348">
        <v>5435.2</v>
      </c>
      <c r="M40" s="348">
        <v>32348.09</v>
      </c>
      <c r="N40" s="559">
        <v>83.413700000000006</v>
      </c>
      <c r="O40" s="559">
        <v>83.7</v>
      </c>
      <c r="P40" s="583" t="s">
        <v>850</v>
      </c>
    </row>
    <row r="41" spans="1:18" s="393" customFormat="1" ht="11.1" customHeight="1">
      <c r="A41" s="498" t="s">
        <v>841</v>
      </c>
      <c r="B41" s="439">
        <v>5.54</v>
      </c>
      <c r="C41" s="439" t="s">
        <v>505</v>
      </c>
      <c r="D41" s="439">
        <v>5.78</v>
      </c>
      <c r="E41" s="439" t="s">
        <v>505</v>
      </c>
      <c r="F41" s="439" t="s">
        <v>505</v>
      </c>
      <c r="G41" s="439" t="s">
        <v>505</v>
      </c>
      <c r="H41" s="439" t="s">
        <v>505</v>
      </c>
      <c r="I41" s="439" t="s">
        <v>505</v>
      </c>
      <c r="J41" s="439" t="s">
        <v>505</v>
      </c>
      <c r="K41" s="437">
        <v>2939.35</v>
      </c>
      <c r="L41" s="432">
        <v>3838.8</v>
      </c>
      <c r="M41" s="432">
        <v>32943.46</v>
      </c>
      <c r="N41" s="544">
        <v>83.721699999999998</v>
      </c>
      <c r="O41" s="544">
        <v>83.702200000000005</v>
      </c>
      <c r="P41" s="545" t="s">
        <v>841</v>
      </c>
    </row>
    <row r="42" spans="1:18" s="393" customFormat="1" ht="11.1" customHeight="1">
      <c r="A42" s="558" t="s">
        <v>2583</v>
      </c>
      <c r="B42" s="394"/>
      <c r="C42" s="394"/>
      <c r="D42" s="394"/>
      <c r="E42" s="394"/>
      <c r="F42" s="394"/>
      <c r="G42" s="394"/>
      <c r="H42" s="394"/>
      <c r="I42" s="394"/>
      <c r="J42" s="394"/>
      <c r="K42" s="79"/>
      <c r="L42" s="348"/>
      <c r="M42" s="348"/>
      <c r="N42" s="559"/>
      <c r="O42" s="559"/>
      <c r="P42" s="560" t="s">
        <v>2583</v>
      </c>
    </row>
    <row r="43" spans="1:18" s="393" customFormat="1" ht="11.1" customHeight="1">
      <c r="A43" s="498" t="s">
        <v>843</v>
      </c>
      <c r="B43" s="439">
        <v>5.51</v>
      </c>
      <c r="C43" s="439" t="s">
        <v>505</v>
      </c>
      <c r="D43" s="439">
        <v>5.78</v>
      </c>
      <c r="E43" s="439" t="s">
        <v>505</v>
      </c>
      <c r="F43" s="439" t="s">
        <v>505</v>
      </c>
      <c r="G43" s="439" t="s">
        <v>505</v>
      </c>
      <c r="H43" s="439" t="s">
        <v>505</v>
      </c>
      <c r="I43" s="439" t="s">
        <v>505</v>
      </c>
      <c r="J43" s="439" t="s">
        <v>505</v>
      </c>
      <c r="K43" s="437">
        <v>3581.48</v>
      </c>
      <c r="L43" s="432">
        <v>4562.5</v>
      </c>
      <c r="M43" s="432">
        <v>32105.45</v>
      </c>
      <c r="N43" s="544">
        <v>83.748400000000004</v>
      </c>
      <c r="O43" s="544">
        <v>83.75</v>
      </c>
      <c r="P43" s="545" t="s">
        <v>843</v>
      </c>
    </row>
    <row r="44" spans="1:18" s="393" customFormat="1" ht="11.1" customHeight="1">
      <c r="A44" s="391" t="s">
        <v>844</v>
      </c>
      <c r="B44" s="394">
        <v>5.48</v>
      </c>
      <c r="C44" s="394" t="s">
        <v>505</v>
      </c>
      <c r="D44" s="394">
        <v>5.74</v>
      </c>
      <c r="E44" s="394" t="s">
        <v>505</v>
      </c>
      <c r="F44" s="394" t="s">
        <v>505</v>
      </c>
      <c r="G44" s="394" t="s">
        <v>505</v>
      </c>
      <c r="H44" s="394" t="s">
        <v>505</v>
      </c>
      <c r="I44" s="394" t="s">
        <v>505</v>
      </c>
      <c r="J44" s="394" t="s">
        <v>505</v>
      </c>
      <c r="K44" s="79">
        <v>3213.54</v>
      </c>
      <c r="L44" s="348">
        <v>3963.4</v>
      </c>
      <c r="M44" s="348">
        <v>32926.51</v>
      </c>
      <c r="N44" s="559">
        <v>83.75</v>
      </c>
      <c r="O44" s="559">
        <v>83.75</v>
      </c>
      <c r="P44" s="583" t="s">
        <v>844</v>
      </c>
    </row>
    <row r="45" spans="1:18" s="393" customFormat="1" ht="11.1" customHeight="1">
      <c r="A45" s="498" t="s">
        <v>838</v>
      </c>
      <c r="B45" s="439">
        <v>5.43</v>
      </c>
      <c r="C45" s="439" t="s">
        <v>505</v>
      </c>
      <c r="D45" s="439">
        <v>5.68</v>
      </c>
      <c r="E45" s="439" t="s">
        <v>505</v>
      </c>
      <c r="F45" s="439" t="s">
        <v>505</v>
      </c>
      <c r="G45" s="439" t="s">
        <v>505</v>
      </c>
      <c r="H45" s="439" t="s">
        <v>505</v>
      </c>
      <c r="I45" s="439" t="s">
        <v>505</v>
      </c>
      <c r="J45" s="439" t="s">
        <v>505</v>
      </c>
      <c r="K45" s="432">
        <v>3145.58</v>
      </c>
      <c r="L45" s="432">
        <v>4745.1000000000004</v>
      </c>
      <c r="M45" s="432">
        <v>31957.74</v>
      </c>
      <c r="N45" s="544">
        <v>83.75</v>
      </c>
      <c r="O45" s="544">
        <v>83.75</v>
      </c>
      <c r="P45" s="545" t="s">
        <v>838</v>
      </c>
    </row>
    <row r="46" spans="1:18" s="393" customFormat="1" ht="11.1" customHeight="1">
      <c r="A46" s="391" t="s">
        <v>845</v>
      </c>
      <c r="B46" s="394">
        <v>5.4</v>
      </c>
      <c r="C46" s="394" t="s">
        <v>505</v>
      </c>
      <c r="D46" s="394">
        <v>5.63</v>
      </c>
      <c r="E46" s="394" t="s">
        <v>505</v>
      </c>
      <c r="F46" s="394" t="s">
        <v>505</v>
      </c>
      <c r="G46" s="394" t="s">
        <v>505</v>
      </c>
      <c r="H46" s="394" t="s">
        <v>505</v>
      </c>
      <c r="I46" s="394" t="s">
        <v>505</v>
      </c>
      <c r="J46" s="394" t="s">
        <v>505</v>
      </c>
      <c r="K46" s="348">
        <v>3711.18</v>
      </c>
      <c r="L46" s="348">
        <v>5085.6000000000004</v>
      </c>
      <c r="M46" s="348">
        <v>32077.96</v>
      </c>
      <c r="N46" s="559">
        <v>83.816999999999993</v>
      </c>
      <c r="O46" s="559">
        <v>83.85</v>
      </c>
      <c r="P46" s="583" t="s">
        <v>845</v>
      </c>
    </row>
    <row r="47" spans="1:18" s="393" customFormat="1" ht="11.1" customHeight="1" thickBot="1">
      <c r="A47" s="1106" t="s">
        <v>846</v>
      </c>
      <c r="B47" s="717">
        <v>5.37</v>
      </c>
      <c r="C47" s="717" t="s">
        <v>505</v>
      </c>
      <c r="D47" s="717">
        <v>5.58</v>
      </c>
      <c r="E47" s="717" t="s">
        <v>505</v>
      </c>
      <c r="F47" s="717" t="s">
        <v>505</v>
      </c>
      <c r="G47" s="717" t="s">
        <v>505</v>
      </c>
      <c r="H47" s="717" t="s">
        <v>505</v>
      </c>
      <c r="I47" s="717" t="s">
        <v>505</v>
      </c>
      <c r="J47" s="717" t="s">
        <v>505</v>
      </c>
      <c r="K47" s="1129">
        <v>3421.98</v>
      </c>
      <c r="L47" s="1129" t="s">
        <v>505</v>
      </c>
      <c r="M47" s="1129">
        <v>31056.04</v>
      </c>
      <c r="N47" s="1643">
        <v>83.872500000000002</v>
      </c>
      <c r="O47" s="1643">
        <v>83.9</v>
      </c>
      <c r="P47" s="1430" t="s">
        <v>846</v>
      </c>
    </row>
    <row r="48" spans="1:18" s="306" customFormat="1" ht="11.1" customHeight="1">
      <c r="A48" s="391"/>
      <c r="B48" s="394"/>
      <c r="C48" s="394"/>
      <c r="D48" s="394"/>
      <c r="E48" s="394"/>
      <c r="F48" s="394"/>
      <c r="G48" s="394"/>
      <c r="H48" s="394"/>
      <c r="I48" s="394"/>
      <c r="J48" s="394"/>
      <c r="K48" s="348"/>
      <c r="L48" s="348"/>
      <c r="M48" s="348"/>
      <c r="N48" s="559"/>
      <c r="O48" s="559"/>
      <c r="P48" s="583"/>
      <c r="Q48" s="219"/>
    </row>
    <row r="49" spans="1:17" s="52" customFormat="1" ht="11.1" customHeight="1">
      <c r="A49" s="561" t="s">
        <v>2387</v>
      </c>
      <c r="B49" s="1788" t="s">
        <v>2272</v>
      </c>
      <c r="C49" s="1788"/>
      <c r="D49" s="1788"/>
      <c r="E49" s="1788"/>
      <c r="F49" s="1788"/>
      <c r="G49" s="219"/>
      <c r="H49" s="219"/>
      <c r="I49" s="219"/>
      <c r="J49" s="219"/>
      <c r="K49" s="562" t="s">
        <v>2389</v>
      </c>
      <c r="L49" s="1788" t="s">
        <v>2273</v>
      </c>
      <c r="M49" s="1788"/>
      <c r="N49" s="1788"/>
      <c r="O49" s="1788"/>
      <c r="P49" s="1788"/>
      <c r="Q49" s="67"/>
    </row>
    <row r="50" spans="1:17" s="52" customFormat="1" ht="11.1" customHeight="1">
      <c r="B50" s="1806" t="s">
        <v>2271</v>
      </c>
      <c r="C50" s="1806"/>
      <c r="D50" s="1806"/>
      <c r="E50" s="1806"/>
      <c r="F50" s="1806"/>
      <c r="G50" s="1806"/>
      <c r="H50" s="1806"/>
      <c r="I50" s="1806"/>
      <c r="J50" s="67"/>
      <c r="K50" s="159"/>
      <c r="L50" s="1806" t="s">
        <v>2274</v>
      </c>
      <c r="M50" s="1806"/>
      <c r="N50" s="1806"/>
      <c r="O50" s="1806"/>
      <c r="Q50" s="67"/>
    </row>
    <row r="51" spans="1:17" s="52" customFormat="1" ht="11.1" customHeight="1">
      <c r="B51" s="1128" t="s">
        <v>2270</v>
      </c>
      <c r="C51" s="1128"/>
      <c r="D51" s="1128"/>
      <c r="E51" s="1128"/>
      <c r="F51" s="1128"/>
      <c r="G51" s="1128"/>
      <c r="H51" s="247"/>
      <c r="I51" s="247"/>
      <c r="J51" s="247"/>
      <c r="K51" s="159"/>
      <c r="L51" s="1806" t="s">
        <v>2169</v>
      </c>
      <c r="M51" s="1806"/>
      <c r="N51" s="1806"/>
      <c r="O51" s="1806"/>
      <c r="P51" s="1806"/>
    </row>
    <row r="52" spans="1:17" s="52" customFormat="1" ht="11.1" customHeight="1">
      <c r="B52" s="1283" t="s">
        <v>2269</v>
      </c>
      <c r="C52" s="1283"/>
      <c r="D52" s="1283"/>
      <c r="E52" s="1283"/>
      <c r="F52" s="1283"/>
      <c r="G52" s="1283"/>
      <c r="H52" s="1283"/>
      <c r="I52" s="1283"/>
      <c r="J52" s="247"/>
      <c r="K52" s="159"/>
      <c r="L52" s="1806" t="s">
        <v>2551</v>
      </c>
      <c r="M52" s="1806"/>
      <c r="N52" s="1806"/>
      <c r="O52" s="1806"/>
      <c r="P52" s="67"/>
    </row>
    <row r="53" spans="1:17" s="52" customFormat="1" ht="11.1" customHeight="1">
      <c r="A53" s="201"/>
      <c r="B53" s="67" t="s">
        <v>2383</v>
      </c>
      <c r="C53" s="67"/>
      <c r="D53" s="67"/>
      <c r="E53" s="67"/>
      <c r="F53" s="67"/>
      <c r="H53" s="51"/>
      <c r="K53" s="248" t="s">
        <v>2390</v>
      </c>
      <c r="L53" s="61" t="s">
        <v>2275</v>
      </c>
      <c r="M53" s="61"/>
      <c r="N53" s="61"/>
      <c r="P53" s="219"/>
      <c r="Q53" s="67"/>
    </row>
    <row r="54" spans="1:17" s="52" customFormat="1" ht="11.1" customHeight="1">
      <c r="A54" s="201" t="s">
        <v>2388</v>
      </c>
      <c r="B54" s="1806" t="s">
        <v>254</v>
      </c>
      <c r="C54" s="1806"/>
      <c r="D54" s="67"/>
      <c r="E54" s="52" t="s">
        <v>2307</v>
      </c>
      <c r="F54" s="67"/>
      <c r="K54" s="247" t="s">
        <v>255</v>
      </c>
      <c r="L54" s="1805" t="s">
        <v>2276</v>
      </c>
      <c r="M54" s="1805"/>
      <c r="N54" s="1805"/>
      <c r="O54" s="1805"/>
      <c r="P54" s="1805"/>
      <c r="Q54" s="67"/>
    </row>
    <row r="55" spans="1:17" s="52" customFormat="1" ht="12.75" customHeight="1">
      <c r="B55" s="10"/>
      <c r="K55" s="1556"/>
      <c r="L55" s="404"/>
    </row>
    <row r="56" spans="1:17" ht="13.5" customHeight="1">
      <c r="A56" s="52"/>
      <c r="C56" s="52"/>
      <c r="D56" s="52"/>
      <c r="E56" s="52"/>
      <c r="F56" s="52"/>
      <c r="G56" s="52"/>
      <c r="H56" s="52"/>
      <c r="I56" s="51"/>
      <c r="J56" s="52"/>
      <c r="K56" s="1476"/>
      <c r="L56" s="52"/>
      <c r="M56" s="52"/>
      <c r="N56" s="52"/>
      <c r="O56" s="52"/>
      <c r="P56" s="52"/>
    </row>
    <row r="57" spans="1:17">
      <c r="C57" s="11"/>
      <c r="D57" s="11"/>
      <c r="E57" s="11"/>
      <c r="F57" s="11"/>
      <c r="G57" s="11"/>
      <c r="H57" s="11"/>
      <c r="I57" s="11"/>
      <c r="J57" s="11"/>
      <c r="K57" s="1023"/>
      <c r="L57" s="120"/>
      <c r="N57" s="215"/>
      <c r="O57" s="11"/>
      <c r="P57" s="11"/>
    </row>
    <row r="58" spans="1:17" ht="12.75">
      <c r="C58" s="11"/>
      <c r="D58" s="11"/>
      <c r="E58" s="11"/>
      <c r="F58" s="11"/>
      <c r="G58" s="11"/>
      <c r="H58" s="11"/>
      <c r="I58" s="11"/>
      <c r="J58" s="11"/>
      <c r="K58" s="1415"/>
      <c r="L58" s="1416"/>
      <c r="M58" s="1431"/>
      <c r="N58" s="215"/>
      <c r="O58" s="11"/>
      <c r="P58" s="11"/>
    </row>
    <row r="59" spans="1:17">
      <c r="C59" s="11"/>
      <c r="D59" s="11"/>
      <c r="E59" s="11"/>
      <c r="F59" s="11"/>
      <c r="G59" s="11"/>
      <c r="H59" s="11"/>
      <c r="I59" s="11"/>
      <c r="J59" s="11"/>
      <c r="K59" s="246"/>
      <c r="L59" s="11"/>
      <c r="M59" s="1390"/>
      <c r="N59" s="215"/>
      <c r="O59" s="11"/>
      <c r="P59" s="11"/>
    </row>
    <row r="60" spans="1:17">
      <c r="C60" s="11"/>
      <c r="D60" s="11"/>
      <c r="E60" s="11"/>
      <c r="F60" s="11"/>
      <c r="G60" s="215"/>
      <c r="H60" s="215"/>
      <c r="I60" s="215"/>
      <c r="J60" s="215"/>
      <c r="K60" s="1557"/>
      <c r="L60" s="246"/>
      <c r="M60" s="246"/>
      <c r="N60" s="215"/>
      <c r="O60" s="215"/>
      <c r="P60" s="11"/>
    </row>
    <row r="61" spans="1:17">
      <c r="C61" s="11"/>
      <c r="D61" s="11"/>
      <c r="E61" s="11"/>
      <c r="F61" s="11"/>
      <c r="G61" s="11"/>
      <c r="H61" s="11"/>
      <c r="I61" s="11"/>
      <c r="J61" s="333"/>
      <c r="K61" s="21"/>
      <c r="L61" s="246"/>
      <c r="M61" s="246"/>
      <c r="N61" s="215"/>
      <c r="O61" s="11"/>
      <c r="P61" s="11"/>
    </row>
    <row r="62" spans="1:17">
      <c r="C62" s="11"/>
      <c r="D62" s="11"/>
      <c r="E62" s="11"/>
      <c r="F62" s="11"/>
      <c r="G62" s="11"/>
      <c r="H62" s="11"/>
      <c r="I62" s="11"/>
      <c r="J62" s="11"/>
      <c r="K62" s="35"/>
      <c r="L62" s="11"/>
      <c r="M62" s="11"/>
      <c r="N62" s="215"/>
      <c r="O62" s="11"/>
      <c r="P62" s="11"/>
    </row>
    <row r="63" spans="1:17">
      <c r="C63" s="11"/>
      <c r="D63" s="11"/>
      <c r="E63" s="11"/>
      <c r="F63" s="11"/>
      <c r="G63" s="11"/>
      <c r="H63" s="11"/>
      <c r="I63" s="11"/>
      <c r="J63" s="11"/>
      <c r="K63" s="35"/>
      <c r="L63" s="246"/>
      <c r="M63" s="11"/>
      <c r="N63" s="215"/>
      <c r="O63" s="11"/>
      <c r="P63" s="11"/>
    </row>
    <row r="64" spans="1:17">
      <c r="C64" s="11"/>
      <c r="D64" s="11"/>
      <c r="E64" s="11"/>
      <c r="F64" s="11"/>
      <c r="G64" s="11"/>
      <c r="H64" s="11"/>
      <c r="I64" s="11"/>
      <c r="J64" s="11"/>
      <c r="K64" s="215"/>
      <c r="L64" s="11"/>
      <c r="M64" s="11"/>
      <c r="N64" s="215"/>
      <c r="O64" s="11"/>
      <c r="P64" s="11"/>
    </row>
    <row r="65" spans="3:16">
      <c r="C65" s="11"/>
      <c r="D65" s="11"/>
      <c r="E65" s="11"/>
      <c r="F65" s="11"/>
      <c r="G65" s="11"/>
      <c r="H65" s="11"/>
      <c r="I65" s="11"/>
      <c r="J65" s="11"/>
      <c r="K65" s="35"/>
      <c r="L65" s="11"/>
      <c r="M65" s="11"/>
      <c r="N65" s="215"/>
      <c r="O65" s="11"/>
      <c r="P65" s="11"/>
    </row>
    <row r="66" spans="3:16">
      <c r="C66" s="11"/>
      <c r="D66" s="11"/>
      <c r="E66" s="11"/>
      <c r="F66" s="11"/>
      <c r="G66" s="11"/>
      <c r="H66" s="11"/>
      <c r="I66" s="11"/>
      <c r="J66" s="11"/>
      <c r="K66" s="35"/>
      <c r="L66" s="11"/>
      <c r="M66" s="11"/>
      <c r="N66" s="215"/>
      <c r="O66" s="11"/>
      <c r="P66" s="11"/>
    </row>
    <row r="67" spans="3:16">
      <c r="K67" s="34"/>
      <c r="N67" s="215"/>
    </row>
    <row r="68" spans="3:16">
      <c r="K68" s="35"/>
      <c r="N68" s="215"/>
    </row>
    <row r="69" spans="3:16">
      <c r="K69" s="35"/>
    </row>
    <row r="70" spans="3:16">
      <c r="K70" s="35"/>
    </row>
    <row r="71" spans="3:16">
      <c r="K71" s="35"/>
    </row>
  </sheetData>
  <mergeCells count="37">
    <mergeCell ref="A1:F1"/>
    <mergeCell ref="H5:H6"/>
    <mergeCell ref="L54:P54"/>
    <mergeCell ref="C5:C6"/>
    <mergeCell ref="L50:O50"/>
    <mergeCell ref="L51:P51"/>
    <mergeCell ref="L52:O52"/>
    <mergeCell ref="B5:B6"/>
    <mergeCell ref="D5:D6"/>
    <mergeCell ref="B49:F49"/>
    <mergeCell ref="B50:I50"/>
    <mergeCell ref="B54:C54"/>
    <mergeCell ref="O5:O6"/>
    <mergeCell ref="K3:M3"/>
    <mergeCell ref="B3:E4"/>
    <mergeCell ref="I5:I6"/>
    <mergeCell ref="L5:L6"/>
    <mergeCell ref="M4:M6"/>
    <mergeCell ref="H4:J4"/>
    <mergeCell ref="K4:L4"/>
    <mergeCell ref="F4:G4"/>
    <mergeCell ref="G1:J1"/>
    <mergeCell ref="E5:E6"/>
    <mergeCell ref="A3:A7"/>
    <mergeCell ref="L49:P49"/>
    <mergeCell ref="N5:N6"/>
    <mergeCell ref="F5:F6"/>
    <mergeCell ref="J5:J6"/>
    <mergeCell ref="F2:J2"/>
    <mergeCell ref="O1:P1"/>
    <mergeCell ref="O2:P2"/>
    <mergeCell ref="F3:J3"/>
    <mergeCell ref="N4:O4"/>
    <mergeCell ref="G5:G6"/>
    <mergeCell ref="N3:O3"/>
    <mergeCell ref="K5:K6"/>
    <mergeCell ref="P3:P7"/>
  </mergeCells>
  <phoneticPr fontId="0" type="noConversion"/>
  <pageMargins left="0.43307086614173201" right="0.23622047244094499" top="0.511811023622047" bottom="0.511811023622047" header="0" footer="0.183070866"/>
  <pageSetup paperSize="141" firstPageNumber="10" orientation="portrait" useFirstPageNumber="1" r:id="rId1"/>
  <headerFooter alignWithMargins="0">
    <oddFooter>&amp;C&amp;"Times New Roman,Regular"&amp;8&amp;P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/>
  <dimension ref="A1:R76"/>
  <sheetViews>
    <sheetView zoomScale="150" zoomScaleNormal="150" workbookViewId="0">
      <pane xSplit="1" ySplit="8" topLeftCell="G45" activePane="bottomRight" state="frozen"/>
      <selection pane="topRight" activeCell="B1" sqref="B1"/>
      <selection pane="bottomLeft" activeCell="A10" sqref="A10"/>
      <selection pane="bottomRight" activeCell="L49" sqref="L49"/>
    </sheetView>
  </sheetViews>
  <sheetFormatPr defaultColWidth="9.140625" defaultRowHeight="11.25"/>
  <cols>
    <col min="1" max="1" width="8.5703125" style="10" customWidth="1"/>
    <col min="2" max="2" width="9.5703125" style="10" customWidth="1"/>
    <col min="3" max="3" width="10.140625" style="10" customWidth="1"/>
    <col min="4" max="4" width="12" style="10" bestFit="1" customWidth="1"/>
    <col min="5" max="5" width="10.85546875" style="10" customWidth="1"/>
    <col min="6" max="6" width="10.28515625" style="10" customWidth="1"/>
    <col min="7" max="7" width="8" style="10" customWidth="1"/>
    <col min="8" max="8" width="9.140625" style="10"/>
    <col min="9" max="9" width="9.140625" style="10" customWidth="1"/>
    <col min="10" max="10" width="10" style="10" customWidth="1"/>
    <col min="11" max="11" width="10.28515625" style="10" customWidth="1"/>
    <col min="12" max="12" width="10.140625" style="10" customWidth="1"/>
    <col min="13" max="13" width="8.5703125" style="10" customWidth="1"/>
    <col min="14" max="14" width="8.42578125" style="10" customWidth="1"/>
    <col min="15" max="15" width="9.28515625" style="10" customWidth="1"/>
    <col min="16" max="16" width="9" style="10" customWidth="1"/>
    <col min="17" max="16384" width="9.140625" style="10"/>
  </cols>
  <sheetData>
    <row r="1" spans="1:16" s="47" customFormat="1" ht="15" customHeight="1">
      <c r="A1" s="1804"/>
      <c r="B1" s="1804"/>
      <c r="C1" s="1804"/>
      <c r="D1" s="57"/>
      <c r="G1" s="1790" t="s">
        <v>641</v>
      </c>
      <c r="H1" s="1790"/>
      <c r="I1" s="1842" t="s">
        <v>2358</v>
      </c>
      <c r="J1" s="1842"/>
      <c r="K1" s="48"/>
      <c r="L1" s="48"/>
      <c r="M1" s="48"/>
      <c r="N1" s="48"/>
      <c r="O1" s="1790" t="s">
        <v>257</v>
      </c>
      <c r="P1" s="1790"/>
    </row>
    <row r="2" spans="1:16" ht="12">
      <c r="A2" s="63"/>
      <c r="O2" s="1840" t="s">
        <v>41</v>
      </c>
      <c r="P2" s="1841"/>
    </row>
    <row r="3" spans="1:16" s="260" customFormat="1" ht="12.75" customHeight="1">
      <c r="A3" s="1781" t="s">
        <v>1491</v>
      </c>
      <c r="B3" s="1828" t="s">
        <v>765</v>
      </c>
      <c r="C3" s="1828"/>
      <c r="D3" s="1829"/>
      <c r="E3" s="1836" t="s">
        <v>549</v>
      </c>
      <c r="F3" s="1828"/>
      <c r="G3" s="1828"/>
      <c r="H3" s="1828"/>
      <c r="I3" s="1828" t="s">
        <v>853</v>
      </c>
      <c r="J3" s="1828"/>
      <c r="K3" s="1828"/>
      <c r="L3" s="1099"/>
      <c r="M3" s="1815" t="s">
        <v>1494</v>
      </c>
      <c r="N3" s="1815" t="s">
        <v>1495</v>
      </c>
      <c r="O3" s="1826" t="s">
        <v>2359</v>
      </c>
      <c r="P3" s="1781" t="s">
        <v>1491</v>
      </c>
    </row>
    <row r="4" spans="1:16" s="260" customFormat="1" ht="15.75" customHeight="1">
      <c r="A4" s="1782"/>
      <c r="B4" s="1830" t="s">
        <v>178</v>
      </c>
      <c r="C4" s="1815" t="s">
        <v>179</v>
      </c>
      <c r="D4" s="1815" t="s">
        <v>1711</v>
      </c>
      <c r="E4" s="1823" t="s">
        <v>237</v>
      </c>
      <c r="F4" s="1824"/>
      <c r="G4" s="1824"/>
      <c r="H4" s="1824"/>
      <c r="I4" s="1824"/>
      <c r="J4" s="1825"/>
      <c r="K4" s="1819" t="s">
        <v>1493</v>
      </c>
      <c r="L4" s="1815" t="s">
        <v>883</v>
      </c>
      <c r="M4" s="1816"/>
      <c r="N4" s="1816"/>
      <c r="O4" s="1827"/>
      <c r="P4" s="1782"/>
    </row>
    <row r="5" spans="1:16" s="260" customFormat="1" ht="12" customHeight="1">
      <c r="A5" s="1782"/>
      <c r="B5" s="1831"/>
      <c r="C5" s="1816"/>
      <c r="D5" s="1816"/>
      <c r="E5" s="1837" t="s">
        <v>767</v>
      </c>
      <c r="F5" s="1838"/>
      <c r="G5" s="1839"/>
      <c r="H5" s="1832" t="s">
        <v>243</v>
      </c>
      <c r="I5" s="1833"/>
      <c r="J5" s="1830"/>
      <c r="K5" s="1820"/>
      <c r="L5" s="1816"/>
      <c r="M5" s="1816"/>
      <c r="N5" s="1816"/>
      <c r="O5" s="1827"/>
      <c r="P5" s="1782"/>
    </row>
    <row r="6" spans="1:16" s="260" customFormat="1" ht="24" customHeight="1">
      <c r="A6" s="1782"/>
      <c r="B6" s="1831"/>
      <c r="C6" s="1816"/>
      <c r="D6" s="1816"/>
      <c r="E6" s="1815" t="s">
        <v>178</v>
      </c>
      <c r="F6" s="1815" t="s">
        <v>179</v>
      </c>
      <c r="G6" s="1826" t="s">
        <v>2341</v>
      </c>
      <c r="H6" s="1738" t="s">
        <v>178</v>
      </c>
      <c r="I6" s="1738" t="s">
        <v>179</v>
      </c>
      <c r="J6" s="1834" t="s">
        <v>1492</v>
      </c>
      <c r="K6" s="1820"/>
      <c r="L6" s="1816"/>
      <c r="M6" s="1816"/>
      <c r="N6" s="1816"/>
      <c r="O6" s="1827"/>
      <c r="P6" s="1782"/>
    </row>
    <row r="7" spans="1:16" s="260" customFormat="1" ht="15.75" customHeight="1">
      <c r="A7" s="1782"/>
      <c r="B7" s="1831"/>
      <c r="C7" s="1816"/>
      <c r="D7" s="1816"/>
      <c r="E7" s="1816"/>
      <c r="F7" s="1816"/>
      <c r="G7" s="1827"/>
      <c r="H7" s="1763"/>
      <c r="I7" s="1763"/>
      <c r="J7" s="1835"/>
      <c r="K7" s="1820"/>
      <c r="L7" s="1817"/>
      <c r="M7" s="1816"/>
      <c r="N7" s="1816"/>
      <c r="O7" s="1827"/>
      <c r="P7" s="1782"/>
    </row>
    <row r="8" spans="1:16" s="16" customFormat="1" ht="10.5" customHeight="1">
      <c r="A8" s="1783"/>
      <c r="B8" s="64">
        <v>1</v>
      </c>
      <c r="C8" s="64">
        <v>2</v>
      </c>
      <c r="D8" s="64">
        <v>3</v>
      </c>
      <c r="E8" s="64">
        <v>4</v>
      </c>
      <c r="F8" s="64">
        <v>5</v>
      </c>
      <c r="G8" s="64">
        <v>6</v>
      </c>
      <c r="H8" s="64">
        <v>7</v>
      </c>
      <c r="I8" s="64">
        <v>8</v>
      </c>
      <c r="J8" s="64">
        <v>9</v>
      </c>
      <c r="K8" s="64">
        <v>10</v>
      </c>
      <c r="L8" s="64">
        <v>11</v>
      </c>
      <c r="M8" s="64">
        <v>12</v>
      </c>
      <c r="N8" s="64">
        <v>13</v>
      </c>
      <c r="O8" s="64">
        <v>14</v>
      </c>
      <c r="P8" s="1783"/>
    </row>
    <row r="9" spans="1:16" ht="12.6" customHeight="1">
      <c r="A9" s="455" t="s">
        <v>851</v>
      </c>
      <c r="B9" s="690">
        <v>28758.400000000001</v>
      </c>
      <c r="C9" s="437">
        <v>3622.8</v>
      </c>
      <c r="D9" s="437">
        <f t="shared" ref="D9:D14" si="0">B9+C9</f>
        <v>32381.200000000001</v>
      </c>
      <c r="E9" s="768">
        <v>25074.9</v>
      </c>
      <c r="F9" s="768">
        <v>10863.9</v>
      </c>
      <c r="G9" s="437">
        <f t="shared" ref="G9:G13" si="1">E9+F9</f>
        <v>35938.800000000003</v>
      </c>
      <c r="H9" s="437">
        <v>988</v>
      </c>
      <c r="I9" s="768">
        <v>15057.5</v>
      </c>
      <c r="J9" s="442">
        <f t="shared" ref="J9:J13" si="2">H9+I9</f>
        <v>16045.5</v>
      </c>
      <c r="K9" s="438">
        <v>152177.1</v>
      </c>
      <c r="L9" s="438">
        <f>G9+J9+K9</f>
        <v>204161.40000000002</v>
      </c>
      <c r="M9" s="768">
        <v>-25038.2</v>
      </c>
      <c r="N9" s="438">
        <f t="shared" ref="N9:N12" si="3">L9+M9</f>
        <v>179123.20000000001</v>
      </c>
      <c r="O9" s="438">
        <f>D9+N9</f>
        <v>211504.40000000002</v>
      </c>
      <c r="P9" s="456" t="s">
        <v>851</v>
      </c>
    </row>
    <row r="10" spans="1:16" ht="12.6" customHeight="1">
      <c r="A10" s="65" t="s">
        <v>574</v>
      </c>
      <c r="B10" s="688">
        <v>32813.800000000003</v>
      </c>
      <c r="C10" s="35">
        <v>4482.1000000000004</v>
      </c>
      <c r="D10" s="35">
        <f t="shared" si="0"/>
        <v>37295.9</v>
      </c>
      <c r="E10" s="766">
        <v>25927.7</v>
      </c>
      <c r="F10" s="766">
        <v>20823.3</v>
      </c>
      <c r="G10" s="34">
        <f t="shared" si="1"/>
        <v>46751</v>
      </c>
      <c r="H10" s="35">
        <v>946.4</v>
      </c>
      <c r="I10" s="766">
        <v>9216</v>
      </c>
      <c r="J10" s="35">
        <f t="shared" si="2"/>
        <v>10162.4</v>
      </c>
      <c r="K10" s="333">
        <v>190135.7</v>
      </c>
      <c r="L10" s="342">
        <f t="shared" ref="L10:L13" si="4">G10+J10+K10</f>
        <v>247049.1</v>
      </c>
      <c r="M10" s="766">
        <v>-35550.199999999997</v>
      </c>
      <c r="N10" s="342">
        <f t="shared" si="3"/>
        <v>211498.90000000002</v>
      </c>
      <c r="O10" s="333">
        <f>D10+N10</f>
        <v>248794.80000000002</v>
      </c>
      <c r="P10" s="59" t="s">
        <v>574</v>
      </c>
    </row>
    <row r="11" spans="1:16" ht="12.6" customHeight="1">
      <c r="A11" s="455" t="s">
        <v>114</v>
      </c>
      <c r="B11" s="690">
        <v>43227.5</v>
      </c>
      <c r="C11" s="442">
        <v>4214.5</v>
      </c>
      <c r="D11" s="437">
        <f t="shared" si="0"/>
        <v>47442</v>
      </c>
      <c r="E11" s="768">
        <v>28471.5</v>
      </c>
      <c r="F11" s="768">
        <v>29536.1</v>
      </c>
      <c r="G11" s="442">
        <f t="shared" si="1"/>
        <v>58007.6</v>
      </c>
      <c r="H11" s="442">
        <v>853.1</v>
      </c>
      <c r="I11" s="768">
        <v>10066.6</v>
      </c>
      <c r="J11" s="442">
        <f t="shared" si="2"/>
        <v>10919.7</v>
      </c>
      <c r="K11" s="438">
        <v>217927.5</v>
      </c>
      <c r="L11" s="432">
        <f t="shared" si="4"/>
        <v>286854.8</v>
      </c>
      <c r="M11" s="768">
        <v>-37797</v>
      </c>
      <c r="N11" s="432">
        <f t="shared" si="3"/>
        <v>249057.8</v>
      </c>
      <c r="O11" s="438">
        <v>296499.7</v>
      </c>
      <c r="P11" s="456" t="s">
        <v>114</v>
      </c>
    </row>
    <row r="12" spans="1:16" ht="12.6" customHeight="1">
      <c r="A12" s="65" t="s">
        <v>110</v>
      </c>
      <c r="B12" s="682">
        <v>61181</v>
      </c>
      <c r="C12" s="35">
        <v>5868.8</v>
      </c>
      <c r="D12" s="35">
        <f t="shared" si="0"/>
        <v>67049.8</v>
      </c>
      <c r="E12" s="766">
        <v>21471.200000000001</v>
      </c>
      <c r="F12" s="766">
        <v>32781.699999999997</v>
      </c>
      <c r="G12" s="35">
        <f t="shared" si="1"/>
        <v>54252.899999999994</v>
      </c>
      <c r="H12" s="35">
        <v>830.7</v>
      </c>
      <c r="I12" s="766">
        <v>11983.2</v>
      </c>
      <c r="J12" s="35">
        <f t="shared" si="2"/>
        <v>12813.900000000001</v>
      </c>
      <c r="K12" s="333">
        <v>270760.8</v>
      </c>
      <c r="L12" s="342">
        <f t="shared" si="4"/>
        <v>337827.6</v>
      </c>
      <c r="M12" s="766">
        <v>-41846</v>
      </c>
      <c r="N12" s="342">
        <f t="shared" si="3"/>
        <v>295981.59999999998</v>
      </c>
      <c r="O12" s="333">
        <v>363031.2</v>
      </c>
      <c r="P12" s="59" t="s">
        <v>110</v>
      </c>
    </row>
    <row r="13" spans="1:16" ht="12.6" customHeight="1">
      <c r="A13" s="455" t="s">
        <v>253</v>
      </c>
      <c r="B13" s="683">
        <v>61342.1</v>
      </c>
      <c r="C13" s="442">
        <v>9231.2999999999993</v>
      </c>
      <c r="D13" s="442">
        <f t="shared" si="0"/>
        <v>70573.399999999994</v>
      </c>
      <c r="E13" s="768">
        <v>31710.5</v>
      </c>
      <c r="F13" s="768">
        <v>41517.4</v>
      </c>
      <c r="G13" s="442">
        <f t="shared" si="1"/>
        <v>73227.899999999994</v>
      </c>
      <c r="H13" s="442">
        <v>776.7</v>
      </c>
      <c r="I13" s="768">
        <v>16175.7</v>
      </c>
      <c r="J13" s="442">
        <f t="shared" si="2"/>
        <v>16952.400000000001</v>
      </c>
      <c r="K13" s="438">
        <v>340712.7</v>
      </c>
      <c r="L13" s="432">
        <f t="shared" si="4"/>
        <v>430893</v>
      </c>
      <c r="M13" s="768">
        <v>-60946.400000000001</v>
      </c>
      <c r="N13" s="432">
        <v>369946.5</v>
      </c>
      <c r="O13" s="438">
        <v>440519.9</v>
      </c>
      <c r="P13" s="456" t="s">
        <v>253</v>
      </c>
    </row>
    <row r="14" spans="1:16" s="254" customFormat="1" ht="12.6" customHeight="1">
      <c r="A14" s="760" t="s">
        <v>1169</v>
      </c>
      <c r="B14" s="682">
        <v>68930.100000000006</v>
      </c>
      <c r="C14" s="39">
        <v>9888.6</v>
      </c>
      <c r="D14" s="35">
        <f t="shared" si="0"/>
        <v>78818.700000000012</v>
      </c>
      <c r="E14" s="766">
        <v>37854.9</v>
      </c>
      <c r="F14" s="766">
        <v>53873.9</v>
      </c>
      <c r="G14" s="39">
        <v>91728.9</v>
      </c>
      <c r="H14" s="39">
        <v>1181.9000000000001</v>
      </c>
      <c r="I14" s="766">
        <v>14160.2</v>
      </c>
      <c r="J14" s="39">
        <v>15342.1</v>
      </c>
      <c r="K14" s="393">
        <v>407901.60000000003</v>
      </c>
      <c r="L14" s="348">
        <v>514972.60000000003</v>
      </c>
      <c r="M14" s="766">
        <v>-76681.7</v>
      </c>
      <c r="N14" s="348">
        <v>438290.80000000005</v>
      </c>
      <c r="O14" s="393">
        <v>517109.50000000006</v>
      </c>
      <c r="P14" s="754" t="s">
        <v>1169</v>
      </c>
    </row>
    <row r="15" spans="1:16" s="254" customFormat="1" ht="12.6" customHeight="1">
      <c r="A15" s="455" t="s">
        <v>1361</v>
      </c>
      <c r="B15" s="683">
        <v>103246</v>
      </c>
      <c r="C15" s="442">
        <v>10004.200000000001</v>
      </c>
      <c r="D15" s="442">
        <v>113250.2</v>
      </c>
      <c r="E15" s="768">
        <v>27069</v>
      </c>
      <c r="F15" s="768">
        <v>83055.600000000006</v>
      </c>
      <c r="G15" s="442">
        <v>110124.6</v>
      </c>
      <c r="H15" s="442">
        <v>1354.5</v>
      </c>
      <c r="I15" s="768">
        <v>8100.8</v>
      </c>
      <c r="J15" s="442">
        <v>9455.2999999999993</v>
      </c>
      <c r="K15" s="438">
        <v>452157.2</v>
      </c>
      <c r="L15" s="432">
        <v>571737.1</v>
      </c>
      <c r="M15" s="768">
        <v>-81481.7</v>
      </c>
      <c r="N15" s="432">
        <f>L15+M15</f>
        <v>490255.39999999997</v>
      </c>
      <c r="O15" s="432">
        <f>D15+N15</f>
        <v>603505.6</v>
      </c>
      <c r="P15" s="456" t="s">
        <v>1361</v>
      </c>
    </row>
    <row r="16" spans="1:16" s="393" customFormat="1" ht="12.6" customHeight="1">
      <c r="A16" s="346" t="s">
        <v>1693</v>
      </c>
      <c r="B16" s="348">
        <v>147496.6</v>
      </c>
      <c r="C16" s="348">
        <v>12560</v>
      </c>
      <c r="D16" s="348">
        <v>160056.6</v>
      </c>
      <c r="E16" s="348">
        <v>3840.6</v>
      </c>
      <c r="F16" s="348">
        <v>113688.8</v>
      </c>
      <c r="G16" s="348">
        <v>117529.40000000001</v>
      </c>
      <c r="H16" s="348">
        <v>1202.7</v>
      </c>
      <c r="I16" s="348">
        <v>11534.2</v>
      </c>
      <c r="J16" s="348">
        <v>12736.900000000001</v>
      </c>
      <c r="K16" s="348">
        <v>507639.9</v>
      </c>
      <c r="L16" s="348">
        <v>637906.20000000007</v>
      </c>
      <c r="M16" s="348">
        <v>-97339.3</v>
      </c>
      <c r="N16" s="348">
        <v>540566.9</v>
      </c>
      <c r="O16" s="348">
        <v>700623.5</v>
      </c>
      <c r="P16" s="605" t="s">
        <v>1693</v>
      </c>
    </row>
    <row r="17" spans="1:16" s="393" customFormat="1" ht="12.6" customHeight="1">
      <c r="A17" s="430" t="s">
        <v>1795</v>
      </c>
      <c r="B17" s="690">
        <v>177401.3</v>
      </c>
      <c r="C17" s="690">
        <v>11827.5</v>
      </c>
      <c r="D17" s="681">
        <v>189228.79999999999</v>
      </c>
      <c r="E17" s="681">
        <v>810.5</v>
      </c>
      <c r="F17" s="681">
        <v>109446.8</v>
      </c>
      <c r="G17" s="681">
        <v>110257.3</v>
      </c>
      <c r="H17" s="681">
        <v>2160.8000000000002</v>
      </c>
      <c r="I17" s="681">
        <v>14509</v>
      </c>
      <c r="J17" s="681">
        <v>16669.8</v>
      </c>
      <c r="K17" s="681">
        <v>574599.4</v>
      </c>
      <c r="L17" s="681">
        <v>701526.5</v>
      </c>
      <c r="M17" s="681">
        <v>-103141.2</v>
      </c>
      <c r="N17" s="681">
        <v>598385.30000000005</v>
      </c>
      <c r="O17" s="681">
        <v>787614.10000000009</v>
      </c>
      <c r="P17" s="582" t="s">
        <v>1795</v>
      </c>
    </row>
    <row r="18" spans="1:16" s="143" customFormat="1" ht="12.6" customHeight="1">
      <c r="A18" s="558" t="s">
        <v>1996</v>
      </c>
      <c r="B18" s="529">
        <v>218904.1</v>
      </c>
      <c r="C18" s="529">
        <v>14231.5</v>
      </c>
      <c r="D18" s="529">
        <v>233135.6</v>
      </c>
      <c r="E18" s="529">
        <v>13373.7</v>
      </c>
      <c r="F18" s="529">
        <v>100845.9</v>
      </c>
      <c r="G18" s="529">
        <v>114219.59999999999</v>
      </c>
      <c r="H18" s="529">
        <v>2015.5</v>
      </c>
      <c r="I18" s="529">
        <v>14035.6</v>
      </c>
      <c r="J18" s="529">
        <v>16051.1</v>
      </c>
      <c r="K18" s="529">
        <v>671009.30000000005</v>
      </c>
      <c r="L18" s="529">
        <v>801280</v>
      </c>
      <c r="M18" s="529">
        <v>-118037.8</v>
      </c>
      <c r="N18" s="529">
        <v>683242.2</v>
      </c>
      <c r="O18" s="529">
        <v>916377.79999999993</v>
      </c>
      <c r="P18" s="560" t="s">
        <v>1996</v>
      </c>
    </row>
    <row r="19" spans="1:16" s="143" customFormat="1" ht="12.6" customHeight="1">
      <c r="A19" s="556" t="s">
        <v>2092</v>
      </c>
      <c r="B19" s="516">
        <f>B31</f>
        <v>252027</v>
      </c>
      <c r="C19" s="516">
        <f t="shared" ref="C19:O19" si="5">C31</f>
        <v>14670</v>
      </c>
      <c r="D19" s="516">
        <f t="shared" si="5"/>
        <v>266697</v>
      </c>
      <c r="E19" s="516">
        <f t="shared" si="5"/>
        <v>12977.7</v>
      </c>
      <c r="F19" s="516">
        <f t="shared" si="5"/>
        <v>84355.8</v>
      </c>
      <c r="G19" s="516">
        <f t="shared" si="5"/>
        <v>97333.5</v>
      </c>
      <c r="H19" s="516">
        <f t="shared" si="5"/>
        <v>2157.8000000000002</v>
      </c>
      <c r="I19" s="516">
        <f t="shared" si="5"/>
        <v>15122.4</v>
      </c>
      <c r="J19" s="516">
        <f t="shared" si="5"/>
        <v>17280.2</v>
      </c>
      <c r="K19" s="516">
        <f t="shared" si="5"/>
        <v>776056.5</v>
      </c>
      <c r="L19" s="516">
        <f t="shared" si="5"/>
        <v>890670.2</v>
      </c>
      <c r="M19" s="516">
        <f t="shared" si="5"/>
        <v>-141291.1</v>
      </c>
      <c r="N19" s="516">
        <f t="shared" si="5"/>
        <v>749379.1</v>
      </c>
      <c r="O19" s="516">
        <f t="shared" si="5"/>
        <v>1016076.1</v>
      </c>
      <c r="P19" s="557" t="s">
        <v>2092</v>
      </c>
    </row>
    <row r="20" spans="1:16" s="143" customFormat="1" ht="12.6" customHeight="1">
      <c r="A20" s="11" t="s">
        <v>843</v>
      </c>
      <c r="B20" s="35">
        <v>222971.6</v>
      </c>
      <c r="C20" s="348">
        <v>12913.8</v>
      </c>
      <c r="D20" s="348">
        <f t="shared" ref="D20:D49" si="6">B20+C20</f>
        <v>235885.4</v>
      </c>
      <c r="E20" s="348">
        <v>-254.7</v>
      </c>
      <c r="F20" s="348">
        <v>116912.7</v>
      </c>
      <c r="G20" s="348">
        <f t="shared" ref="G20:G49" si="7">E20+F20</f>
        <v>116658</v>
      </c>
      <c r="H20" s="348">
        <v>2006.8</v>
      </c>
      <c r="I20" s="348">
        <v>13991.8</v>
      </c>
      <c r="J20" s="348">
        <f t="shared" ref="J20:J49" si="8">H20+I20</f>
        <v>15998.599999999999</v>
      </c>
      <c r="K20" s="348">
        <f>4923.1+660388.7</f>
        <v>665311.79999999993</v>
      </c>
      <c r="L20" s="348">
        <f t="shared" ref="L20:L41" si="9">G20+J20+K20</f>
        <v>797968.39999999991</v>
      </c>
      <c r="M20" s="348">
        <v>-120549.1</v>
      </c>
      <c r="N20" s="348">
        <f t="shared" ref="N20:N31" si="10">L20+M20</f>
        <v>677419.29999999993</v>
      </c>
      <c r="O20" s="348">
        <f t="shared" ref="O20:O31" si="11">D20+N20</f>
        <v>913304.7</v>
      </c>
      <c r="P20" s="50" t="s">
        <v>843</v>
      </c>
    </row>
    <row r="21" spans="1:16" s="143" customFormat="1" ht="12.6" customHeight="1">
      <c r="A21" s="451" t="s">
        <v>844</v>
      </c>
      <c r="B21" s="432">
        <v>227994.8</v>
      </c>
      <c r="C21" s="432">
        <v>13540.2</v>
      </c>
      <c r="D21" s="432">
        <f t="shared" si="6"/>
        <v>241535</v>
      </c>
      <c r="E21" s="432">
        <v>-1519.1</v>
      </c>
      <c r="F21" s="432">
        <v>114843.3</v>
      </c>
      <c r="G21" s="432">
        <f t="shared" si="7"/>
        <v>113324.2</v>
      </c>
      <c r="H21" s="432">
        <v>2009.6</v>
      </c>
      <c r="I21" s="432">
        <v>14100.1</v>
      </c>
      <c r="J21" s="432">
        <f t="shared" si="8"/>
        <v>16109.7</v>
      </c>
      <c r="K21" s="432">
        <f>4820.5+667104.1</f>
        <v>671924.6</v>
      </c>
      <c r="L21" s="432">
        <f t="shared" si="9"/>
        <v>801358.5</v>
      </c>
      <c r="M21" s="432">
        <v>-120010.4</v>
      </c>
      <c r="N21" s="432">
        <f t="shared" si="10"/>
        <v>681348.1</v>
      </c>
      <c r="O21" s="432">
        <f t="shared" si="11"/>
        <v>922883.1</v>
      </c>
      <c r="P21" s="452" t="s">
        <v>844</v>
      </c>
    </row>
    <row r="22" spans="1:16" s="143" customFormat="1" ht="12.6" customHeight="1">
      <c r="A22" s="252" t="s">
        <v>838</v>
      </c>
      <c r="B22" s="348">
        <v>233071.6</v>
      </c>
      <c r="C22" s="348">
        <v>13674.2</v>
      </c>
      <c r="D22" s="348">
        <f t="shared" si="6"/>
        <v>246745.80000000002</v>
      </c>
      <c r="E22" s="348">
        <v>1004.4</v>
      </c>
      <c r="F22" s="348">
        <v>112659.1</v>
      </c>
      <c r="G22" s="348">
        <f t="shared" si="7"/>
        <v>113663.5</v>
      </c>
      <c r="H22" s="348">
        <v>1986.2</v>
      </c>
      <c r="I22" s="348">
        <v>13926.1</v>
      </c>
      <c r="J22" s="348">
        <f t="shared" si="8"/>
        <v>15912.300000000001</v>
      </c>
      <c r="K22" s="348">
        <f>4830.8+675306.2</f>
        <v>680137</v>
      </c>
      <c r="L22" s="348">
        <f t="shared" si="9"/>
        <v>809712.8</v>
      </c>
      <c r="M22" s="348">
        <v>-124935.4</v>
      </c>
      <c r="N22" s="348">
        <f t="shared" si="10"/>
        <v>684777.4</v>
      </c>
      <c r="O22" s="348">
        <f t="shared" si="11"/>
        <v>931523.20000000007</v>
      </c>
      <c r="P22" s="316" t="s">
        <v>838</v>
      </c>
    </row>
    <row r="23" spans="1:16" s="143" customFormat="1" ht="12.6" customHeight="1">
      <c r="A23" s="451" t="s">
        <v>845</v>
      </c>
      <c r="B23" s="432">
        <v>234188.5</v>
      </c>
      <c r="C23" s="432">
        <v>13125.2</v>
      </c>
      <c r="D23" s="432">
        <f t="shared" si="6"/>
        <v>247313.7</v>
      </c>
      <c r="E23" s="432">
        <v>1350.8</v>
      </c>
      <c r="F23" s="432">
        <v>108661.6</v>
      </c>
      <c r="G23" s="432">
        <f t="shared" si="7"/>
        <v>110012.40000000001</v>
      </c>
      <c r="H23" s="432">
        <v>1988.9</v>
      </c>
      <c r="I23" s="432">
        <v>13428.6</v>
      </c>
      <c r="J23" s="432">
        <f t="shared" si="8"/>
        <v>15417.5</v>
      </c>
      <c r="K23" s="432">
        <f>4860.5+680220.3</f>
        <v>685080.8</v>
      </c>
      <c r="L23" s="432">
        <f t="shared" si="9"/>
        <v>810510.70000000007</v>
      </c>
      <c r="M23" s="432">
        <v>-124597.8</v>
      </c>
      <c r="N23" s="432">
        <f t="shared" si="10"/>
        <v>685912.9</v>
      </c>
      <c r="O23" s="432">
        <f t="shared" si="11"/>
        <v>933226.60000000009</v>
      </c>
      <c r="P23" s="452" t="s">
        <v>845</v>
      </c>
    </row>
    <row r="24" spans="1:16" s="143" customFormat="1" ht="12.6" customHeight="1">
      <c r="A24" s="252" t="s">
        <v>846</v>
      </c>
      <c r="B24" s="348">
        <v>233489.3</v>
      </c>
      <c r="C24" s="348">
        <v>11566.6</v>
      </c>
      <c r="D24" s="348">
        <f t="shared" si="6"/>
        <v>245055.9</v>
      </c>
      <c r="E24" s="348">
        <v>3205.6</v>
      </c>
      <c r="F24" s="348">
        <v>105438.9</v>
      </c>
      <c r="G24" s="348">
        <f t="shared" si="7"/>
        <v>108644.5</v>
      </c>
      <c r="H24" s="348">
        <v>1994</v>
      </c>
      <c r="I24" s="348">
        <v>13751.5</v>
      </c>
      <c r="J24" s="348">
        <f t="shared" si="8"/>
        <v>15745.5</v>
      </c>
      <c r="K24" s="38">
        <f>4877.1+689681</f>
        <v>694558.1</v>
      </c>
      <c r="L24" s="348">
        <f t="shared" si="9"/>
        <v>818948.1</v>
      </c>
      <c r="M24" s="348">
        <v>-125282.6</v>
      </c>
      <c r="N24" s="348">
        <f t="shared" si="10"/>
        <v>693665.5</v>
      </c>
      <c r="O24" s="348">
        <f t="shared" si="11"/>
        <v>938721.4</v>
      </c>
      <c r="P24" s="316" t="s">
        <v>846</v>
      </c>
    </row>
    <row r="25" spans="1:16" s="143" customFormat="1" ht="12.6" customHeight="1">
      <c r="A25" s="451" t="s">
        <v>839</v>
      </c>
      <c r="B25" s="432">
        <v>235538.8</v>
      </c>
      <c r="C25" s="432">
        <v>11709.5</v>
      </c>
      <c r="D25" s="432">
        <f t="shared" si="6"/>
        <v>247248.3</v>
      </c>
      <c r="E25" s="432">
        <v>4872.5</v>
      </c>
      <c r="F25" s="432">
        <v>93766.3</v>
      </c>
      <c r="G25" s="432">
        <f t="shared" si="7"/>
        <v>98638.8</v>
      </c>
      <c r="H25" s="432">
        <v>1926.2</v>
      </c>
      <c r="I25" s="432">
        <v>14453.5</v>
      </c>
      <c r="J25" s="432">
        <f t="shared" si="8"/>
        <v>16379.7</v>
      </c>
      <c r="K25" s="432">
        <f>4921.2+712098.3</f>
        <v>717019.5</v>
      </c>
      <c r="L25" s="432">
        <f t="shared" si="9"/>
        <v>832038</v>
      </c>
      <c r="M25" s="432">
        <v>-125232.5</v>
      </c>
      <c r="N25" s="432">
        <f t="shared" si="10"/>
        <v>706805.5</v>
      </c>
      <c r="O25" s="432">
        <f t="shared" si="11"/>
        <v>954053.8</v>
      </c>
      <c r="P25" s="452" t="s">
        <v>839</v>
      </c>
    </row>
    <row r="26" spans="1:16" s="143" customFormat="1" ht="12.6" customHeight="1">
      <c r="A26" s="252" t="s">
        <v>847</v>
      </c>
      <c r="B26" s="348">
        <v>236674.5</v>
      </c>
      <c r="C26" s="348">
        <v>11331.7</v>
      </c>
      <c r="D26" s="348">
        <f t="shared" si="6"/>
        <v>248006.2</v>
      </c>
      <c r="E26" s="348">
        <v>923.2</v>
      </c>
      <c r="F26" s="348">
        <v>95436.9</v>
      </c>
      <c r="G26" s="348">
        <f t="shared" si="7"/>
        <v>96360.099999999991</v>
      </c>
      <c r="H26" s="348">
        <v>1868.6</v>
      </c>
      <c r="I26" s="348">
        <v>14368.7</v>
      </c>
      <c r="J26" s="348">
        <f t="shared" si="8"/>
        <v>16237.300000000001</v>
      </c>
      <c r="K26" s="348">
        <f>4865.5+714487.3</f>
        <v>719352.8</v>
      </c>
      <c r="L26" s="348">
        <f t="shared" si="9"/>
        <v>831950.20000000007</v>
      </c>
      <c r="M26" s="348">
        <v>-128373.5</v>
      </c>
      <c r="N26" s="348">
        <f t="shared" si="10"/>
        <v>703576.70000000007</v>
      </c>
      <c r="O26" s="348">
        <f t="shared" si="11"/>
        <v>951582.90000000014</v>
      </c>
      <c r="P26" s="316" t="s">
        <v>847</v>
      </c>
    </row>
    <row r="27" spans="1:16" s="143" customFormat="1" ht="12.6" customHeight="1">
      <c r="A27" s="451" t="s">
        <v>848</v>
      </c>
      <c r="B27" s="432">
        <v>240191.5</v>
      </c>
      <c r="C27" s="432">
        <v>12306.8</v>
      </c>
      <c r="D27" s="432">
        <f t="shared" si="6"/>
        <v>252498.3</v>
      </c>
      <c r="E27" s="432">
        <v>-470.3</v>
      </c>
      <c r="F27" s="432">
        <v>93995.9</v>
      </c>
      <c r="G27" s="432">
        <f t="shared" si="7"/>
        <v>93525.599999999991</v>
      </c>
      <c r="H27" s="432">
        <v>1871.3</v>
      </c>
      <c r="I27" s="432">
        <v>13782.3</v>
      </c>
      <c r="J27" s="432">
        <f t="shared" si="8"/>
        <v>15653.599999999999</v>
      </c>
      <c r="K27" s="432">
        <f>4840+722861.1</f>
        <v>727701.1</v>
      </c>
      <c r="L27" s="432">
        <f t="shared" si="9"/>
        <v>836880.29999999993</v>
      </c>
      <c r="M27" s="432">
        <v>-131492.1</v>
      </c>
      <c r="N27" s="432">
        <f t="shared" si="10"/>
        <v>705388.2</v>
      </c>
      <c r="O27" s="432">
        <f t="shared" si="11"/>
        <v>957886.5</v>
      </c>
      <c r="P27" s="452" t="s">
        <v>848</v>
      </c>
    </row>
    <row r="28" spans="1:16" s="143" customFormat="1" ht="12.6" customHeight="1">
      <c r="A28" s="252" t="s">
        <v>840</v>
      </c>
      <c r="B28" s="348">
        <v>242368.9</v>
      </c>
      <c r="C28" s="348">
        <v>11777</v>
      </c>
      <c r="D28" s="348">
        <f t="shared" si="6"/>
        <v>254145.9</v>
      </c>
      <c r="E28" s="348">
        <v>-218.8</v>
      </c>
      <c r="F28" s="348">
        <v>90530.9</v>
      </c>
      <c r="G28" s="348">
        <f t="shared" si="7"/>
        <v>90312.099999999991</v>
      </c>
      <c r="H28" s="348">
        <v>1849.4</v>
      </c>
      <c r="I28" s="348">
        <v>14439</v>
      </c>
      <c r="J28" s="348">
        <f t="shared" si="8"/>
        <v>16288.4</v>
      </c>
      <c r="K28" s="348">
        <f>4866.9+733773.9</f>
        <v>738640.8</v>
      </c>
      <c r="L28" s="348">
        <f t="shared" si="9"/>
        <v>845241.3</v>
      </c>
      <c r="M28" s="348">
        <v>-134564.1</v>
      </c>
      <c r="N28" s="348">
        <f t="shared" si="10"/>
        <v>710677.20000000007</v>
      </c>
      <c r="O28" s="348">
        <f t="shared" si="11"/>
        <v>964823.10000000009</v>
      </c>
      <c r="P28" s="316" t="s">
        <v>840</v>
      </c>
    </row>
    <row r="29" spans="1:16" s="143" customFormat="1" ht="12.6" customHeight="1">
      <c r="A29" s="451" t="s">
        <v>849</v>
      </c>
      <c r="B29" s="432">
        <v>242030</v>
      </c>
      <c r="C29" s="432">
        <v>12307.1</v>
      </c>
      <c r="D29" s="432">
        <f t="shared" si="6"/>
        <v>254337.1</v>
      </c>
      <c r="E29" s="432">
        <v>2900.4</v>
      </c>
      <c r="F29" s="432">
        <v>81265.7</v>
      </c>
      <c r="G29" s="432">
        <f t="shared" si="7"/>
        <v>84166.099999999991</v>
      </c>
      <c r="H29" s="432">
        <v>1851.9</v>
      </c>
      <c r="I29" s="432">
        <v>15002.2</v>
      </c>
      <c r="J29" s="432">
        <f t="shared" si="8"/>
        <v>16854.100000000002</v>
      </c>
      <c r="K29" s="432">
        <f>4873.1+744374.7</f>
        <v>749247.79999999993</v>
      </c>
      <c r="L29" s="432">
        <f t="shared" si="9"/>
        <v>850267.99999999988</v>
      </c>
      <c r="M29" s="432">
        <v>-133341.4</v>
      </c>
      <c r="N29" s="432">
        <f t="shared" si="10"/>
        <v>716926.59999999986</v>
      </c>
      <c r="O29" s="432">
        <f t="shared" si="11"/>
        <v>971263.69999999984</v>
      </c>
      <c r="P29" s="452" t="s">
        <v>849</v>
      </c>
    </row>
    <row r="30" spans="1:16" s="143" customFormat="1" ht="12.6" customHeight="1">
      <c r="A30" s="252" t="s">
        <v>850</v>
      </c>
      <c r="B30" s="348">
        <v>246330.1</v>
      </c>
      <c r="C30" s="348">
        <v>11187.7</v>
      </c>
      <c r="D30" s="348">
        <f t="shared" si="6"/>
        <v>257517.80000000002</v>
      </c>
      <c r="E30" s="348">
        <v>8419.9</v>
      </c>
      <c r="F30" s="348">
        <v>74177.7</v>
      </c>
      <c r="G30" s="348">
        <f t="shared" si="7"/>
        <v>82597.599999999991</v>
      </c>
      <c r="H30" s="348">
        <v>2154</v>
      </c>
      <c r="I30" s="348">
        <v>15233.5</v>
      </c>
      <c r="J30" s="348">
        <f t="shared" si="8"/>
        <v>17387.5</v>
      </c>
      <c r="K30" s="348">
        <f>4983+753866.7</f>
        <v>758849.7</v>
      </c>
      <c r="L30" s="348">
        <f t="shared" si="9"/>
        <v>858834.79999999993</v>
      </c>
      <c r="M30" s="348">
        <v>-137872.5</v>
      </c>
      <c r="N30" s="348">
        <f t="shared" si="10"/>
        <v>720962.29999999993</v>
      </c>
      <c r="O30" s="348">
        <f t="shared" si="11"/>
        <v>978480.1</v>
      </c>
      <c r="P30" s="316" t="s">
        <v>850</v>
      </c>
    </row>
    <row r="31" spans="1:16" s="143" customFormat="1" ht="12.6" customHeight="1">
      <c r="A31" s="451" t="s">
        <v>841</v>
      </c>
      <c r="B31" s="432">
        <v>252027</v>
      </c>
      <c r="C31" s="432">
        <v>14670</v>
      </c>
      <c r="D31" s="432">
        <f t="shared" si="6"/>
        <v>266697</v>
      </c>
      <c r="E31" s="432">
        <v>12977.7</v>
      </c>
      <c r="F31" s="432">
        <v>84355.8</v>
      </c>
      <c r="G31" s="432">
        <f t="shared" si="7"/>
        <v>97333.5</v>
      </c>
      <c r="H31" s="432">
        <v>2157.8000000000002</v>
      </c>
      <c r="I31" s="432">
        <v>15122.4</v>
      </c>
      <c r="J31" s="432">
        <f t="shared" si="8"/>
        <v>17280.2</v>
      </c>
      <c r="K31" s="432">
        <f>4976.6+771079.9</f>
        <v>776056.5</v>
      </c>
      <c r="L31" s="432">
        <f t="shared" si="9"/>
        <v>890670.2</v>
      </c>
      <c r="M31" s="432">
        <v>-141291.1</v>
      </c>
      <c r="N31" s="432">
        <f t="shared" si="10"/>
        <v>749379.1</v>
      </c>
      <c r="O31" s="432">
        <f t="shared" si="11"/>
        <v>1016076.1</v>
      </c>
      <c r="P31" s="452" t="s">
        <v>841</v>
      </c>
    </row>
    <row r="32" spans="1:16" s="387" customFormat="1" ht="12.6" customHeight="1">
      <c r="A32" s="558" t="s">
        <v>2320</v>
      </c>
      <c r="B32" s="529">
        <f>B44</f>
        <v>253509.8</v>
      </c>
      <c r="C32" s="529">
        <f t="shared" ref="C32:O32" si="12">C44</f>
        <v>11164.6</v>
      </c>
      <c r="D32" s="529">
        <f t="shared" si="12"/>
        <v>264674.39999999997</v>
      </c>
      <c r="E32" s="529">
        <f t="shared" si="12"/>
        <v>22572.2</v>
      </c>
      <c r="F32" s="529">
        <f t="shared" si="12"/>
        <v>72322.7</v>
      </c>
      <c r="G32" s="529">
        <f t="shared" si="12"/>
        <v>94894.9</v>
      </c>
      <c r="H32" s="529">
        <f t="shared" si="12"/>
        <v>2367.8000000000002</v>
      </c>
      <c r="I32" s="529">
        <f t="shared" si="12"/>
        <v>16832.3</v>
      </c>
      <c r="J32" s="529">
        <f t="shared" si="12"/>
        <v>19200.099999999999</v>
      </c>
      <c r="K32" s="529">
        <f t="shared" si="12"/>
        <v>907531.6</v>
      </c>
      <c r="L32" s="529">
        <f t="shared" si="12"/>
        <v>1021626.6</v>
      </c>
      <c r="M32" s="529">
        <f t="shared" si="12"/>
        <v>-176320</v>
      </c>
      <c r="N32" s="529">
        <f t="shared" si="12"/>
        <v>845306.6</v>
      </c>
      <c r="O32" s="529">
        <f t="shared" si="12"/>
        <v>1109981</v>
      </c>
      <c r="P32" s="560" t="s">
        <v>2320</v>
      </c>
    </row>
    <row r="33" spans="1:16" s="143" customFormat="1" ht="12.6" customHeight="1">
      <c r="A33" s="451" t="s">
        <v>843</v>
      </c>
      <c r="B33" s="432">
        <v>251647.8</v>
      </c>
      <c r="C33" s="432">
        <v>13105.3</v>
      </c>
      <c r="D33" s="432">
        <f t="shared" si="6"/>
        <v>264753.09999999998</v>
      </c>
      <c r="E33" s="432">
        <v>3564.5</v>
      </c>
      <c r="F33" s="432">
        <v>91195.3</v>
      </c>
      <c r="G33" s="432">
        <f t="shared" si="7"/>
        <v>94759.8</v>
      </c>
      <c r="H33" s="432">
        <v>2147.5</v>
      </c>
      <c r="I33" s="432">
        <v>15420.4</v>
      </c>
      <c r="J33" s="432">
        <f t="shared" si="8"/>
        <v>17567.900000000001</v>
      </c>
      <c r="K33" s="432">
        <f>4920.2+773095.4</f>
        <v>778015.6</v>
      </c>
      <c r="L33" s="432">
        <f t="shared" si="9"/>
        <v>890343.3</v>
      </c>
      <c r="M33" s="432">
        <v>-145504.70000000001</v>
      </c>
      <c r="N33" s="432">
        <f t="shared" ref="N33:N41" si="13">L33+M33</f>
        <v>744838.60000000009</v>
      </c>
      <c r="O33" s="432">
        <f t="shared" ref="O33:O49" si="14">D33+N33</f>
        <v>1009591.7000000001</v>
      </c>
      <c r="P33" s="452" t="s">
        <v>843</v>
      </c>
    </row>
    <row r="34" spans="1:16" s="143" customFormat="1" ht="12.6" customHeight="1">
      <c r="A34" s="252" t="s">
        <v>844</v>
      </c>
      <c r="B34" s="348">
        <v>251630.1</v>
      </c>
      <c r="C34" s="348">
        <v>14305.3</v>
      </c>
      <c r="D34" s="348">
        <f t="shared" si="6"/>
        <v>265935.40000000002</v>
      </c>
      <c r="E34" s="348">
        <v>14699.8</v>
      </c>
      <c r="F34" s="348">
        <v>86587.6</v>
      </c>
      <c r="G34" s="348">
        <f t="shared" si="7"/>
        <v>101287.40000000001</v>
      </c>
      <c r="H34" s="348">
        <v>2150.1999999999998</v>
      </c>
      <c r="I34" s="348">
        <v>15541.5</v>
      </c>
      <c r="J34" s="348">
        <f t="shared" si="8"/>
        <v>17691.7</v>
      </c>
      <c r="K34" s="348">
        <f>4833.9+786973.2</f>
        <v>791807.1</v>
      </c>
      <c r="L34" s="348">
        <f t="shared" si="9"/>
        <v>910786.2</v>
      </c>
      <c r="M34" s="348">
        <v>-145569.9</v>
      </c>
      <c r="N34" s="348">
        <f t="shared" si="13"/>
        <v>765216.29999999993</v>
      </c>
      <c r="O34" s="348">
        <f t="shared" si="14"/>
        <v>1031151.7</v>
      </c>
      <c r="P34" s="316" t="s">
        <v>844</v>
      </c>
    </row>
    <row r="35" spans="1:16" s="143" customFormat="1" ht="12.6" customHeight="1">
      <c r="A35" s="451" t="s">
        <v>838</v>
      </c>
      <c r="B35" s="432">
        <v>250809.7</v>
      </c>
      <c r="C35" s="432">
        <v>12244.6</v>
      </c>
      <c r="D35" s="432">
        <f t="shared" si="6"/>
        <v>263054.3</v>
      </c>
      <c r="E35" s="432">
        <v>6694.8</v>
      </c>
      <c r="F35" s="432">
        <v>87743.3</v>
      </c>
      <c r="G35" s="432">
        <f t="shared" si="7"/>
        <v>94438.1</v>
      </c>
      <c r="H35" s="432">
        <v>2152.6</v>
      </c>
      <c r="I35" s="432">
        <v>15524.7</v>
      </c>
      <c r="J35" s="432">
        <f t="shared" si="8"/>
        <v>17677.3</v>
      </c>
      <c r="K35" s="432">
        <f>4844.2+796381.3</f>
        <v>801225.5</v>
      </c>
      <c r="L35" s="432">
        <f t="shared" si="9"/>
        <v>913340.9</v>
      </c>
      <c r="M35" s="432">
        <v>-147694.39999999999</v>
      </c>
      <c r="N35" s="432">
        <f t="shared" si="13"/>
        <v>765646.5</v>
      </c>
      <c r="O35" s="432">
        <f t="shared" si="14"/>
        <v>1028700.8</v>
      </c>
      <c r="P35" s="452" t="s">
        <v>838</v>
      </c>
    </row>
    <row r="36" spans="1:16" s="143" customFormat="1" ht="12.6" customHeight="1">
      <c r="A36" s="252" t="s">
        <v>845</v>
      </c>
      <c r="B36" s="348">
        <v>251637.5</v>
      </c>
      <c r="C36" s="348">
        <v>11537.9</v>
      </c>
      <c r="D36" s="348">
        <f t="shared" si="6"/>
        <v>263175.40000000002</v>
      </c>
      <c r="E36" s="348">
        <v>8497.2999999999993</v>
      </c>
      <c r="F36" s="348">
        <v>83686.100000000006</v>
      </c>
      <c r="G36" s="348">
        <f t="shared" si="7"/>
        <v>92183.400000000009</v>
      </c>
      <c r="H36" s="348">
        <v>2154.9</v>
      </c>
      <c r="I36" s="348">
        <v>15876.5</v>
      </c>
      <c r="J36" s="348">
        <f t="shared" si="8"/>
        <v>18031.400000000001</v>
      </c>
      <c r="K36" s="348">
        <f>4848.8+807831</f>
        <v>812679.8</v>
      </c>
      <c r="L36" s="348">
        <f t="shared" si="9"/>
        <v>922894.60000000009</v>
      </c>
      <c r="M36" s="348">
        <v>-152848.20000000001</v>
      </c>
      <c r="N36" s="348">
        <f t="shared" si="13"/>
        <v>770046.40000000014</v>
      </c>
      <c r="O36" s="348">
        <f t="shared" si="14"/>
        <v>1033221.8000000002</v>
      </c>
      <c r="P36" s="316" t="s">
        <v>845</v>
      </c>
    </row>
    <row r="37" spans="1:16" s="143" customFormat="1" ht="12.6" customHeight="1">
      <c r="A37" s="451" t="s">
        <v>846</v>
      </c>
      <c r="B37" s="432">
        <v>252830</v>
      </c>
      <c r="C37" s="432">
        <v>9708.5</v>
      </c>
      <c r="D37" s="432">
        <f t="shared" si="6"/>
        <v>262538.5</v>
      </c>
      <c r="E37" s="432">
        <v>8979.1</v>
      </c>
      <c r="F37" s="432">
        <v>83624</v>
      </c>
      <c r="G37" s="432">
        <f t="shared" si="7"/>
        <v>92603.1</v>
      </c>
      <c r="H37" s="432">
        <v>2157.4</v>
      </c>
      <c r="I37" s="432">
        <v>15984.2</v>
      </c>
      <c r="J37" s="432">
        <f t="shared" si="8"/>
        <v>18141.600000000002</v>
      </c>
      <c r="K37" s="432">
        <f>4885.6+822058</f>
        <v>826943.6</v>
      </c>
      <c r="L37" s="432">
        <f t="shared" si="9"/>
        <v>937688.3</v>
      </c>
      <c r="M37" s="432">
        <v>-159861.6</v>
      </c>
      <c r="N37" s="432">
        <f t="shared" si="13"/>
        <v>777826.70000000007</v>
      </c>
      <c r="O37" s="432">
        <f t="shared" si="14"/>
        <v>1040365.2000000001</v>
      </c>
      <c r="P37" s="452" t="s">
        <v>846</v>
      </c>
    </row>
    <row r="38" spans="1:16" s="143" customFormat="1" ht="12.6" customHeight="1">
      <c r="A38" s="252" t="s">
        <v>839</v>
      </c>
      <c r="B38" s="348">
        <v>253497.7</v>
      </c>
      <c r="C38" s="348">
        <v>10526.1</v>
      </c>
      <c r="D38" s="348">
        <f t="shared" si="6"/>
        <v>264023.8</v>
      </c>
      <c r="E38" s="348">
        <v>9238.6</v>
      </c>
      <c r="F38" s="348">
        <v>78037.899999999994</v>
      </c>
      <c r="G38" s="348">
        <f t="shared" si="7"/>
        <v>87276.5</v>
      </c>
      <c r="H38" s="348">
        <v>2160</v>
      </c>
      <c r="I38" s="348">
        <v>16465.5</v>
      </c>
      <c r="J38" s="348">
        <f t="shared" si="8"/>
        <v>18625.5</v>
      </c>
      <c r="K38" s="348">
        <f>4986.5+841101</f>
        <v>846087.5</v>
      </c>
      <c r="L38" s="348">
        <f t="shared" si="9"/>
        <v>951989.5</v>
      </c>
      <c r="M38" s="348">
        <v>-160014.39999999999</v>
      </c>
      <c r="N38" s="348">
        <f t="shared" si="13"/>
        <v>791975.1</v>
      </c>
      <c r="O38" s="348">
        <f t="shared" si="14"/>
        <v>1055998.8999999999</v>
      </c>
      <c r="P38" s="316" t="s">
        <v>839</v>
      </c>
    </row>
    <row r="39" spans="1:16" s="143" customFormat="1" ht="12.6" customHeight="1">
      <c r="A39" s="451" t="s">
        <v>847</v>
      </c>
      <c r="B39" s="432">
        <v>253560.4</v>
      </c>
      <c r="C39" s="432">
        <v>9127.9</v>
      </c>
      <c r="D39" s="432">
        <f t="shared" si="6"/>
        <v>262688.3</v>
      </c>
      <c r="E39" s="432">
        <v>7367.2</v>
      </c>
      <c r="F39" s="432">
        <v>73666.2</v>
      </c>
      <c r="G39" s="432">
        <f t="shared" si="7"/>
        <v>81033.399999999994</v>
      </c>
      <c r="H39" s="432">
        <v>2208.4</v>
      </c>
      <c r="I39" s="432">
        <v>16186.8</v>
      </c>
      <c r="J39" s="432">
        <f t="shared" si="8"/>
        <v>18395.2</v>
      </c>
      <c r="K39" s="432">
        <f>4993.1+846421.8</f>
        <v>851414.9</v>
      </c>
      <c r="L39" s="432">
        <f t="shared" si="9"/>
        <v>950843.5</v>
      </c>
      <c r="M39" s="432">
        <v>-165469.6</v>
      </c>
      <c r="N39" s="432">
        <f t="shared" si="13"/>
        <v>785373.9</v>
      </c>
      <c r="O39" s="432">
        <f t="shared" si="14"/>
        <v>1048062.2</v>
      </c>
      <c r="P39" s="452" t="s">
        <v>847</v>
      </c>
    </row>
    <row r="40" spans="1:16" s="143" customFormat="1" ht="12.6" customHeight="1">
      <c r="A40" s="252" t="s">
        <v>848</v>
      </c>
      <c r="B40" s="348">
        <v>253570.9</v>
      </c>
      <c r="C40" s="348">
        <v>8786</v>
      </c>
      <c r="D40" s="348">
        <f t="shared" si="6"/>
        <v>262356.90000000002</v>
      </c>
      <c r="E40" s="348">
        <v>7078.4</v>
      </c>
      <c r="F40" s="348">
        <v>67990.899999999994</v>
      </c>
      <c r="G40" s="348">
        <f t="shared" si="7"/>
        <v>75069.299999999988</v>
      </c>
      <c r="H40" s="348">
        <v>2211.1</v>
      </c>
      <c r="I40" s="348">
        <v>16347.7</v>
      </c>
      <c r="J40" s="348">
        <f t="shared" si="8"/>
        <v>18558.8</v>
      </c>
      <c r="K40" s="348">
        <f>4920.7+857304.1</f>
        <v>862224.79999999993</v>
      </c>
      <c r="L40" s="348">
        <f t="shared" si="9"/>
        <v>955852.89999999991</v>
      </c>
      <c r="M40" s="348">
        <v>-166663</v>
      </c>
      <c r="N40" s="348">
        <f t="shared" si="13"/>
        <v>789189.89999999991</v>
      </c>
      <c r="O40" s="348">
        <f t="shared" si="14"/>
        <v>1051546.7999999998</v>
      </c>
      <c r="P40" s="316" t="s">
        <v>848</v>
      </c>
    </row>
    <row r="41" spans="1:16" s="143" customFormat="1" ht="12.6" customHeight="1">
      <c r="A41" s="451" t="s">
        <v>840</v>
      </c>
      <c r="B41" s="432">
        <v>252905.8</v>
      </c>
      <c r="C41" s="432">
        <v>10165.6</v>
      </c>
      <c r="D41" s="432">
        <f t="shared" si="6"/>
        <v>263071.39999999997</v>
      </c>
      <c r="E41" s="432">
        <v>10068.4</v>
      </c>
      <c r="F41" s="432">
        <v>64507.1</v>
      </c>
      <c r="G41" s="432">
        <f t="shared" si="7"/>
        <v>74575.5</v>
      </c>
      <c r="H41" s="432">
        <v>2213.9</v>
      </c>
      <c r="I41" s="432">
        <v>15984.5</v>
      </c>
      <c r="J41" s="432">
        <f t="shared" si="8"/>
        <v>18198.400000000001</v>
      </c>
      <c r="K41" s="432">
        <f>4958.9+866472.6</f>
        <v>871431.5</v>
      </c>
      <c r="L41" s="432">
        <f t="shared" si="9"/>
        <v>964205.4</v>
      </c>
      <c r="M41" s="432">
        <v>-173163.6</v>
      </c>
      <c r="N41" s="432">
        <f t="shared" si="13"/>
        <v>791041.8</v>
      </c>
      <c r="O41" s="432">
        <f t="shared" si="14"/>
        <v>1054113.2</v>
      </c>
      <c r="P41" s="452" t="s">
        <v>840</v>
      </c>
    </row>
    <row r="42" spans="1:16" s="143" customFormat="1" ht="12.6" customHeight="1">
      <c r="A42" s="252" t="s">
        <v>849</v>
      </c>
      <c r="B42" s="348">
        <v>251317</v>
      </c>
      <c r="C42" s="348">
        <v>7482.2</v>
      </c>
      <c r="D42" s="348">
        <f t="shared" si="6"/>
        <v>258799.2</v>
      </c>
      <c r="E42" s="348">
        <v>10370.6</v>
      </c>
      <c r="F42" s="348">
        <v>61258.3</v>
      </c>
      <c r="G42" s="348">
        <f t="shared" si="7"/>
        <v>71628.900000000009</v>
      </c>
      <c r="H42" s="348">
        <v>2342</v>
      </c>
      <c r="I42" s="348">
        <v>16992.3</v>
      </c>
      <c r="J42" s="348">
        <f t="shared" si="8"/>
        <v>19334.3</v>
      </c>
      <c r="K42" s="348">
        <f>5037.6+876473.2</f>
        <v>881510.79999999993</v>
      </c>
      <c r="L42" s="348">
        <f>G42+J42+K42</f>
        <v>972474</v>
      </c>
      <c r="M42" s="348">
        <v>-171805</v>
      </c>
      <c r="N42" s="348">
        <f>L42+M42</f>
        <v>800669</v>
      </c>
      <c r="O42" s="348">
        <f t="shared" si="14"/>
        <v>1059468.2</v>
      </c>
      <c r="P42" s="316" t="s">
        <v>849</v>
      </c>
    </row>
    <row r="43" spans="1:16" s="143" customFormat="1" ht="12.6" customHeight="1">
      <c r="A43" s="451" t="s">
        <v>850</v>
      </c>
      <c r="B43" s="432">
        <v>252375.2</v>
      </c>
      <c r="C43" s="432">
        <v>8685.9</v>
      </c>
      <c r="D43" s="432">
        <f t="shared" si="6"/>
        <v>261061.1</v>
      </c>
      <c r="E43" s="432">
        <v>10663.6</v>
      </c>
      <c r="F43" s="432">
        <v>66033.100000000006</v>
      </c>
      <c r="G43" s="432">
        <f t="shared" si="7"/>
        <v>76696.700000000012</v>
      </c>
      <c r="H43" s="432">
        <v>2385.4</v>
      </c>
      <c r="I43" s="432">
        <v>17421.900000000001</v>
      </c>
      <c r="J43" s="432">
        <f t="shared" si="8"/>
        <v>19807.300000000003</v>
      </c>
      <c r="K43" s="432">
        <f>5071.1+887332.3</f>
        <v>892403.4</v>
      </c>
      <c r="L43" s="432">
        <f>G43+J43+K43</f>
        <v>988907.4</v>
      </c>
      <c r="M43" s="432">
        <v>-171670.39999999999</v>
      </c>
      <c r="N43" s="432">
        <f>L43+M43</f>
        <v>817237</v>
      </c>
      <c r="O43" s="432">
        <f t="shared" si="14"/>
        <v>1078298.1000000001</v>
      </c>
      <c r="P43" s="452" t="s">
        <v>850</v>
      </c>
    </row>
    <row r="44" spans="1:16" s="143" customFormat="1" ht="12.6" customHeight="1">
      <c r="A44" s="252" t="s">
        <v>841</v>
      </c>
      <c r="B44" s="348">
        <v>253509.8</v>
      </c>
      <c r="C44" s="348">
        <v>11164.6</v>
      </c>
      <c r="D44" s="348">
        <f t="shared" si="6"/>
        <v>264674.39999999997</v>
      </c>
      <c r="E44" s="348">
        <v>22572.2</v>
      </c>
      <c r="F44" s="348">
        <v>72322.7</v>
      </c>
      <c r="G44" s="348">
        <f t="shared" si="7"/>
        <v>94894.9</v>
      </c>
      <c r="H44" s="348">
        <v>2367.8000000000002</v>
      </c>
      <c r="I44" s="348">
        <v>16832.3</v>
      </c>
      <c r="J44" s="348">
        <f t="shared" si="8"/>
        <v>19200.099999999999</v>
      </c>
      <c r="K44" s="348">
        <f>5146.2+902385.4</f>
        <v>907531.6</v>
      </c>
      <c r="L44" s="348">
        <f>G44+J44+K44</f>
        <v>1021626.6</v>
      </c>
      <c r="M44" s="348">
        <v>-176320</v>
      </c>
      <c r="N44" s="348">
        <f>L44+M44</f>
        <v>845306.6</v>
      </c>
      <c r="O44" s="348">
        <f t="shared" si="14"/>
        <v>1109981</v>
      </c>
      <c r="P44" s="316" t="s">
        <v>841</v>
      </c>
    </row>
    <row r="45" spans="1:16" s="52" customFormat="1" ht="12.6" customHeight="1">
      <c r="A45" s="453" t="s">
        <v>2585</v>
      </c>
      <c r="B45" s="432"/>
      <c r="C45" s="432"/>
      <c r="D45" s="432"/>
      <c r="E45" s="432"/>
      <c r="F45" s="432"/>
      <c r="G45" s="432"/>
      <c r="H45" s="432"/>
      <c r="I45" s="432"/>
      <c r="J45" s="432"/>
      <c r="K45" s="432"/>
      <c r="L45" s="432"/>
      <c r="M45" s="432"/>
      <c r="N45" s="432"/>
      <c r="O45" s="432"/>
      <c r="P45" s="454" t="s">
        <v>2585</v>
      </c>
    </row>
    <row r="46" spans="1:16" s="52" customFormat="1" ht="12.6" customHeight="1">
      <c r="A46" s="252" t="s">
        <v>843</v>
      </c>
      <c r="B46" s="348">
        <v>251973.1</v>
      </c>
      <c r="C46" s="348">
        <v>11327.6</v>
      </c>
      <c r="D46" s="348">
        <f t="shared" si="6"/>
        <v>263300.7</v>
      </c>
      <c r="E46" s="348">
        <v>12131.7</v>
      </c>
      <c r="F46" s="348">
        <v>85050.8</v>
      </c>
      <c r="G46" s="348">
        <f t="shared" si="7"/>
        <v>97182.5</v>
      </c>
      <c r="H46" s="348">
        <v>2356.5</v>
      </c>
      <c r="I46" s="348">
        <v>17127.7</v>
      </c>
      <c r="J46" s="348">
        <f t="shared" si="8"/>
        <v>19484.2</v>
      </c>
      <c r="K46" s="348">
        <f>5096.9+896368.7</f>
        <v>901465.59999999998</v>
      </c>
      <c r="L46" s="348">
        <f t="shared" ref="L46:L49" si="15">G46+J46+K46</f>
        <v>1018132.2999999999</v>
      </c>
      <c r="M46" s="348">
        <v>-175272.3</v>
      </c>
      <c r="N46" s="348">
        <f t="shared" ref="N46:N49" si="16">L46+M46</f>
        <v>842860</v>
      </c>
      <c r="O46" s="348">
        <f t="shared" si="14"/>
        <v>1106160.7</v>
      </c>
      <c r="P46" s="316" t="s">
        <v>843</v>
      </c>
    </row>
    <row r="47" spans="1:16" ht="12.6" customHeight="1">
      <c r="A47" s="451" t="s">
        <v>844</v>
      </c>
      <c r="B47" s="432">
        <v>254675.20000000001</v>
      </c>
      <c r="C47" s="432">
        <v>12613.9</v>
      </c>
      <c r="D47" s="432">
        <f t="shared" si="6"/>
        <v>267289.10000000003</v>
      </c>
      <c r="E47" s="432">
        <v>17116.900000000001</v>
      </c>
      <c r="F47" s="432">
        <v>84575.1</v>
      </c>
      <c r="G47" s="432">
        <f t="shared" si="7"/>
        <v>101692</v>
      </c>
      <c r="H47" s="432">
        <v>2359.9</v>
      </c>
      <c r="I47" s="432">
        <v>17066.900000000001</v>
      </c>
      <c r="J47" s="432">
        <f t="shared" si="8"/>
        <v>19426.800000000003</v>
      </c>
      <c r="K47" s="432">
        <f>5051.1+905114.9</f>
        <v>910166</v>
      </c>
      <c r="L47" s="432">
        <f t="shared" si="15"/>
        <v>1031284.8</v>
      </c>
      <c r="M47" s="432">
        <v>-174619.6</v>
      </c>
      <c r="N47" s="432">
        <f t="shared" si="16"/>
        <v>856665.20000000007</v>
      </c>
      <c r="O47" s="432">
        <f t="shared" si="14"/>
        <v>1123954.3</v>
      </c>
      <c r="P47" s="452" t="s">
        <v>844</v>
      </c>
    </row>
    <row r="48" spans="1:16" ht="12.6" customHeight="1">
      <c r="A48" s="252" t="s">
        <v>838</v>
      </c>
      <c r="B48" s="348">
        <v>251729.4</v>
      </c>
      <c r="C48" s="348">
        <v>13507.3</v>
      </c>
      <c r="D48" s="348">
        <f t="shared" si="6"/>
        <v>265236.7</v>
      </c>
      <c r="E48" s="348">
        <v>10446.5</v>
      </c>
      <c r="F48" s="348">
        <v>85248.6</v>
      </c>
      <c r="G48" s="348">
        <f t="shared" si="7"/>
        <v>95695.1</v>
      </c>
      <c r="H48" s="348">
        <v>2363.1999999999998</v>
      </c>
      <c r="I48" s="348">
        <v>17268.900000000001</v>
      </c>
      <c r="J48" s="348">
        <f t="shared" si="8"/>
        <v>19632.100000000002</v>
      </c>
      <c r="K48" s="348">
        <f>5003.2+913742.4</f>
        <v>918745.59999999998</v>
      </c>
      <c r="L48" s="348">
        <f t="shared" si="15"/>
        <v>1034072.8</v>
      </c>
      <c r="M48" s="348">
        <v>-180414.9</v>
      </c>
      <c r="N48" s="348">
        <f t="shared" si="16"/>
        <v>853657.9</v>
      </c>
      <c r="O48" s="348">
        <f t="shared" si="14"/>
        <v>1118894.6000000001</v>
      </c>
      <c r="P48" s="316" t="s">
        <v>838</v>
      </c>
    </row>
    <row r="49" spans="1:18" ht="12.6" customHeight="1" thickBot="1">
      <c r="A49" s="519" t="s">
        <v>845</v>
      </c>
      <c r="B49" s="1129">
        <v>248150.39999999999</v>
      </c>
      <c r="C49" s="1129">
        <v>12242.9</v>
      </c>
      <c r="D49" s="1129">
        <f t="shared" si="6"/>
        <v>260393.3</v>
      </c>
      <c r="E49" s="1129">
        <v>14507.2</v>
      </c>
      <c r="F49" s="1129">
        <v>81161.7</v>
      </c>
      <c r="G49" s="1129">
        <f t="shared" si="7"/>
        <v>95668.9</v>
      </c>
      <c r="H49" s="1129">
        <v>2366.6999999999998</v>
      </c>
      <c r="I49" s="1129">
        <v>17861.599999999999</v>
      </c>
      <c r="J49" s="1129">
        <f t="shared" si="8"/>
        <v>20228.3</v>
      </c>
      <c r="K49" s="1129">
        <f>4969+927376</f>
        <v>932345</v>
      </c>
      <c r="L49" s="1129">
        <f t="shared" si="15"/>
        <v>1048242.2</v>
      </c>
      <c r="M49" s="1129">
        <v>-182810.5</v>
      </c>
      <c r="N49" s="1129">
        <f t="shared" si="16"/>
        <v>865431.7</v>
      </c>
      <c r="O49" s="1129">
        <f t="shared" si="14"/>
        <v>1125825</v>
      </c>
      <c r="P49" s="817" t="s">
        <v>845</v>
      </c>
    </row>
    <row r="50" spans="1:18" ht="12" customHeight="1">
      <c r="A50" s="859" t="s">
        <v>258</v>
      </c>
      <c r="B50" s="1821" t="s">
        <v>2342</v>
      </c>
      <c r="C50" s="1821"/>
      <c r="D50" s="1821"/>
      <c r="E50" s="1821"/>
      <c r="F50" s="1821"/>
      <c r="G50" s="1821"/>
      <c r="H50" s="1821"/>
      <c r="I50" s="859" t="s">
        <v>260</v>
      </c>
      <c r="J50" s="1821" t="s">
        <v>1742</v>
      </c>
      <c r="K50" s="1821"/>
      <c r="L50" s="1821"/>
      <c r="M50" s="1821"/>
      <c r="N50" s="1821"/>
      <c r="O50" s="1821"/>
      <c r="P50" s="1821"/>
      <c r="R50" s="53"/>
    </row>
    <row r="51" spans="1:18" ht="12.75" customHeight="1">
      <c r="A51" s="52"/>
      <c r="B51" s="1822" t="s">
        <v>2277</v>
      </c>
      <c r="C51" s="1822"/>
      <c r="D51" s="1822"/>
      <c r="E51" s="1285"/>
      <c r="F51" s="1285"/>
      <c r="G51" s="1285"/>
      <c r="H51" s="1285"/>
      <c r="J51" s="1814" t="s">
        <v>2168</v>
      </c>
      <c r="K51" s="1814"/>
      <c r="L51" s="1814"/>
      <c r="M51" s="1814"/>
      <c r="N51" s="1814"/>
      <c r="O51" s="1814"/>
      <c r="P51" s="1814"/>
    </row>
    <row r="52" spans="1:18" ht="15.75" customHeight="1">
      <c r="B52" s="1814"/>
      <c r="C52" s="1814"/>
      <c r="D52" s="1814"/>
      <c r="E52" s="1814"/>
      <c r="F52" s="1814"/>
      <c r="G52" s="1814"/>
      <c r="H52" s="22"/>
      <c r="I52" s="66" t="s">
        <v>259</v>
      </c>
      <c r="J52" s="1818" t="s">
        <v>2170</v>
      </c>
      <c r="K52" s="1818"/>
      <c r="L52" s="1818"/>
      <c r="M52" s="1818"/>
      <c r="N52" s="1818"/>
      <c r="Q52" s="254"/>
    </row>
    <row r="53" spans="1:18" ht="12.75" customHeight="1">
      <c r="P53" s="53"/>
      <c r="Q53" s="726"/>
    </row>
    <row r="54" spans="1:18" ht="12.75" customHeight="1">
      <c r="G54" s="120"/>
      <c r="H54" s="120"/>
      <c r="I54" s="120"/>
      <c r="L54" s="53"/>
      <c r="M54" s="120"/>
      <c r="N54" s="53"/>
      <c r="O54" s="120"/>
      <c r="P54" s="53"/>
      <c r="Q54" s="254"/>
    </row>
    <row r="55" spans="1:18" ht="12.75" customHeight="1">
      <c r="G55" s="120"/>
      <c r="H55" s="120"/>
      <c r="I55" s="120"/>
      <c r="J55" s="53"/>
      <c r="K55" s="120"/>
      <c r="L55" s="53"/>
      <c r="M55" s="120"/>
      <c r="N55" s="53"/>
      <c r="O55" s="120"/>
      <c r="P55" s="726"/>
      <c r="Q55" s="254"/>
    </row>
    <row r="56" spans="1:18">
      <c r="J56" s="53"/>
      <c r="K56" s="120"/>
      <c r="L56" s="53"/>
      <c r="M56" s="120"/>
      <c r="N56" s="120"/>
      <c r="O56" s="270"/>
      <c r="P56" s="726"/>
      <c r="Q56" s="254"/>
    </row>
    <row r="57" spans="1:18"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726"/>
    </row>
    <row r="58" spans="1:18">
      <c r="D58" s="53"/>
      <c r="E58" s="120"/>
      <c r="H58" s="53"/>
      <c r="I58" s="120"/>
      <c r="J58" s="53"/>
      <c r="K58" s="53"/>
      <c r="L58" s="120"/>
      <c r="M58" s="120"/>
      <c r="O58" s="726"/>
      <c r="P58" s="726"/>
    </row>
    <row r="59" spans="1:18">
      <c r="D59" s="53"/>
      <c r="E59" s="120"/>
      <c r="J59" s="53"/>
      <c r="K59" s="120"/>
      <c r="L59" s="53"/>
      <c r="O59" s="270"/>
      <c r="P59" s="254"/>
    </row>
    <row r="60" spans="1:18">
      <c r="D60" s="120"/>
      <c r="K60" s="53"/>
      <c r="L60" s="120"/>
      <c r="M60" s="120"/>
    </row>
    <row r="61" spans="1:18">
      <c r="J61" s="53"/>
      <c r="K61" s="120"/>
      <c r="L61" s="53"/>
      <c r="M61" s="120"/>
    </row>
    <row r="62" spans="1:18">
      <c r="J62" s="53"/>
    </row>
    <row r="64" spans="1:18">
      <c r="L64" s="53"/>
      <c r="M64" s="120"/>
    </row>
    <row r="66" spans="2:16"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</row>
    <row r="67" spans="2:16"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</row>
    <row r="68" spans="2:16"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</row>
    <row r="69" spans="2:16"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</row>
    <row r="70" spans="2:16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</row>
    <row r="71" spans="2:16"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</row>
    <row r="72" spans="2:16"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</row>
    <row r="73" spans="2:16"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</row>
    <row r="74" spans="2:16"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</row>
    <row r="75" spans="2:16"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</row>
    <row r="76" spans="2:16"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</row>
  </sheetData>
  <mergeCells count="33">
    <mergeCell ref="O1:P1"/>
    <mergeCell ref="O2:P2"/>
    <mergeCell ref="O3:O7"/>
    <mergeCell ref="G1:H1"/>
    <mergeCell ref="M3:M7"/>
    <mergeCell ref="I1:J1"/>
    <mergeCell ref="N3:N7"/>
    <mergeCell ref="A1:C1"/>
    <mergeCell ref="E4:J4"/>
    <mergeCell ref="G6:G7"/>
    <mergeCell ref="A3:A8"/>
    <mergeCell ref="B3:D3"/>
    <mergeCell ref="D4:D7"/>
    <mergeCell ref="B4:B7"/>
    <mergeCell ref="H5:J5"/>
    <mergeCell ref="J6:J7"/>
    <mergeCell ref="I3:K3"/>
    <mergeCell ref="H6:H7"/>
    <mergeCell ref="I6:I7"/>
    <mergeCell ref="E3:H3"/>
    <mergeCell ref="E5:G5"/>
    <mergeCell ref="E6:E7"/>
    <mergeCell ref="J51:P51"/>
    <mergeCell ref="L4:L7"/>
    <mergeCell ref="B52:G52"/>
    <mergeCell ref="J52:N52"/>
    <mergeCell ref="P3:P8"/>
    <mergeCell ref="K4:K7"/>
    <mergeCell ref="F6:F7"/>
    <mergeCell ref="B50:H50"/>
    <mergeCell ref="C4:C7"/>
    <mergeCell ref="J50:P50"/>
    <mergeCell ref="B51:D51"/>
  </mergeCells>
  <phoneticPr fontId="0" type="noConversion"/>
  <pageMargins left="0.62992125984252001" right="0.511811023622047" top="0.261811024" bottom="0" header="0" footer="0.196850393700787"/>
  <pageSetup paperSize="141" firstPageNumber="12" orientation="portrait" useFirstPageNumber="1" r:id="rId1"/>
  <headerFooter alignWithMargins="0">
    <oddFooter>&amp;C&amp;"Times New Roman,Regular"&amp;8&amp;P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/>
  <dimension ref="A1:L57"/>
  <sheetViews>
    <sheetView zoomScale="130" zoomScaleNormal="130" workbookViewId="0">
      <pane xSplit="1" ySplit="5" topLeftCell="B37" activePane="bottomRight" state="frozen"/>
      <selection pane="topRight" activeCell="C1" sqref="C1"/>
      <selection pane="bottomLeft" activeCell="A7" sqref="A7"/>
      <selection pane="bottomRight" activeCell="A6" sqref="A6:XFD46"/>
    </sheetView>
  </sheetViews>
  <sheetFormatPr defaultColWidth="9.140625" defaultRowHeight="12.75"/>
  <cols>
    <col min="1" max="1" width="11.140625" style="651" customWidth="1"/>
    <col min="2" max="2" width="13.7109375" style="651" customWidth="1"/>
    <col min="3" max="3" width="12.85546875" style="651" customWidth="1"/>
    <col min="4" max="4" width="13" style="651" customWidth="1"/>
    <col min="5" max="5" width="13.42578125" style="651" customWidth="1"/>
    <col min="6" max="6" width="13" style="651" customWidth="1"/>
    <col min="7" max="8" width="12.7109375" style="651" customWidth="1"/>
    <col min="9" max="10" width="13.28515625" style="651" customWidth="1"/>
    <col min="11" max="11" width="14.42578125" style="651" customWidth="1"/>
    <col min="12" max="12" width="11.85546875" style="651" customWidth="1"/>
    <col min="13" max="16384" width="9.140625" style="651"/>
  </cols>
  <sheetData>
    <row r="1" spans="1:12" s="257" customFormat="1" ht="15.75">
      <c r="D1" s="1843" t="s">
        <v>1293</v>
      </c>
      <c r="E1" s="1843"/>
      <c r="F1" s="1843"/>
      <c r="G1" s="1849" t="s">
        <v>703</v>
      </c>
      <c r="H1" s="1849"/>
      <c r="I1" s="1849"/>
      <c r="K1" s="1843" t="s">
        <v>572</v>
      </c>
      <c r="L1" s="1843"/>
    </row>
    <row r="2" spans="1:12" s="260" customFormat="1" ht="10.5" customHeight="1">
      <c r="F2" s="697"/>
      <c r="K2" s="1850" t="s">
        <v>283</v>
      </c>
      <c r="L2" s="1850"/>
    </row>
    <row r="3" spans="1:12" s="263" customFormat="1" ht="22.5" customHeight="1">
      <c r="A3" s="1759" t="s">
        <v>1496</v>
      </c>
      <c r="B3" s="1852" t="s">
        <v>261</v>
      </c>
      <c r="C3" s="1738" t="s">
        <v>1499</v>
      </c>
      <c r="D3" s="1844" t="s">
        <v>651</v>
      </c>
      <c r="E3" s="1845"/>
      <c r="F3" s="1803"/>
      <c r="G3" s="1844" t="s">
        <v>653</v>
      </c>
      <c r="H3" s="1845"/>
      <c r="I3" s="1803"/>
      <c r="J3" s="1738" t="s">
        <v>1235</v>
      </c>
      <c r="K3" s="1738" t="s">
        <v>1498</v>
      </c>
      <c r="L3" s="1846" t="s">
        <v>1497</v>
      </c>
    </row>
    <row r="4" spans="1:12" s="263" customFormat="1" ht="22.5" customHeight="1">
      <c r="A4" s="1759"/>
      <c r="B4" s="1757"/>
      <c r="C4" s="1739"/>
      <c r="D4" s="1092" t="s">
        <v>652</v>
      </c>
      <c r="E4" s="1092" t="s">
        <v>761</v>
      </c>
      <c r="F4" s="1092" t="s">
        <v>760</v>
      </c>
      <c r="G4" s="1092" t="s">
        <v>652</v>
      </c>
      <c r="H4" s="1092" t="s">
        <v>761</v>
      </c>
      <c r="I4" s="1092" t="s">
        <v>760</v>
      </c>
      <c r="J4" s="1739"/>
      <c r="K4" s="1739"/>
      <c r="L4" s="1847"/>
    </row>
    <row r="5" spans="1:12" s="772" customFormat="1" ht="12" customHeight="1">
      <c r="A5" s="1759"/>
      <c r="B5" s="770">
        <v>1</v>
      </c>
      <c r="C5" s="771">
        <v>2</v>
      </c>
      <c r="D5" s="771">
        <v>3</v>
      </c>
      <c r="E5" s="771">
        <v>4</v>
      </c>
      <c r="F5" s="771" t="s">
        <v>262</v>
      </c>
      <c r="G5" s="771">
        <v>6</v>
      </c>
      <c r="H5" s="771">
        <v>7</v>
      </c>
      <c r="I5" s="771" t="s">
        <v>263</v>
      </c>
      <c r="J5" s="771">
        <v>9</v>
      </c>
      <c r="K5" s="771" t="s">
        <v>654</v>
      </c>
      <c r="L5" s="1848"/>
    </row>
    <row r="6" spans="1:12" ht="12.95" customHeight="1">
      <c r="A6" s="1345" t="s">
        <v>851</v>
      </c>
      <c r="B6" s="681">
        <v>35938.800000000003</v>
      </c>
      <c r="C6" s="681">
        <v>22.3</v>
      </c>
      <c r="D6" s="681">
        <v>1989.3</v>
      </c>
      <c r="E6" s="681">
        <v>5123.1000000000004</v>
      </c>
      <c r="F6" s="1138">
        <f t="shared" ref="F6:F10" si="0">D6+E6</f>
        <v>7112.4000000000005</v>
      </c>
      <c r="G6" s="681">
        <v>14033.9</v>
      </c>
      <c r="H6" s="681">
        <v>110174.39999999999</v>
      </c>
      <c r="I6" s="1138">
        <f t="shared" ref="I6:I10" si="1">G6+H6</f>
        <v>124208.29999999999</v>
      </c>
      <c r="J6" s="681">
        <v>36879.599999999999</v>
      </c>
      <c r="K6" s="1138">
        <f t="shared" ref="K6:K10" si="2">B6+C6+F6+I6+J6</f>
        <v>204161.4</v>
      </c>
      <c r="L6" s="1346" t="s">
        <v>851</v>
      </c>
    </row>
    <row r="7" spans="1:12" ht="12.95" customHeight="1">
      <c r="A7" s="254" t="s">
        <v>574</v>
      </c>
      <c r="B7" s="687">
        <v>46751</v>
      </c>
      <c r="C7" s="687">
        <v>18.8</v>
      </c>
      <c r="D7" s="687">
        <v>1625</v>
      </c>
      <c r="E7" s="687">
        <v>6192.6</v>
      </c>
      <c r="F7" s="767">
        <f t="shared" si="0"/>
        <v>7817.6</v>
      </c>
      <c r="G7" s="687">
        <v>8518.6</v>
      </c>
      <c r="H7" s="687">
        <v>142152.20000000001</v>
      </c>
      <c r="I7" s="767">
        <f t="shared" si="1"/>
        <v>150670.80000000002</v>
      </c>
      <c r="J7" s="687">
        <v>41790.9</v>
      </c>
      <c r="K7" s="767">
        <f t="shared" si="2"/>
        <v>247049.1</v>
      </c>
      <c r="L7" s="650" t="s">
        <v>574</v>
      </c>
    </row>
    <row r="8" spans="1:12" ht="12.95" customHeight="1">
      <c r="A8" s="1345" t="s">
        <v>114</v>
      </c>
      <c r="B8" s="681">
        <v>58007.6</v>
      </c>
      <c r="C8" s="681">
        <v>15.5</v>
      </c>
      <c r="D8" s="681">
        <v>2027.2</v>
      </c>
      <c r="E8" s="681">
        <v>8210</v>
      </c>
      <c r="F8" s="1138">
        <f t="shared" si="0"/>
        <v>10237.200000000001</v>
      </c>
      <c r="G8" s="681">
        <v>8877</v>
      </c>
      <c r="H8" s="681">
        <v>166223.4</v>
      </c>
      <c r="I8" s="1138">
        <f t="shared" si="1"/>
        <v>175100.4</v>
      </c>
      <c r="J8" s="681">
        <v>43494.1</v>
      </c>
      <c r="K8" s="1138">
        <f t="shared" si="2"/>
        <v>286854.8</v>
      </c>
      <c r="L8" s="1346" t="s">
        <v>114</v>
      </c>
    </row>
    <row r="9" spans="1:12" ht="12.95" customHeight="1">
      <c r="A9" s="254" t="s">
        <v>110</v>
      </c>
      <c r="B9" s="687">
        <v>54252.9</v>
      </c>
      <c r="C9" s="687">
        <v>12.3</v>
      </c>
      <c r="D9" s="687">
        <v>1765.4</v>
      </c>
      <c r="E9" s="687">
        <v>9474.7999999999993</v>
      </c>
      <c r="F9" s="767">
        <f t="shared" si="0"/>
        <v>11240.199999999999</v>
      </c>
      <c r="G9" s="687">
        <v>11036.2</v>
      </c>
      <c r="H9" s="687">
        <v>205147.4</v>
      </c>
      <c r="I9" s="767">
        <f t="shared" si="1"/>
        <v>216183.6</v>
      </c>
      <c r="J9" s="687">
        <v>56138.6</v>
      </c>
      <c r="K9" s="767">
        <f t="shared" si="2"/>
        <v>337827.6</v>
      </c>
      <c r="L9" s="650" t="s">
        <v>110</v>
      </c>
    </row>
    <row r="10" spans="1:12" ht="12.95" customHeight="1">
      <c r="A10" s="1345" t="s">
        <v>253</v>
      </c>
      <c r="B10" s="681">
        <v>73227.899999999994</v>
      </c>
      <c r="C10" s="681">
        <v>9.4</v>
      </c>
      <c r="D10" s="681">
        <v>2162.1</v>
      </c>
      <c r="E10" s="681">
        <v>9681.2999999999993</v>
      </c>
      <c r="F10" s="1138">
        <f t="shared" si="0"/>
        <v>11843.4</v>
      </c>
      <c r="G10" s="681">
        <v>14780.8</v>
      </c>
      <c r="H10" s="681">
        <v>261545.2</v>
      </c>
      <c r="I10" s="1138">
        <f t="shared" si="1"/>
        <v>276326</v>
      </c>
      <c r="J10" s="681">
        <v>69486.3</v>
      </c>
      <c r="K10" s="1138">
        <f t="shared" si="2"/>
        <v>430892.99999999994</v>
      </c>
      <c r="L10" s="1346" t="s">
        <v>253</v>
      </c>
    </row>
    <row r="11" spans="1:12" ht="12.95" customHeight="1">
      <c r="A11" s="254" t="s">
        <v>1169</v>
      </c>
      <c r="B11" s="687">
        <v>91728.8</v>
      </c>
      <c r="C11" s="687">
        <v>5.8</v>
      </c>
      <c r="D11" s="687">
        <v>2558.6</v>
      </c>
      <c r="E11" s="687">
        <v>11158.6</v>
      </c>
      <c r="F11" s="767">
        <v>13717.2</v>
      </c>
      <c r="G11" s="687">
        <v>12777.7</v>
      </c>
      <c r="H11" s="687">
        <v>320176.90000000002</v>
      </c>
      <c r="I11" s="767">
        <v>332954.60000000003</v>
      </c>
      <c r="J11" s="687">
        <v>76566.2</v>
      </c>
      <c r="K11" s="767">
        <v>514972.60000000003</v>
      </c>
      <c r="L11" s="650" t="s">
        <v>1169</v>
      </c>
    </row>
    <row r="12" spans="1:12" ht="12.95" customHeight="1">
      <c r="A12" s="1345" t="s">
        <v>1361</v>
      </c>
      <c r="B12" s="681">
        <v>110124.6</v>
      </c>
      <c r="C12" s="681">
        <v>2.2999999999999998</v>
      </c>
      <c r="D12" s="681">
        <v>3509.3</v>
      </c>
      <c r="E12" s="681">
        <v>14227.8</v>
      </c>
      <c r="F12" s="1138">
        <v>17737.099999999999</v>
      </c>
      <c r="G12" s="681">
        <v>5943.7</v>
      </c>
      <c r="H12" s="681">
        <v>354128.7</v>
      </c>
      <c r="I12" s="1138">
        <v>360072.4</v>
      </c>
      <c r="J12" s="681">
        <v>83800.7</v>
      </c>
      <c r="K12" s="1138">
        <v>571737.1</v>
      </c>
      <c r="L12" s="1346" t="s">
        <v>1361</v>
      </c>
    </row>
    <row r="13" spans="1:12" s="543" customFormat="1" ht="12.95" customHeight="1">
      <c r="A13" s="346" t="s">
        <v>1693</v>
      </c>
      <c r="B13" s="687">
        <v>117529.4</v>
      </c>
      <c r="C13" s="687">
        <v>0</v>
      </c>
      <c r="D13" s="687">
        <v>5279.8</v>
      </c>
      <c r="E13" s="687">
        <v>17064.3</v>
      </c>
      <c r="F13" s="687">
        <v>22344.1</v>
      </c>
      <c r="G13" s="687">
        <v>7457.2</v>
      </c>
      <c r="H13" s="687">
        <v>396366.5</v>
      </c>
      <c r="I13" s="687">
        <v>403823.7</v>
      </c>
      <c r="J13" s="687">
        <v>94209.1</v>
      </c>
      <c r="K13" s="687">
        <v>637906.29999999993</v>
      </c>
      <c r="L13" s="605" t="s">
        <v>1693</v>
      </c>
    </row>
    <row r="14" spans="1:12" s="543" customFormat="1" ht="12.95" customHeight="1">
      <c r="A14" s="430" t="s">
        <v>1795</v>
      </c>
      <c r="B14" s="681">
        <v>110257.3</v>
      </c>
      <c r="C14" s="681">
        <v>0</v>
      </c>
      <c r="D14" s="681">
        <v>5366.6</v>
      </c>
      <c r="E14" s="681">
        <v>21902.2</v>
      </c>
      <c r="F14" s="681">
        <v>27268.799999999999</v>
      </c>
      <c r="G14" s="681">
        <v>11303.2</v>
      </c>
      <c r="H14" s="681">
        <v>447518.7</v>
      </c>
      <c r="I14" s="681">
        <v>458821.8</v>
      </c>
      <c r="J14" s="681">
        <v>105178.6</v>
      </c>
      <c r="K14" s="681">
        <v>701526.5</v>
      </c>
      <c r="L14" s="582" t="s">
        <v>1795</v>
      </c>
    </row>
    <row r="15" spans="1:12" s="543" customFormat="1" ht="12.95" customHeight="1">
      <c r="A15" s="747" t="s">
        <v>1996</v>
      </c>
      <c r="B15" s="802">
        <v>114219.6</v>
      </c>
      <c r="C15" s="802">
        <v>0</v>
      </c>
      <c r="D15" s="802">
        <v>6923.8</v>
      </c>
      <c r="E15" s="802">
        <v>26923.7</v>
      </c>
      <c r="F15" s="802">
        <v>33847.5</v>
      </c>
      <c r="G15" s="802">
        <v>9127.2999999999993</v>
      </c>
      <c r="H15" s="802">
        <v>531340.4</v>
      </c>
      <c r="I15" s="802">
        <v>540467.70000000007</v>
      </c>
      <c r="J15" s="802">
        <v>112745.2</v>
      </c>
      <c r="K15" s="802">
        <v>801280</v>
      </c>
      <c r="L15" s="748" t="s">
        <v>1996</v>
      </c>
    </row>
    <row r="16" spans="1:12" s="543" customFormat="1" ht="12.95" customHeight="1">
      <c r="A16" s="1170" t="s">
        <v>2092</v>
      </c>
      <c r="B16" s="836">
        <f>B28</f>
        <v>97333.5</v>
      </c>
      <c r="C16" s="836">
        <f t="shared" ref="C16:K16" si="3">C28</f>
        <v>0</v>
      </c>
      <c r="D16" s="836">
        <f t="shared" si="3"/>
        <v>8161.5</v>
      </c>
      <c r="E16" s="836">
        <f t="shared" si="3"/>
        <v>33950.300000000003</v>
      </c>
      <c r="F16" s="836">
        <f t="shared" si="3"/>
        <v>42111.8</v>
      </c>
      <c r="G16" s="836">
        <f t="shared" si="3"/>
        <v>9118.7000000000007</v>
      </c>
      <c r="H16" s="836">
        <f t="shared" si="3"/>
        <v>612395</v>
      </c>
      <c r="I16" s="836">
        <f t="shared" si="3"/>
        <v>621513.69999999995</v>
      </c>
      <c r="J16" s="836">
        <f t="shared" si="3"/>
        <v>129711.2</v>
      </c>
      <c r="K16" s="836">
        <f t="shared" si="3"/>
        <v>890670.2</v>
      </c>
      <c r="L16" s="557" t="s">
        <v>2092</v>
      </c>
    </row>
    <row r="17" spans="1:12" s="543" customFormat="1" ht="12.95" customHeight="1">
      <c r="A17" s="252" t="s">
        <v>843</v>
      </c>
      <c r="B17" s="682">
        <v>116658.1</v>
      </c>
      <c r="C17" s="682">
        <v>0</v>
      </c>
      <c r="D17" s="682">
        <v>7022.9</v>
      </c>
      <c r="E17" s="682">
        <v>27808.9</v>
      </c>
      <c r="F17" s="682">
        <f t="shared" ref="F17:F21" si="4">D17+E17</f>
        <v>34831.800000000003</v>
      </c>
      <c r="G17" s="682">
        <v>8975.7000000000007</v>
      </c>
      <c r="H17" s="682">
        <v>524397.19999999995</v>
      </c>
      <c r="I17" s="682">
        <f t="shared" ref="I17:I46" si="5">G17+H17</f>
        <v>533372.89999999991</v>
      </c>
      <c r="J17" s="682">
        <v>113105.7</v>
      </c>
      <c r="K17" s="687">
        <f t="shared" ref="K17:K46" si="6">B17+C17+F17+I17+J17</f>
        <v>797968.49999999988</v>
      </c>
      <c r="L17" s="316" t="s">
        <v>843</v>
      </c>
    </row>
    <row r="18" spans="1:12" s="543" customFormat="1" ht="12.95" customHeight="1">
      <c r="A18" s="451" t="s">
        <v>844</v>
      </c>
      <c r="B18" s="683">
        <v>113324.2</v>
      </c>
      <c r="C18" s="683">
        <v>0</v>
      </c>
      <c r="D18" s="683">
        <v>7245.5</v>
      </c>
      <c r="E18" s="683">
        <v>27872.400000000001</v>
      </c>
      <c r="F18" s="683">
        <f t="shared" si="4"/>
        <v>35117.9</v>
      </c>
      <c r="G18" s="683">
        <v>8864.2000000000007</v>
      </c>
      <c r="H18" s="683">
        <v>531068.19999999995</v>
      </c>
      <c r="I18" s="683">
        <f t="shared" si="5"/>
        <v>539932.39999999991</v>
      </c>
      <c r="J18" s="683">
        <v>112983.9</v>
      </c>
      <c r="K18" s="681">
        <f t="shared" si="6"/>
        <v>801358.39999999991</v>
      </c>
      <c r="L18" s="452" t="s">
        <v>844</v>
      </c>
    </row>
    <row r="19" spans="1:12" s="543" customFormat="1" ht="12.95" customHeight="1">
      <c r="A19" s="252" t="s">
        <v>838</v>
      </c>
      <c r="B19" s="682">
        <v>113663.5</v>
      </c>
      <c r="C19" s="682">
        <v>0</v>
      </c>
      <c r="D19" s="682">
        <v>7064.8</v>
      </c>
      <c r="E19" s="682">
        <v>27844</v>
      </c>
      <c r="F19" s="682">
        <f t="shared" si="4"/>
        <v>34908.800000000003</v>
      </c>
      <c r="G19" s="682">
        <v>8847.6</v>
      </c>
      <c r="H19" s="682">
        <v>536857.80000000005</v>
      </c>
      <c r="I19" s="682">
        <f t="shared" si="5"/>
        <v>545705.4</v>
      </c>
      <c r="J19" s="39">
        <v>115435.3</v>
      </c>
      <c r="K19" s="687">
        <f t="shared" si="6"/>
        <v>809713</v>
      </c>
      <c r="L19" s="316" t="s">
        <v>838</v>
      </c>
    </row>
    <row r="20" spans="1:12" s="543" customFormat="1" ht="12.95" customHeight="1">
      <c r="A20" s="451" t="s">
        <v>845</v>
      </c>
      <c r="B20" s="683">
        <v>110012.4</v>
      </c>
      <c r="C20" s="683">
        <v>0</v>
      </c>
      <c r="D20" s="683">
        <v>6893</v>
      </c>
      <c r="E20" s="683">
        <v>28205.3</v>
      </c>
      <c r="F20" s="683">
        <f t="shared" si="4"/>
        <v>35098.300000000003</v>
      </c>
      <c r="G20" s="683">
        <v>8524.5</v>
      </c>
      <c r="H20" s="683">
        <v>540219.69999999995</v>
      </c>
      <c r="I20" s="683">
        <f t="shared" si="5"/>
        <v>548744.19999999995</v>
      </c>
      <c r="J20" s="442">
        <v>116655.8</v>
      </c>
      <c r="K20" s="681">
        <f t="shared" si="6"/>
        <v>810510.7</v>
      </c>
      <c r="L20" s="452" t="s">
        <v>845</v>
      </c>
    </row>
    <row r="21" spans="1:12" s="543" customFormat="1" ht="12.95" customHeight="1">
      <c r="A21" s="252" t="s">
        <v>846</v>
      </c>
      <c r="B21" s="682">
        <v>108644.5</v>
      </c>
      <c r="C21" s="682">
        <v>0</v>
      </c>
      <c r="D21" s="682">
        <v>7282</v>
      </c>
      <c r="E21" s="682">
        <v>29077.1</v>
      </c>
      <c r="F21" s="682">
        <f t="shared" si="4"/>
        <v>36359.1</v>
      </c>
      <c r="G21" s="682">
        <v>8463.5</v>
      </c>
      <c r="H21" s="682">
        <v>547361.5</v>
      </c>
      <c r="I21" s="682">
        <f t="shared" si="5"/>
        <v>555825</v>
      </c>
      <c r="J21" s="39">
        <v>118119.5</v>
      </c>
      <c r="K21" s="39">
        <f t="shared" si="6"/>
        <v>818948.1</v>
      </c>
      <c r="L21" s="316" t="s">
        <v>846</v>
      </c>
    </row>
    <row r="22" spans="1:12" s="543" customFormat="1" ht="12.95" customHeight="1">
      <c r="A22" s="451" t="s">
        <v>839</v>
      </c>
      <c r="B22" s="683">
        <v>98638.8</v>
      </c>
      <c r="C22" s="683">
        <v>0</v>
      </c>
      <c r="D22" s="683">
        <v>7545.4</v>
      </c>
      <c r="E22" s="683">
        <v>30906.6</v>
      </c>
      <c r="F22" s="683">
        <f t="shared" ref="F22:F46" si="7">D22+E22</f>
        <v>38452</v>
      </c>
      <c r="G22" s="683">
        <v>8834.2999999999993</v>
      </c>
      <c r="H22" s="683">
        <v>565250.4</v>
      </c>
      <c r="I22" s="683">
        <f t="shared" si="5"/>
        <v>574084.70000000007</v>
      </c>
      <c r="J22" s="442">
        <v>120862.5</v>
      </c>
      <c r="K22" s="437">
        <f t="shared" si="6"/>
        <v>832038</v>
      </c>
      <c r="L22" s="452" t="s">
        <v>839</v>
      </c>
    </row>
    <row r="23" spans="1:12" s="543" customFormat="1" ht="12.95" customHeight="1">
      <c r="A23" s="252" t="s">
        <v>847</v>
      </c>
      <c r="B23" s="682">
        <v>96360.1</v>
      </c>
      <c r="C23" s="682">
        <v>0</v>
      </c>
      <c r="D23" s="682">
        <v>7427.4</v>
      </c>
      <c r="E23" s="682">
        <v>31462</v>
      </c>
      <c r="F23" s="682">
        <f t="shared" si="7"/>
        <v>38889.4</v>
      </c>
      <c r="G23" s="682">
        <v>8809.7999999999993</v>
      </c>
      <c r="H23" s="682">
        <v>566108.5</v>
      </c>
      <c r="I23" s="682">
        <f t="shared" si="5"/>
        <v>574918.30000000005</v>
      </c>
      <c r="J23" s="39">
        <v>121782.39999999999</v>
      </c>
      <c r="K23" s="39">
        <f t="shared" si="6"/>
        <v>831950.20000000007</v>
      </c>
      <c r="L23" s="316" t="s">
        <v>847</v>
      </c>
    </row>
    <row r="24" spans="1:12" s="543" customFormat="1" ht="12.95" customHeight="1">
      <c r="A24" s="451" t="s">
        <v>848</v>
      </c>
      <c r="B24" s="683">
        <v>93525.6</v>
      </c>
      <c r="C24" s="683">
        <v>0</v>
      </c>
      <c r="D24" s="683">
        <v>7441.3</v>
      </c>
      <c r="E24" s="683">
        <v>31761.200000000001</v>
      </c>
      <c r="F24" s="683">
        <f t="shared" si="7"/>
        <v>39202.5</v>
      </c>
      <c r="G24" s="683">
        <v>8212.2999999999993</v>
      </c>
      <c r="H24" s="683">
        <v>572822.80000000005</v>
      </c>
      <c r="I24" s="683">
        <f t="shared" si="5"/>
        <v>581035.10000000009</v>
      </c>
      <c r="J24" s="442">
        <v>123117.1</v>
      </c>
      <c r="K24" s="442">
        <f t="shared" si="6"/>
        <v>836880.3</v>
      </c>
      <c r="L24" s="452" t="s">
        <v>848</v>
      </c>
    </row>
    <row r="25" spans="1:12" s="543" customFormat="1" ht="12.95" customHeight="1">
      <c r="A25" s="252" t="s">
        <v>840</v>
      </c>
      <c r="B25" s="682">
        <v>90312.1</v>
      </c>
      <c r="C25" s="682">
        <v>0</v>
      </c>
      <c r="D25" s="682">
        <v>7420.6</v>
      </c>
      <c r="E25" s="682">
        <v>32192.400000000001</v>
      </c>
      <c r="F25" s="682">
        <f t="shared" si="7"/>
        <v>39613</v>
      </c>
      <c r="G25" s="682">
        <v>8867.7999999999993</v>
      </c>
      <c r="H25" s="682">
        <v>581826.19999999995</v>
      </c>
      <c r="I25" s="682">
        <f t="shared" si="5"/>
        <v>590694</v>
      </c>
      <c r="J25" s="39">
        <v>124622.2</v>
      </c>
      <c r="K25" s="39">
        <f t="shared" si="6"/>
        <v>845241.29999999993</v>
      </c>
      <c r="L25" s="316" t="s">
        <v>840</v>
      </c>
    </row>
    <row r="26" spans="1:12" s="543" customFormat="1" ht="12.95" customHeight="1">
      <c r="A26" s="451" t="s">
        <v>849</v>
      </c>
      <c r="B26" s="683">
        <v>84166.1</v>
      </c>
      <c r="C26" s="683">
        <v>0</v>
      </c>
      <c r="D26" s="683">
        <v>7827</v>
      </c>
      <c r="E26" s="683">
        <v>33423.199999999997</v>
      </c>
      <c r="F26" s="683">
        <f t="shared" si="7"/>
        <v>41250.199999999997</v>
      </c>
      <c r="G26" s="683">
        <v>9027.1</v>
      </c>
      <c r="H26" s="683">
        <v>589652.6</v>
      </c>
      <c r="I26" s="683">
        <f t="shared" si="5"/>
        <v>598679.69999999995</v>
      </c>
      <c r="J26" s="437">
        <v>126172</v>
      </c>
      <c r="K26" s="437">
        <f t="shared" si="6"/>
        <v>850268</v>
      </c>
      <c r="L26" s="452" t="s">
        <v>849</v>
      </c>
    </row>
    <row r="27" spans="1:12" s="543" customFormat="1" ht="12.95" customHeight="1">
      <c r="A27" s="252" t="s">
        <v>850</v>
      </c>
      <c r="B27" s="682">
        <v>82597.600000000006</v>
      </c>
      <c r="C27" s="682">
        <v>0</v>
      </c>
      <c r="D27" s="682">
        <v>8225.1</v>
      </c>
      <c r="E27" s="682">
        <v>32782.300000000003</v>
      </c>
      <c r="F27" s="682">
        <f t="shared" si="7"/>
        <v>41007.4</v>
      </c>
      <c r="G27" s="682">
        <v>9162.2999999999993</v>
      </c>
      <c r="H27" s="682">
        <v>598701.69999999995</v>
      </c>
      <c r="I27" s="682">
        <f t="shared" si="5"/>
        <v>607864</v>
      </c>
      <c r="J27" s="79">
        <v>127365.8</v>
      </c>
      <c r="K27" s="79">
        <f t="shared" si="6"/>
        <v>858834.8</v>
      </c>
      <c r="L27" s="316" t="s">
        <v>850</v>
      </c>
    </row>
    <row r="28" spans="1:12" s="543" customFormat="1" ht="12.95" customHeight="1">
      <c r="A28" s="451" t="s">
        <v>841</v>
      </c>
      <c r="B28" s="683">
        <v>97333.5</v>
      </c>
      <c r="C28" s="683">
        <v>0</v>
      </c>
      <c r="D28" s="683">
        <v>8161.5</v>
      </c>
      <c r="E28" s="683">
        <v>33950.300000000003</v>
      </c>
      <c r="F28" s="683">
        <f t="shared" si="7"/>
        <v>42111.8</v>
      </c>
      <c r="G28" s="683">
        <v>9118.7000000000007</v>
      </c>
      <c r="H28" s="683">
        <v>612395</v>
      </c>
      <c r="I28" s="683">
        <f t="shared" si="5"/>
        <v>621513.69999999995</v>
      </c>
      <c r="J28" s="437">
        <v>129711.2</v>
      </c>
      <c r="K28" s="437">
        <f t="shared" si="6"/>
        <v>890670.2</v>
      </c>
      <c r="L28" s="452" t="s">
        <v>841</v>
      </c>
    </row>
    <row r="29" spans="1:12" s="543" customFormat="1" ht="12.95" customHeight="1">
      <c r="A29" s="1189" t="s">
        <v>2320</v>
      </c>
      <c r="B29" s="802">
        <f>B41</f>
        <v>94894.9</v>
      </c>
      <c r="C29" s="802">
        <f t="shared" ref="C29:K29" si="8">C41</f>
        <v>0</v>
      </c>
      <c r="D29" s="802">
        <f t="shared" si="8"/>
        <v>8638.7999999999993</v>
      </c>
      <c r="E29" s="802">
        <f t="shared" si="8"/>
        <v>43216.2</v>
      </c>
      <c r="F29" s="802">
        <f t="shared" si="8"/>
        <v>51875.3</v>
      </c>
      <c r="G29" s="802">
        <f t="shared" si="8"/>
        <v>10561.3</v>
      </c>
      <c r="H29" s="802">
        <f t="shared" si="8"/>
        <v>714397</v>
      </c>
      <c r="I29" s="802">
        <f t="shared" si="8"/>
        <v>724958.3</v>
      </c>
      <c r="J29" s="802">
        <f t="shared" si="8"/>
        <v>149898.09999999995</v>
      </c>
      <c r="K29" s="802">
        <f t="shared" si="8"/>
        <v>1021626.6</v>
      </c>
      <c r="L29" s="1391" t="s">
        <v>2320</v>
      </c>
    </row>
    <row r="30" spans="1:12" s="543" customFormat="1" ht="12.95" customHeight="1">
      <c r="A30" s="451" t="s">
        <v>843</v>
      </c>
      <c r="B30" s="683">
        <v>94759.8</v>
      </c>
      <c r="C30" s="683">
        <v>0</v>
      </c>
      <c r="D30" s="683">
        <v>7896.2</v>
      </c>
      <c r="E30" s="683">
        <v>34131.599999999999</v>
      </c>
      <c r="F30" s="683">
        <f t="shared" si="7"/>
        <v>42027.799999999996</v>
      </c>
      <c r="G30" s="683">
        <v>9668.6</v>
      </c>
      <c r="H30" s="683">
        <v>614135.4</v>
      </c>
      <c r="I30" s="683">
        <f t="shared" si="5"/>
        <v>623804</v>
      </c>
      <c r="J30" s="437">
        <v>129751.70000000003</v>
      </c>
      <c r="K30" s="437">
        <f t="shared" si="6"/>
        <v>890343.3</v>
      </c>
      <c r="L30" s="452" t="s">
        <v>843</v>
      </c>
    </row>
    <row r="31" spans="1:12" s="543" customFormat="1" ht="12.95" customHeight="1">
      <c r="A31" s="252" t="s">
        <v>844</v>
      </c>
      <c r="B31" s="682">
        <v>101287.40000000001</v>
      </c>
      <c r="C31" s="682">
        <v>0</v>
      </c>
      <c r="D31" s="682">
        <v>8177.5</v>
      </c>
      <c r="E31" s="682">
        <v>35864.400000000001</v>
      </c>
      <c r="F31" s="682">
        <f t="shared" si="7"/>
        <v>44041.9</v>
      </c>
      <c r="G31" s="682">
        <v>9514.1</v>
      </c>
      <c r="H31" s="682">
        <v>624879.1</v>
      </c>
      <c r="I31" s="682">
        <f t="shared" si="5"/>
        <v>634393.19999999995</v>
      </c>
      <c r="J31" s="79">
        <v>131063.7</v>
      </c>
      <c r="K31" s="79">
        <f t="shared" si="6"/>
        <v>910786.2</v>
      </c>
      <c r="L31" s="316" t="s">
        <v>844</v>
      </c>
    </row>
    <row r="32" spans="1:12" s="543" customFormat="1" ht="12.95" customHeight="1">
      <c r="A32" s="451" t="s">
        <v>838</v>
      </c>
      <c r="B32" s="683">
        <v>94438.1</v>
      </c>
      <c r="C32" s="683">
        <v>0</v>
      </c>
      <c r="D32" s="683">
        <v>8115.2</v>
      </c>
      <c r="E32" s="683">
        <v>35931.1</v>
      </c>
      <c r="F32" s="683">
        <f t="shared" si="7"/>
        <v>44046.299999999996</v>
      </c>
      <c r="G32" s="683">
        <v>9562.1</v>
      </c>
      <c r="H32" s="683">
        <v>632711.19999999995</v>
      </c>
      <c r="I32" s="683">
        <f t="shared" si="5"/>
        <v>642273.29999999993</v>
      </c>
      <c r="J32" s="437">
        <v>132583.20000000001</v>
      </c>
      <c r="K32" s="437">
        <f t="shared" si="6"/>
        <v>913340.89999999991</v>
      </c>
      <c r="L32" s="452" t="s">
        <v>838</v>
      </c>
    </row>
    <row r="33" spans="1:12" s="543" customFormat="1" ht="12.95" customHeight="1">
      <c r="A33" s="252" t="s">
        <v>845</v>
      </c>
      <c r="B33" s="682">
        <v>92183.400000000009</v>
      </c>
      <c r="C33" s="682">
        <v>0</v>
      </c>
      <c r="D33" s="682">
        <v>8282.4</v>
      </c>
      <c r="E33" s="682">
        <v>36375.1</v>
      </c>
      <c r="F33" s="682">
        <f t="shared" si="7"/>
        <v>44657.5</v>
      </c>
      <c r="G33" s="682">
        <v>9749</v>
      </c>
      <c r="H33" s="682">
        <v>641755.30000000005</v>
      </c>
      <c r="I33" s="682">
        <f t="shared" si="5"/>
        <v>651504.30000000005</v>
      </c>
      <c r="J33" s="79">
        <v>134549.4</v>
      </c>
      <c r="K33" s="79">
        <f t="shared" si="6"/>
        <v>922894.60000000009</v>
      </c>
      <c r="L33" s="316" t="s">
        <v>845</v>
      </c>
    </row>
    <row r="34" spans="1:12" s="543" customFormat="1" ht="12.95" customHeight="1">
      <c r="A34" s="451" t="s">
        <v>846</v>
      </c>
      <c r="B34" s="683">
        <v>92603.1</v>
      </c>
      <c r="C34" s="683">
        <v>0</v>
      </c>
      <c r="D34" s="683">
        <v>8186.8</v>
      </c>
      <c r="E34" s="683">
        <v>37432.199999999997</v>
      </c>
      <c r="F34" s="683">
        <f t="shared" si="7"/>
        <v>45619</v>
      </c>
      <c r="G34" s="683">
        <v>9954.7000000000007</v>
      </c>
      <c r="H34" s="683">
        <v>653005.69999999995</v>
      </c>
      <c r="I34" s="683">
        <f t="shared" si="5"/>
        <v>662960.39999999991</v>
      </c>
      <c r="J34" s="437">
        <v>136505.79999999999</v>
      </c>
      <c r="K34" s="437">
        <f t="shared" si="6"/>
        <v>937688.29999999981</v>
      </c>
      <c r="L34" s="452" t="s">
        <v>846</v>
      </c>
    </row>
    <row r="35" spans="1:12" s="543" customFormat="1" ht="12.95" customHeight="1">
      <c r="A35" s="252" t="s">
        <v>839</v>
      </c>
      <c r="B35" s="682">
        <v>87276.5</v>
      </c>
      <c r="C35" s="682">
        <v>0</v>
      </c>
      <c r="D35" s="682">
        <v>8297.2999999999993</v>
      </c>
      <c r="E35" s="682">
        <v>38766.300000000003</v>
      </c>
      <c r="F35" s="682">
        <f t="shared" si="7"/>
        <v>47063.600000000006</v>
      </c>
      <c r="G35" s="682">
        <v>10328.1</v>
      </c>
      <c r="H35" s="682">
        <v>667054.69999999995</v>
      </c>
      <c r="I35" s="682">
        <f t="shared" si="5"/>
        <v>677382.79999999993</v>
      </c>
      <c r="J35" s="79">
        <v>140266.6</v>
      </c>
      <c r="K35" s="79">
        <f t="shared" si="6"/>
        <v>951989.49999999988</v>
      </c>
      <c r="L35" s="316" t="s">
        <v>839</v>
      </c>
    </row>
    <row r="36" spans="1:12" s="543" customFormat="1" ht="12.95" customHeight="1">
      <c r="A36" s="451" t="s">
        <v>847</v>
      </c>
      <c r="B36" s="683">
        <v>81033.399999999994</v>
      </c>
      <c r="C36" s="683">
        <v>0</v>
      </c>
      <c r="D36" s="683">
        <v>8339.9</v>
      </c>
      <c r="E36" s="683">
        <v>39788.300000000003</v>
      </c>
      <c r="F36" s="683">
        <f t="shared" si="7"/>
        <v>48128.200000000004</v>
      </c>
      <c r="G36" s="683">
        <v>10055.299999999999</v>
      </c>
      <c r="H36" s="683">
        <v>669588.80000000005</v>
      </c>
      <c r="I36" s="683">
        <f t="shared" si="5"/>
        <v>679644.10000000009</v>
      </c>
      <c r="J36" s="437">
        <v>142037.79999999999</v>
      </c>
      <c r="K36" s="437">
        <f t="shared" si="6"/>
        <v>950843.5</v>
      </c>
      <c r="L36" s="452" t="s">
        <v>847</v>
      </c>
    </row>
    <row r="37" spans="1:12" s="543" customFormat="1" ht="12.95" customHeight="1">
      <c r="A37" s="252" t="s">
        <v>848</v>
      </c>
      <c r="B37" s="682">
        <v>75069.299999999988</v>
      </c>
      <c r="C37" s="682">
        <v>0</v>
      </c>
      <c r="D37" s="682">
        <v>8346.4</v>
      </c>
      <c r="E37" s="682">
        <v>41045.300000000003</v>
      </c>
      <c r="F37" s="682">
        <f t="shared" si="7"/>
        <v>49391.700000000004</v>
      </c>
      <c r="G37" s="682">
        <v>10212.4</v>
      </c>
      <c r="H37" s="682">
        <v>677475.2</v>
      </c>
      <c r="I37" s="682">
        <f t="shared" si="5"/>
        <v>687687.6</v>
      </c>
      <c r="J37" s="79">
        <v>143704.29999999999</v>
      </c>
      <c r="K37" s="79">
        <f t="shared" si="6"/>
        <v>955852.89999999991</v>
      </c>
      <c r="L37" s="316" t="s">
        <v>848</v>
      </c>
    </row>
    <row r="38" spans="1:12" s="543" customFormat="1" ht="12.95" customHeight="1">
      <c r="A38" s="451" t="s">
        <v>840</v>
      </c>
      <c r="B38" s="683">
        <v>74575.5</v>
      </c>
      <c r="C38" s="683">
        <v>0</v>
      </c>
      <c r="D38" s="683">
        <v>8167.3</v>
      </c>
      <c r="E38" s="683">
        <v>41311.5</v>
      </c>
      <c r="F38" s="683">
        <f t="shared" si="7"/>
        <v>49478.8</v>
      </c>
      <c r="G38" s="683">
        <v>10030.9</v>
      </c>
      <c r="H38" s="683">
        <v>684860.8</v>
      </c>
      <c r="I38" s="683">
        <f t="shared" si="5"/>
        <v>694891.70000000007</v>
      </c>
      <c r="J38" s="437">
        <v>145259.4</v>
      </c>
      <c r="K38" s="437">
        <f t="shared" si="6"/>
        <v>964205.40000000014</v>
      </c>
      <c r="L38" s="452" t="s">
        <v>840</v>
      </c>
    </row>
    <row r="39" spans="1:12" s="543" customFormat="1" ht="12.95" customHeight="1">
      <c r="A39" s="252" t="s">
        <v>849</v>
      </c>
      <c r="B39" s="682">
        <v>71628.900000000009</v>
      </c>
      <c r="C39" s="682">
        <v>0</v>
      </c>
      <c r="D39" s="682">
        <v>8321.9</v>
      </c>
      <c r="E39" s="682">
        <v>42197.9</v>
      </c>
      <c r="F39" s="682">
        <f t="shared" si="7"/>
        <v>50519.8</v>
      </c>
      <c r="G39" s="682">
        <v>11012.3</v>
      </c>
      <c r="H39" s="682">
        <v>693005.3</v>
      </c>
      <c r="I39" s="682">
        <f t="shared" si="5"/>
        <v>704017.60000000009</v>
      </c>
      <c r="J39" s="79">
        <v>146307.70000000001</v>
      </c>
      <c r="K39" s="79">
        <f t="shared" si="6"/>
        <v>972474</v>
      </c>
      <c r="L39" s="316" t="s">
        <v>849</v>
      </c>
    </row>
    <row r="40" spans="1:12" s="543" customFormat="1" ht="12.95" customHeight="1">
      <c r="A40" s="451" t="s">
        <v>850</v>
      </c>
      <c r="B40" s="683">
        <v>76696.700000000012</v>
      </c>
      <c r="C40" s="683">
        <v>0</v>
      </c>
      <c r="D40" s="683">
        <v>8762.6</v>
      </c>
      <c r="E40" s="683">
        <v>42720.4</v>
      </c>
      <c r="F40" s="683">
        <f t="shared" si="7"/>
        <v>51483</v>
      </c>
      <c r="G40" s="683">
        <v>11044.7</v>
      </c>
      <c r="H40" s="683">
        <v>702614.1</v>
      </c>
      <c r="I40" s="683">
        <f t="shared" si="5"/>
        <v>713658.79999999993</v>
      </c>
      <c r="J40" s="437">
        <v>147068.9</v>
      </c>
      <c r="K40" s="437">
        <f t="shared" si="6"/>
        <v>988907.4</v>
      </c>
      <c r="L40" s="452" t="s">
        <v>850</v>
      </c>
    </row>
    <row r="41" spans="1:12" s="543" customFormat="1" ht="12.95" customHeight="1">
      <c r="A41" s="252" t="s">
        <v>841</v>
      </c>
      <c r="B41" s="682">
        <v>94894.9</v>
      </c>
      <c r="C41" s="682">
        <v>0</v>
      </c>
      <c r="D41" s="682">
        <v>8638.7999999999993</v>
      </c>
      <c r="E41" s="682">
        <v>43216.2</v>
      </c>
      <c r="F41" s="682">
        <v>51875.3</v>
      </c>
      <c r="G41" s="682">
        <v>10561.3</v>
      </c>
      <c r="H41" s="682">
        <v>714397</v>
      </c>
      <c r="I41" s="682">
        <f t="shared" si="5"/>
        <v>724958.3</v>
      </c>
      <c r="J41" s="79">
        <v>149898.09999999995</v>
      </c>
      <c r="K41" s="79">
        <f t="shared" si="6"/>
        <v>1021626.6</v>
      </c>
      <c r="L41" s="316" t="s">
        <v>841</v>
      </c>
    </row>
    <row r="42" spans="1:12" s="338" customFormat="1" ht="12.95" customHeight="1">
      <c r="A42" s="453" t="s">
        <v>2585</v>
      </c>
      <c r="B42" s="683"/>
      <c r="C42" s="683"/>
      <c r="D42" s="683"/>
      <c r="E42" s="683"/>
      <c r="F42" s="683"/>
      <c r="G42" s="683"/>
      <c r="H42" s="683"/>
      <c r="I42" s="683"/>
      <c r="J42" s="437"/>
      <c r="K42" s="437"/>
      <c r="L42" s="454" t="s">
        <v>2585</v>
      </c>
    </row>
    <row r="43" spans="1:12" s="338" customFormat="1" ht="12.95" customHeight="1">
      <c r="A43" s="252" t="s">
        <v>843</v>
      </c>
      <c r="B43" s="682">
        <v>97182.5</v>
      </c>
      <c r="C43" s="682">
        <v>0</v>
      </c>
      <c r="D43" s="682">
        <v>8808.5</v>
      </c>
      <c r="E43" s="682">
        <v>42955.3</v>
      </c>
      <c r="F43" s="682">
        <f t="shared" si="7"/>
        <v>51763.8</v>
      </c>
      <c r="G43" s="682">
        <v>10675.7</v>
      </c>
      <c r="H43" s="682">
        <v>709670.9</v>
      </c>
      <c r="I43" s="682">
        <f t="shared" si="5"/>
        <v>720346.6</v>
      </c>
      <c r="J43" s="79">
        <v>148839.4</v>
      </c>
      <c r="K43" s="79">
        <f t="shared" si="6"/>
        <v>1018132.2999999999</v>
      </c>
      <c r="L43" s="316" t="s">
        <v>843</v>
      </c>
    </row>
    <row r="44" spans="1:12" ht="12.95" customHeight="1">
      <c r="A44" s="451" t="s">
        <v>844</v>
      </c>
      <c r="B44" s="683">
        <v>101692</v>
      </c>
      <c r="C44" s="683">
        <v>0</v>
      </c>
      <c r="D44" s="683">
        <v>8788.2999999999993</v>
      </c>
      <c r="E44" s="683">
        <v>42722.8</v>
      </c>
      <c r="F44" s="683">
        <f t="shared" si="7"/>
        <v>51511.100000000006</v>
      </c>
      <c r="G44" s="683">
        <v>10638.4</v>
      </c>
      <c r="H44" s="683">
        <v>718497.3</v>
      </c>
      <c r="I44" s="683">
        <f t="shared" si="5"/>
        <v>729135.70000000007</v>
      </c>
      <c r="J44" s="437">
        <v>148946</v>
      </c>
      <c r="K44" s="437">
        <f t="shared" si="6"/>
        <v>1031284.8</v>
      </c>
      <c r="L44" s="452" t="s">
        <v>844</v>
      </c>
    </row>
    <row r="45" spans="1:12" ht="12.95" customHeight="1">
      <c r="A45" s="252" t="s">
        <v>838</v>
      </c>
      <c r="B45" s="682">
        <v>95695.1</v>
      </c>
      <c r="C45" s="682">
        <v>0</v>
      </c>
      <c r="D45" s="682">
        <v>8757.6</v>
      </c>
      <c r="E45" s="682">
        <v>43408.6</v>
      </c>
      <c r="F45" s="682">
        <f t="shared" si="7"/>
        <v>52166.2</v>
      </c>
      <c r="G45" s="682">
        <v>10874.6</v>
      </c>
      <c r="H45" s="682">
        <v>725258.8</v>
      </c>
      <c r="I45" s="682">
        <f t="shared" si="5"/>
        <v>736133.4</v>
      </c>
      <c r="J45" s="79">
        <v>150078.1</v>
      </c>
      <c r="K45" s="79">
        <f t="shared" si="6"/>
        <v>1034072.7999999999</v>
      </c>
      <c r="L45" s="316" t="s">
        <v>838</v>
      </c>
    </row>
    <row r="46" spans="1:12" ht="12.95" customHeight="1" thickBot="1">
      <c r="A46" s="519" t="s">
        <v>845</v>
      </c>
      <c r="B46" s="1644">
        <v>95668.9</v>
      </c>
      <c r="C46" s="1644">
        <v>0</v>
      </c>
      <c r="D46" s="1644">
        <v>8853.2999999999993</v>
      </c>
      <c r="E46" s="1644">
        <v>44012.1</v>
      </c>
      <c r="F46" s="1644">
        <f t="shared" si="7"/>
        <v>52865.399999999994</v>
      </c>
      <c r="G46" s="1644">
        <v>11375</v>
      </c>
      <c r="H46" s="1644">
        <v>736124.3</v>
      </c>
      <c r="I46" s="1644">
        <f t="shared" si="5"/>
        <v>747499.3</v>
      </c>
      <c r="J46" s="1552">
        <v>152208.6</v>
      </c>
      <c r="K46" s="1552">
        <f t="shared" si="6"/>
        <v>1048242.2000000001</v>
      </c>
      <c r="L46" s="817" t="s">
        <v>845</v>
      </c>
    </row>
    <row r="47" spans="1:12" s="720" customFormat="1">
      <c r="A47" s="659" t="s">
        <v>2391</v>
      </c>
      <c r="B47" s="1851" t="s">
        <v>2426</v>
      </c>
      <c r="C47" s="1851"/>
      <c r="D47" s="1851"/>
      <c r="E47" s="1851"/>
      <c r="F47" s="1851"/>
      <c r="G47" s="660" t="s">
        <v>259</v>
      </c>
      <c r="H47" s="1853" t="s">
        <v>2170</v>
      </c>
      <c r="I47" s="1853"/>
      <c r="J47" s="1853"/>
      <c r="K47" s="1853"/>
      <c r="L47" s="1853"/>
    </row>
    <row r="48" spans="1:12">
      <c r="A48" s="338"/>
      <c r="B48" s="1851" t="s">
        <v>2379</v>
      </c>
      <c r="C48" s="1851"/>
      <c r="D48" s="1851"/>
      <c r="E48" s="1851"/>
      <c r="F48" s="1851"/>
      <c r="G48" s="338"/>
      <c r="H48" s="338"/>
      <c r="I48" s="338"/>
      <c r="J48" s="338"/>
      <c r="K48" s="338"/>
      <c r="L48" s="338"/>
    </row>
    <row r="52" spans="4:9">
      <c r="D52" s="798"/>
      <c r="E52" s="798"/>
      <c r="F52" s="798"/>
      <c r="G52" s="798"/>
      <c r="H52" s="798"/>
      <c r="I52" s="798"/>
    </row>
    <row r="53" spans="4:9">
      <c r="D53" s="798"/>
      <c r="E53" s="798"/>
      <c r="F53" s="798"/>
      <c r="G53" s="798"/>
      <c r="H53" s="798"/>
      <c r="I53" s="798"/>
    </row>
    <row r="55" spans="4:9">
      <c r="D55" s="798"/>
      <c r="E55" s="798"/>
      <c r="G55" s="798"/>
      <c r="H55" s="798"/>
    </row>
    <row r="56" spans="4:9">
      <c r="D56" s="798"/>
      <c r="E56" s="798"/>
      <c r="G56" s="798"/>
      <c r="H56" s="798"/>
    </row>
    <row r="57" spans="4:9">
      <c r="D57" s="798"/>
      <c r="E57" s="798"/>
      <c r="G57" s="798"/>
      <c r="H57" s="798"/>
    </row>
  </sheetData>
  <mergeCells count="15">
    <mergeCell ref="A3:A5"/>
    <mergeCell ref="J3:J4"/>
    <mergeCell ref="B48:F48"/>
    <mergeCell ref="B47:F47"/>
    <mergeCell ref="B3:B4"/>
    <mergeCell ref="C3:C4"/>
    <mergeCell ref="H47:L47"/>
    <mergeCell ref="D1:F1"/>
    <mergeCell ref="D3:F3"/>
    <mergeCell ref="G3:I3"/>
    <mergeCell ref="L3:L5"/>
    <mergeCell ref="G1:I1"/>
    <mergeCell ref="K2:L2"/>
    <mergeCell ref="K1:L1"/>
    <mergeCell ref="K3:K4"/>
  </mergeCells>
  <phoneticPr fontId="4" type="noConversion"/>
  <conditionalFormatting sqref="V15:X41 AI15:AK41 AV15:AX41 BI15:BK41 BV15:BX41 CI15:CK41 CV15:CX41 DI15:DK41 DV15:DX41 EI15:EK41 EV15:EX41 FI15:FK41 FV15:FX41 GI15:GK41 GV15:GX41 HI15:HK41 HV15:HX41 L11:L15 B11:K13 A11:A15 A6:L10">
    <cfRule type="expression" dxfId="7" priority="55" stopIfTrue="1">
      <formula>MOD(ROW(),2)=0</formula>
    </cfRule>
  </conditionalFormatting>
  <pageMargins left="0.62992125984252001" right="0.511811023622047" top="0.511811023622047" bottom="0.511811023622047" header="0" footer="0.183070866"/>
  <pageSetup paperSize="141" firstPageNumber="14" orientation="portrait" useFirstPageNumber="1" r:id="rId1"/>
  <headerFooter alignWithMargins="0">
    <oddFooter>&amp;C&amp;"Times New Roman,Regular"&amp;8&amp;P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1:I76"/>
  <sheetViews>
    <sheetView zoomScale="130" zoomScaleNormal="130" workbookViewId="0">
      <pane xSplit="1" ySplit="7" topLeftCell="B40" activePane="bottomRight" state="frozen"/>
      <selection pane="topRight" activeCell="C1" sqref="C1"/>
      <selection pane="bottomLeft" activeCell="A8" sqref="A8"/>
      <selection pane="bottomRight" activeCell="G54" sqref="G54"/>
    </sheetView>
  </sheetViews>
  <sheetFormatPr defaultColWidth="9.140625" defaultRowHeight="11.25"/>
  <cols>
    <col min="1" max="1" width="9.7109375" style="10" customWidth="1"/>
    <col min="2" max="2" width="11.140625" style="10" customWidth="1"/>
    <col min="3" max="3" width="10.7109375" style="10" customWidth="1"/>
    <col min="4" max="4" width="10.5703125" style="10" customWidth="1"/>
    <col min="5" max="5" width="10.7109375" style="10" customWidth="1"/>
    <col min="6" max="6" width="11.140625" style="10" customWidth="1"/>
    <col min="7" max="7" width="14.140625" style="10" customWidth="1"/>
    <col min="8" max="8" width="9.140625" style="10" customWidth="1"/>
    <col min="9" max="16384" width="9.140625" style="10"/>
  </cols>
  <sheetData>
    <row r="1" spans="1:9" s="47" customFormat="1" ht="15.75" customHeight="1">
      <c r="A1" s="1790" t="s">
        <v>2212</v>
      </c>
      <c r="B1" s="1790"/>
      <c r="C1" s="1790"/>
      <c r="D1" s="1790"/>
      <c r="E1" s="1790"/>
      <c r="F1" s="1790" t="s">
        <v>267</v>
      </c>
      <c r="G1" s="1790"/>
    </row>
    <row r="2" spans="1:9" s="54" customFormat="1" ht="12">
      <c r="F2" s="1766" t="s">
        <v>41</v>
      </c>
      <c r="G2" s="1856"/>
    </row>
    <row r="3" spans="1:9" s="589" customFormat="1" ht="15" customHeight="1">
      <c r="A3" s="1767" t="s">
        <v>1500</v>
      </c>
      <c r="B3" s="1738" t="s">
        <v>1362</v>
      </c>
      <c r="C3" s="1738" t="s">
        <v>274</v>
      </c>
      <c r="D3" s="1772" t="s">
        <v>265</v>
      </c>
      <c r="E3" s="1773"/>
      <c r="F3" s="1773"/>
      <c r="G3" s="1738" t="s">
        <v>1333</v>
      </c>
    </row>
    <row r="4" spans="1:9" s="589" customFormat="1" ht="12.75" customHeight="1">
      <c r="A4" s="1768"/>
      <c r="B4" s="1763"/>
      <c r="C4" s="1855"/>
      <c r="D4" s="1844" t="s">
        <v>266</v>
      </c>
      <c r="E4" s="1845"/>
      <c r="F4" s="1730" t="s">
        <v>2122</v>
      </c>
      <c r="G4" s="1763"/>
    </row>
    <row r="5" spans="1:9" s="263" customFormat="1" ht="19.5" customHeight="1">
      <c r="A5" s="1768"/>
      <c r="B5" s="1763"/>
      <c r="C5" s="1855"/>
      <c r="D5" s="1738" t="s">
        <v>1246</v>
      </c>
      <c r="E5" s="1738" t="s">
        <v>264</v>
      </c>
      <c r="F5" s="1857"/>
      <c r="G5" s="1763"/>
    </row>
    <row r="6" spans="1:9" s="263" customFormat="1" ht="14.25" customHeight="1">
      <c r="A6" s="1768"/>
      <c r="B6" s="1739"/>
      <c r="C6" s="1854"/>
      <c r="D6" s="1739"/>
      <c r="E6" s="1854"/>
      <c r="F6" s="1731"/>
      <c r="G6" s="1739"/>
    </row>
    <row r="7" spans="1:9" s="26" customFormat="1" ht="10.5" customHeight="1">
      <c r="A7" s="1769"/>
      <c r="B7" s="25">
        <v>1</v>
      </c>
      <c r="C7" s="25">
        <v>2</v>
      </c>
      <c r="D7" s="25">
        <v>3</v>
      </c>
      <c r="E7" s="25">
        <v>4</v>
      </c>
      <c r="F7" s="25">
        <v>5</v>
      </c>
      <c r="G7" s="25">
        <v>6</v>
      </c>
    </row>
    <row r="8" spans="1:9" ht="12.75" customHeight="1">
      <c r="A8" s="451" t="s">
        <v>851</v>
      </c>
      <c r="B8" s="437">
        <v>26643.8</v>
      </c>
      <c r="C8" s="437">
        <v>2143.6</v>
      </c>
      <c r="D8" s="437">
        <v>10573.6</v>
      </c>
      <c r="E8" s="437">
        <v>4650.3999999999996</v>
      </c>
      <c r="F8" s="437">
        <f>543.6-481.9</f>
        <v>61.700000000000045</v>
      </c>
      <c r="G8" s="437">
        <f t="shared" ref="G8:G9" si="0">B8+C8+D8+F8</f>
        <v>39422.699999999997</v>
      </c>
      <c r="H8" s="53"/>
      <c r="I8" s="53"/>
    </row>
    <row r="9" spans="1:9" ht="12.75" customHeight="1">
      <c r="A9" s="11" t="s">
        <v>574</v>
      </c>
      <c r="B9" s="34">
        <v>32689.9</v>
      </c>
      <c r="C9" s="34">
        <v>2958.6</v>
      </c>
      <c r="D9" s="34">
        <v>11806.7</v>
      </c>
      <c r="E9" s="34">
        <v>5227.5</v>
      </c>
      <c r="F9" s="34">
        <v>106.9</v>
      </c>
      <c r="G9" s="34">
        <f t="shared" si="0"/>
        <v>47562.1</v>
      </c>
      <c r="H9" s="53"/>
      <c r="I9" s="53"/>
    </row>
    <row r="10" spans="1:9" ht="12.75" customHeight="1">
      <c r="A10" s="451" t="s">
        <v>114</v>
      </c>
      <c r="B10" s="437">
        <v>36049.199999999997</v>
      </c>
      <c r="C10" s="437">
        <v>3399.5</v>
      </c>
      <c r="D10" s="437">
        <v>23159.5</v>
      </c>
      <c r="E10" s="437">
        <v>6640.7</v>
      </c>
      <c r="F10" s="437">
        <v>141.19999999999999</v>
      </c>
      <c r="G10" s="437">
        <f>B10+C10+D10+F10</f>
        <v>62749.399999999994</v>
      </c>
      <c r="H10" s="53"/>
      <c r="I10" s="53"/>
    </row>
    <row r="11" spans="1:9" ht="12.75" customHeight="1">
      <c r="A11" s="11" t="s">
        <v>110</v>
      </c>
      <c r="B11" s="34">
        <v>46157.1</v>
      </c>
      <c r="C11" s="34">
        <v>4308.3</v>
      </c>
      <c r="D11" s="34">
        <v>23468</v>
      </c>
      <c r="E11" s="34">
        <v>6367.5</v>
      </c>
      <c r="F11" s="34">
        <v>209.4</v>
      </c>
      <c r="G11" s="34">
        <f>B11+C11+D11+F11</f>
        <v>74142.799999999988</v>
      </c>
      <c r="H11" s="53"/>
      <c r="I11" s="53"/>
    </row>
    <row r="12" spans="1:9" ht="12.75" customHeight="1">
      <c r="A12" s="451" t="s">
        <v>253</v>
      </c>
      <c r="B12" s="437">
        <v>54795.1</v>
      </c>
      <c r="C12" s="437">
        <v>5731.8</v>
      </c>
      <c r="D12" s="437">
        <v>29007.7</v>
      </c>
      <c r="E12" s="437">
        <v>7766.5</v>
      </c>
      <c r="F12" s="437">
        <v>199.8</v>
      </c>
      <c r="G12" s="437">
        <v>89734.400000000009</v>
      </c>
      <c r="H12" s="53"/>
      <c r="I12" s="53"/>
    </row>
    <row r="13" spans="1:9" s="254" customFormat="1" ht="12.75" customHeight="1">
      <c r="A13" s="252" t="s">
        <v>1169</v>
      </c>
      <c r="B13" s="79">
        <v>58417.1</v>
      </c>
      <c r="C13" s="79">
        <v>6479.4</v>
      </c>
      <c r="D13" s="79">
        <v>32662.3</v>
      </c>
      <c r="E13" s="79">
        <v>10289.9</v>
      </c>
      <c r="F13" s="79">
        <v>243.9</v>
      </c>
      <c r="G13" s="79">
        <v>97802.7</v>
      </c>
      <c r="H13" s="252"/>
      <c r="I13" s="53"/>
    </row>
    <row r="14" spans="1:9" s="254" customFormat="1" ht="12.75" customHeight="1">
      <c r="A14" s="430" t="s">
        <v>1361</v>
      </c>
      <c r="B14" s="437">
        <v>67552.899999999994</v>
      </c>
      <c r="C14" s="437">
        <v>7819.4</v>
      </c>
      <c r="D14" s="437">
        <v>36803.4</v>
      </c>
      <c r="E14" s="437">
        <v>8422.6</v>
      </c>
      <c r="F14" s="437">
        <v>313.70000000000005</v>
      </c>
      <c r="G14" s="437">
        <v>112489.39999999998</v>
      </c>
      <c r="H14" s="252"/>
      <c r="I14" s="53"/>
    </row>
    <row r="15" spans="1:9" s="897" customFormat="1" ht="12.75" customHeight="1">
      <c r="A15" s="758" t="s">
        <v>1693</v>
      </c>
      <c r="B15" s="79">
        <v>76908.399999999994</v>
      </c>
      <c r="C15" s="79">
        <v>8576.7999999999993</v>
      </c>
      <c r="D15" s="79">
        <v>43997.7</v>
      </c>
      <c r="E15" s="79">
        <v>7480.2</v>
      </c>
      <c r="F15" s="79">
        <v>392.4</v>
      </c>
      <c r="G15" s="79">
        <v>129875.29999999999</v>
      </c>
      <c r="H15" s="714"/>
      <c r="I15" s="895"/>
    </row>
    <row r="16" spans="1:9" s="897" customFormat="1" ht="12.75" customHeight="1">
      <c r="A16" s="441" t="s">
        <v>1795</v>
      </c>
      <c r="B16" s="683">
        <v>87940.800000000003</v>
      </c>
      <c r="C16" s="683">
        <v>10213.1</v>
      </c>
      <c r="D16" s="683">
        <v>49838.9</v>
      </c>
      <c r="E16" s="683">
        <v>7889.3</v>
      </c>
      <c r="F16" s="683">
        <v>489.7</v>
      </c>
      <c r="G16" s="683">
        <v>148482.50000000003</v>
      </c>
      <c r="H16" s="714"/>
      <c r="I16" s="79"/>
    </row>
    <row r="17" spans="1:9" s="663" customFormat="1" ht="12.75" customHeight="1">
      <c r="A17" s="747" t="s">
        <v>1996</v>
      </c>
      <c r="B17" s="832">
        <v>122074.5</v>
      </c>
      <c r="C17" s="832">
        <v>10230.700000000001</v>
      </c>
      <c r="D17" s="832">
        <v>60299</v>
      </c>
      <c r="E17" s="832">
        <v>7133.4</v>
      </c>
      <c r="F17" s="832">
        <v>597.1</v>
      </c>
      <c r="G17" s="832">
        <v>193201.30000000002</v>
      </c>
      <c r="H17" s="662"/>
      <c r="I17" s="348"/>
    </row>
    <row r="18" spans="1:9" s="663" customFormat="1" ht="12.75" customHeight="1">
      <c r="A18" s="515" t="s">
        <v>2092</v>
      </c>
      <c r="B18" s="835">
        <f t="shared" ref="B18:G18" si="1">B30</f>
        <v>137531.79999999999</v>
      </c>
      <c r="C18" s="835">
        <f t="shared" si="1"/>
        <v>13733.4</v>
      </c>
      <c r="D18" s="835">
        <f t="shared" si="1"/>
        <v>72732.7</v>
      </c>
      <c r="E18" s="835">
        <f t="shared" si="1"/>
        <v>8987.9</v>
      </c>
      <c r="F18" s="835">
        <f t="shared" si="1"/>
        <v>661.5</v>
      </c>
      <c r="G18" s="835">
        <f t="shared" si="1"/>
        <v>224659.39999999997</v>
      </c>
      <c r="H18" s="662"/>
      <c r="I18" s="348"/>
    </row>
    <row r="19" spans="1:9" s="663" customFormat="1" ht="12.75" customHeight="1">
      <c r="A19" s="541" t="s">
        <v>843</v>
      </c>
      <c r="B19" s="775">
        <v>109025</v>
      </c>
      <c r="C19" s="775">
        <v>10638.4</v>
      </c>
      <c r="D19" s="775">
        <v>61615</v>
      </c>
      <c r="E19" s="775">
        <v>7746.1</v>
      </c>
      <c r="F19" s="775">
        <v>579.79999999999995</v>
      </c>
      <c r="G19" s="775">
        <f t="shared" ref="G19:G48" si="2">B19+C19+D19+F19</f>
        <v>181858.19999999998</v>
      </c>
      <c r="H19" s="662"/>
      <c r="I19" s="348"/>
    </row>
    <row r="20" spans="1:9" s="663" customFormat="1" ht="12.75" customHeight="1">
      <c r="A20" s="498" t="s">
        <v>844</v>
      </c>
      <c r="B20" s="1038">
        <v>112113.8</v>
      </c>
      <c r="C20" s="1038">
        <v>10010</v>
      </c>
      <c r="D20" s="1038">
        <v>59999</v>
      </c>
      <c r="E20" s="1038">
        <v>8315.9</v>
      </c>
      <c r="F20" s="1038">
        <v>595.79999999999995</v>
      </c>
      <c r="G20" s="1038">
        <f t="shared" si="2"/>
        <v>182718.59999999998</v>
      </c>
      <c r="H20" s="662"/>
      <c r="I20" s="348"/>
    </row>
    <row r="21" spans="1:9" s="663" customFormat="1" ht="12.75" customHeight="1">
      <c r="A21" s="391" t="s">
        <v>838</v>
      </c>
      <c r="B21" s="775">
        <v>118129.3</v>
      </c>
      <c r="C21" s="775">
        <v>10120.299999999999</v>
      </c>
      <c r="D21" s="775">
        <v>60919.7</v>
      </c>
      <c r="E21" s="775">
        <v>8762.2999999999993</v>
      </c>
      <c r="F21" s="775">
        <v>638.79999999999995</v>
      </c>
      <c r="G21" s="775">
        <f t="shared" si="2"/>
        <v>189808.09999999998</v>
      </c>
      <c r="H21" s="662"/>
      <c r="I21" s="348"/>
    </row>
    <row r="22" spans="1:9" s="663" customFormat="1" ht="12.75" customHeight="1">
      <c r="A22" s="498" t="s">
        <v>845</v>
      </c>
      <c r="B22" s="1038">
        <v>112704.50000000001</v>
      </c>
      <c r="C22" s="1038">
        <v>10709.7</v>
      </c>
      <c r="D22" s="1038">
        <v>62601.7</v>
      </c>
      <c r="E22" s="1038">
        <v>7746.7</v>
      </c>
      <c r="F22" s="1038">
        <v>632.6</v>
      </c>
      <c r="G22" s="1038">
        <f t="shared" si="2"/>
        <v>186648.50000000003</v>
      </c>
      <c r="H22" s="662"/>
      <c r="I22" s="348"/>
    </row>
    <row r="23" spans="1:9" s="663" customFormat="1" ht="12.75" customHeight="1">
      <c r="A23" s="391" t="s">
        <v>846</v>
      </c>
      <c r="B23" s="775">
        <v>111242</v>
      </c>
      <c r="C23" s="775">
        <v>10216.5</v>
      </c>
      <c r="D23" s="775">
        <v>64826</v>
      </c>
      <c r="E23" s="775">
        <v>6294.1</v>
      </c>
      <c r="F23" s="775">
        <v>639.29999999999995</v>
      </c>
      <c r="G23" s="775">
        <f t="shared" si="2"/>
        <v>186923.8</v>
      </c>
      <c r="H23" s="662"/>
      <c r="I23" s="348"/>
    </row>
    <row r="24" spans="1:9" s="663" customFormat="1" ht="12.75" customHeight="1">
      <c r="A24" s="1037" t="s">
        <v>839</v>
      </c>
      <c r="B24" s="1038">
        <v>113153.4</v>
      </c>
      <c r="C24" s="1038">
        <v>10203.1</v>
      </c>
      <c r="D24" s="1038">
        <v>67509.5</v>
      </c>
      <c r="E24" s="1038">
        <v>7473.2</v>
      </c>
      <c r="F24" s="1038">
        <v>632.20000000000005</v>
      </c>
      <c r="G24" s="1038">
        <f t="shared" si="2"/>
        <v>191498.2</v>
      </c>
      <c r="H24" s="662"/>
      <c r="I24" s="348"/>
    </row>
    <row r="25" spans="1:9" s="663" customFormat="1" ht="12.75" customHeight="1">
      <c r="A25" s="1039" t="s">
        <v>847</v>
      </c>
      <c r="B25" s="775">
        <v>112567.6</v>
      </c>
      <c r="C25" s="775">
        <v>10411.5</v>
      </c>
      <c r="D25" s="775">
        <v>64923.199999999997</v>
      </c>
      <c r="E25" s="775">
        <v>6122.5</v>
      </c>
      <c r="F25" s="775">
        <v>659.9</v>
      </c>
      <c r="G25" s="775">
        <f t="shared" si="2"/>
        <v>188562.19999999998</v>
      </c>
      <c r="H25" s="662"/>
      <c r="I25" s="348"/>
    </row>
    <row r="26" spans="1:9" s="663" customFormat="1" ht="12.75" customHeight="1">
      <c r="A26" s="1037" t="s">
        <v>848</v>
      </c>
      <c r="B26" s="1038">
        <v>112499.7</v>
      </c>
      <c r="C26" s="1038">
        <v>11008.1</v>
      </c>
      <c r="D26" s="1038">
        <v>67105.2</v>
      </c>
      <c r="E26" s="1038">
        <v>6814.4</v>
      </c>
      <c r="F26" s="1038">
        <v>639.9</v>
      </c>
      <c r="G26" s="1038">
        <f t="shared" si="2"/>
        <v>191252.9</v>
      </c>
      <c r="H26" s="662"/>
      <c r="I26" s="348"/>
    </row>
    <row r="27" spans="1:9" s="663" customFormat="1" ht="12.75" customHeight="1">
      <c r="A27" s="1039" t="s">
        <v>840</v>
      </c>
      <c r="B27" s="775">
        <v>114109.9</v>
      </c>
      <c r="C27" s="775">
        <v>10364.9</v>
      </c>
      <c r="D27" s="775">
        <v>67498.399999999994</v>
      </c>
      <c r="E27" s="775">
        <v>7067.5</v>
      </c>
      <c r="F27" s="775">
        <v>640</v>
      </c>
      <c r="G27" s="775">
        <f t="shared" si="2"/>
        <v>192613.19999999998</v>
      </c>
      <c r="H27" s="662"/>
      <c r="I27" s="348"/>
    </row>
    <row r="28" spans="1:9" s="663" customFormat="1" ht="12.75" customHeight="1">
      <c r="A28" s="1037" t="s">
        <v>849</v>
      </c>
      <c r="B28" s="1038">
        <v>113757.5</v>
      </c>
      <c r="C28" s="1038">
        <v>11105.2</v>
      </c>
      <c r="D28" s="1038">
        <v>65980.2</v>
      </c>
      <c r="E28" s="1038">
        <v>5430.1</v>
      </c>
      <c r="F28" s="1038">
        <v>661.4</v>
      </c>
      <c r="G28" s="1038">
        <f t="shared" si="2"/>
        <v>191504.3</v>
      </c>
      <c r="H28" s="662"/>
      <c r="I28" s="348"/>
    </row>
    <row r="29" spans="1:9" s="663" customFormat="1" ht="12.75" customHeight="1">
      <c r="A29" s="1039" t="s">
        <v>850</v>
      </c>
      <c r="B29" s="775">
        <v>117136.5</v>
      </c>
      <c r="C29" s="775">
        <v>11744.8</v>
      </c>
      <c r="D29" s="775">
        <v>66446.7</v>
      </c>
      <c r="E29" s="775">
        <v>7961.6</v>
      </c>
      <c r="F29" s="775">
        <v>640.6</v>
      </c>
      <c r="G29" s="775">
        <f t="shared" si="2"/>
        <v>195968.6</v>
      </c>
      <c r="H29" s="662"/>
      <c r="I29" s="348"/>
    </row>
    <row r="30" spans="1:9" s="663" customFormat="1" ht="12.75" customHeight="1">
      <c r="A30" s="1037" t="s">
        <v>841</v>
      </c>
      <c r="B30" s="1038">
        <v>137531.79999999999</v>
      </c>
      <c r="C30" s="1038">
        <v>13733.4</v>
      </c>
      <c r="D30" s="1038">
        <v>72732.7</v>
      </c>
      <c r="E30" s="1038">
        <v>8987.9</v>
      </c>
      <c r="F30" s="1038">
        <v>661.5</v>
      </c>
      <c r="G30" s="1038">
        <f t="shared" si="2"/>
        <v>224659.39999999997</v>
      </c>
      <c r="H30" s="662"/>
      <c r="I30" s="348"/>
    </row>
    <row r="31" spans="1:9" s="663" customFormat="1" ht="12.75" customHeight="1">
      <c r="A31" s="747" t="s">
        <v>2320</v>
      </c>
      <c r="B31" s="832">
        <f t="shared" ref="B31:G31" si="3">B43</f>
        <v>140917.5</v>
      </c>
      <c r="C31" s="832">
        <f t="shared" si="3"/>
        <v>14023</v>
      </c>
      <c r="D31" s="832">
        <f t="shared" si="3"/>
        <v>78043.399999999994</v>
      </c>
      <c r="E31" s="832">
        <f t="shared" si="3"/>
        <v>10474.5</v>
      </c>
      <c r="F31" s="832">
        <f t="shared" si="3"/>
        <v>759.1</v>
      </c>
      <c r="G31" s="832">
        <f t="shared" si="3"/>
        <v>233743</v>
      </c>
      <c r="H31" s="662"/>
      <c r="I31" s="348"/>
    </row>
    <row r="32" spans="1:9" s="663" customFormat="1" ht="12.75" customHeight="1">
      <c r="A32" s="498" t="s">
        <v>843</v>
      </c>
      <c r="B32" s="1038">
        <v>126258.4</v>
      </c>
      <c r="C32" s="1038">
        <v>12238.1</v>
      </c>
      <c r="D32" s="1038">
        <v>71127.100000000006</v>
      </c>
      <c r="E32" s="1038">
        <v>7306.6</v>
      </c>
      <c r="F32" s="1038">
        <v>664.2</v>
      </c>
      <c r="G32" s="1038">
        <f t="shared" si="2"/>
        <v>210287.80000000002</v>
      </c>
      <c r="H32" s="662"/>
      <c r="I32" s="348"/>
    </row>
    <row r="33" spans="1:9" s="663" customFormat="1" ht="12.75" customHeight="1">
      <c r="A33" s="391" t="s">
        <v>844</v>
      </c>
      <c r="B33" s="775">
        <v>147823.4</v>
      </c>
      <c r="C33" s="775">
        <v>11375.9</v>
      </c>
      <c r="D33" s="775">
        <v>70323.399999999994</v>
      </c>
      <c r="E33" s="775">
        <v>7226.9</v>
      </c>
      <c r="F33" s="775">
        <v>672.9</v>
      </c>
      <c r="G33" s="775">
        <f t="shared" si="2"/>
        <v>230195.59999999998</v>
      </c>
      <c r="H33" s="662"/>
      <c r="I33" s="348"/>
    </row>
    <row r="34" spans="1:9" s="663" customFormat="1" ht="12.75" customHeight="1">
      <c r="A34" s="498" t="s">
        <v>838</v>
      </c>
      <c r="B34" s="1038">
        <v>132823.20000000001</v>
      </c>
      <c r="C34" s="1038">
        <v>11307.9</v>
      </c>
      <c r="D34" s="1038">
        <v>70441.7</v>
      </c>
      <c r="E34" s="1038">
        <v>6525</v>
      </c>
      <c r="F34" s="1038">
        <v>687.4</v>
      </c>
      <c r="G34" s="1038">
        <f t="shared" si="2"/>
        <v>215260.19999999998</v>
      </c>
      <c r="H34" s="662"/>
      <c r="I34" s="348"/>
    </row>
    <row r="35" spans="1:9" s="663" customFormat="1" ht="12.75" customHeight="1">
      <c r="A35" s="391" t="s">
        <v>845</v>
      </c>
      <c r="B35" s="775">
        <v>126764.6</v>
      </c>
      <c r="C35" s="775">
        <v>12310.7</v>
      </c>
      <c r="D35" s="775">
        <v>70523.100000000006</v>
      </c>
      <c r="E35" s="775">
        <v>6573.2</v>
      </c>
      <c r="F35" s="775">
        <v>678.6</v>
      </c>
      <c r="G35" s="775">
        <f t="shared" si="2"/>
        <v>210277.00000000003</v>
      </c>
      <c r="H35" s="662"/>
      <c r="I35" s="348"/>
    </row>
    <row r="36" spans="1:9" s="663" customFormat="1" ht="12.75" customHeight="1">
      <c r="A36" s="498" t="s">
        <v>846</v>
      </c>
      <c r="B36" s="1038">
        <v>126883.2</v>
      </c>
      <c r="C36" s="1038">
        <v>11357.5</v>
      </c>
      <c r="D36" s="1038">
        <v>70096.5</v>
      </c>
      <c r="E36" s="1038">
        <v>7146.7</v>
      </c>
      <c r="F36" s="1038">
        <v>682.1</v>
      </c>
      <c r="G36" s="1038">
        <f t="shared" si="2"/>
        <v>209019.30000000002</v>
      </c>
      <c r="H36" s="662"/>
      <c r="I36" s="348"/>
    </row>
    <row r="37" spans="1:9" s="663" customFormat="1" ht="12.75" customHeight="1">
      <c r="A37" s="391" t="s">
        <v>839</v>
      </c>
      <c r="B37" s="775">
        <v>129149.2</v>
      </c>
      <c r="C37" s="775">
        <v>11537.3</v>
      </c>
      <c r="D37" s="775">
        <v>75626.899999999994</v>
      </c>
      <c r="E37" s="775">
        <v>7059.3</v>
      </c>
      <c r="F37" s="775">
        <v>670.4</v>
      </c>
      <c r="G37" s="775">
        <f t="shared" si="2"/>
        <v>216983.8</v>
      </c>
      <c r="H37" s="662"/>
      <c r="I37" s="348"/>
    </row>
    <row r="38" spans="1:9" s="663" customFormat="1" ht="12.75" customHeight="1">
      <c r="A38" s="498" t="s">
        <v>847</v>
      </c>
      <c r="B38" s="1038">
        <v>128248.3</v>
      </c>
      <c r="C38" s="1038">
        <v>12043.1</v>
      </c>
      <c r="D38" s="1038">
        <v>69361.7</v>
      </c>
      <c r="E38" s="1038">
        <v>6541.3</v>
      </c>
      <c r="F38" s="1038">
        <v>667.5</v>
      </c>
      <c r="G38" s="1038">
        <f t="shared" si="2"/>
        <v>210320.59999999998</v>
      </c>
      <c r="H38" s="662"/>
      <c r="I38" s="348"/>
    </row>
    <row r="39" spans="1:9" s="663" customFormat="1" ht="12.75" customHeight="1">
      <c r="A39" s="391" t="s">
        <v>848</v>
      </c>
      <c r="B39" s="775">
        <v>128338.1</v>
      </c>
      <c r="C39" s="775">
        <v>12783.3</v>
      </c>
      <c r="D39" s="775">
        <v>68679.600000000006</v>
      </c>
      <c r="E39" s="775">
        <v>7975.9</v>
      </c>
      <c r="F39" s="775">
        <v>748.4</v>
      </c>
      <c r="G39" s="775">
        <f t="shared" si="2"/>
        <v>210549.4</v>
      </c>
      <c r="H39" s="662"/>
      <c r="I39" s="348"/>
    </row>
    <row r="40" spans="1:9" s="663" customFormat="1" ht="12.75" customHeight="1">
      <c r="A40" s="498" t="s">
        <v>840</v>
      </c>
      <c r="B40" s="1038">
        <v>128133.1</v>
      </c>
      <c r="C40" s="1038">
        <v>12042.8</v>
      </c>
      <c r="D40" s="1038">
        <v>71374.100000000006</v>
      </c>
      <c r="E40" s="1038">
        <v>8152</v>
      </c>
      <c r="F40" s="1038">
        <v>700.4</v>
      </c>
      <c r="G40" s="1038">
        <f t="shared" si="2"/>
        <v>212250.4</v>
      </c>
      <c r="H40" s="662"/>
      <c r="I40" s="348"/>
    </row>
    <row r="41" spans="1:9" s="663" customFormat="1" ht="12.75" customHeight="1">
      <c r="A41" s="391" t="s">
        <v>849</v>
      </c>
      <c r="B41" s="775">
        <v>128346.7</v>
      </c>
      <c r="C41" s="775">
        <v>12550.3</v>
      </c>
      <c r="D41" s="775">
        <v>70643.7</v>
      </c>
      <c r="E41" s="775">
        <v>7619</v>
      </c>
      <c r="F41" s="775">
        <v>840.3</v>
      </c>
      <c r="G41" s="775">
        <f t="shared" si="2"/>
        <v>212381</v>
      </c>
      <c r="H41" s="662"/>
      <c r="I41" s="348"/>
    </row>
    <row r="42" spans="1:9" s="663" customFormat="1" ht="12.75" customHeight="1">
      <c r="A42" s="498" t="s">
        <v>850</v>
      </c>
      <c r="B42" s="1038">
        <v>133443.9</v>
      </c>
      <c r="C42" s="1038">
        <v>13183.7</v>
      </c>
      <c r="D42" s="1038">
        <v>63761.599999999999</v>
      </c>
      <c r="E42" s="1038">
        <v>9088.7999999999993</v>
      </c>
      <c r="F42" s="1038">
        <v>652.4</v>
      </c>
      <c r="G42" s="1038">
        <f t="shared" si="2"/>
        <v>211041.6</v>
      </c>
      <c r="H42" s="662"/>
      <c r="I42" s="348"/>
    </row>
    <row r="43" spans="1:9" s="663" customFormat="1" ht="12.75" customHeight="1">
      <c r="A43" s="391" t="s">
        <v>841</v>
      </c>
      <c r="B43" s="775">
        <v>140917.5</v>
      </c>
      <c r="C43" s="775">
        <v>14023</v>
      </c>
      <c r="D43" s="775">
        <v>78043.399999999994</v>
      </c>
      <c r="E43" s="775">
        <v>10474.5</v>
      </c>
      <c r="F43" s="775">
        <v>759.1</v>
      </c>
      <c r="G43" s="775">
        <f t="shared" si="2"/>
        <v>233743</v>
      </c>
      <c r="H43" s="662"/>
      <c r="I43" s="348"/>
    </row>
    <row r="44" spans="1:9" s="252" customFormat="1" ht="12.75" customHeight="1">
      <c r="A44" s="556" t="s">
        <v>2585</v>
      </c>
      <c r="B44" s="1038"/>
      <c r="C44" s="1038"/>
      <c r="D44" s="1038"/>
      <c r="E44" s="1038"/>
      <c r="F44" s="1038"/>
      <c r="G44" s="1038"/>
    </row>
    <row r="45" spans="1:9" s="11" customFormat="1" ht="12.75" customHeight="1">
      <c r="A45" s="391" t="s">
        <v>843</v>
      </c>
      <c r="B45" s="775">
        <v>137702.29999999999</v>
      </c>
      <c r="C45" s="775">
        <v>13317.5</v>
      </c>
      <c r="D45" s="775">
        <v>69416.600000000006</v>
      </c>
      <c r="E45" s="775">
        <v>9843.1</v>
      </c>
      <c r="F45" s="775">
        <v>831.5</v>
      </c>
      <c r="G45" s="775">
        <f t="shared" si="2"/>
        <v>221267.9</v>
      </c>
    </row>
    <row r="46" spans="1:9" s="11" customFormat="1" ht="12.75" customHeight="1">
      <c r="A46" s="498" t="s">
        <v>844</v>
      </c>
      <c r="B46" s="1038">
        <v>153394.6</v>
      </c>
      <c r="C46" s="1038">
        <v>14192.1</v>
      </c>
      <c r="D46" s="1038">
        <v>66040.5</v>
      </c>
      <c r="E46" s="1038">
        <v>11830.2</v>
      </c>
      <c r="F46" s="1038">
        <v>743.6</v>
      </c>
      <c r="G46" s="1038">
        <f t="shared" si="2"/>
        <v>234370.80000000002</v>
      </c>
    </row>
    <row r="47" spans="1:9" s="11" customFormat="1" ht="12.75" customHeight="1">
      <c r="A47" s="391" t="s">
        <v>838</v>
      </c>
      <c r="B47" s="775">
        <v>141018.9</v>
      </c>
      <c r="C47" s="775">
        <v>14502.5</v>
      </c>
      <c r="D47" s="775">
        <v>72210.8</v>
      </c>
      <c r="E47" s="775">
        <v>9259.9</v>
      </c>
      <c r="F47" s="775">
        <v>755</v>
      </c>
      <c r="G47" s="775">
        <f t="shared" si="2"/>
        <v>228487.2</v>
      </c>
    </row>
    <row r="48" spans="1:9" s="11" customFormat="1" ht="12.75" customHeight="1" thickBot="1">
      <c r="A48" s="1106" t="s">
        <v>845</v>
      </c>
      <c r="B48" s="1645">
        <v>139078.1</v>
      </c>
      <c r="C48" s="1645">
        <v>13346.1</v>
      </c>
      <c r="D48" s="1645">
        <v>74979.7</v>
      </c>
      <c r="E48" s="1645">
        <v>7573.2</v>
      </c>
      <c r="F48" s="1645">
        <v>714.3</v>
      </c>
      <c r="G48" s="1645">
        <f t="shared" si="2"/>
        <v>228118.2</v>
      </c>
    </row>
    <row r="49" spans="1:7" s="11" customFormat="1" ht="11.25" customHeight="1">
      <c r="A49" s="356"/>
      <c r="B49" s="1858" t="s">
        <v>2300</v>
      </c>
      <c r="C49" s="1858"/>
      <c r="D49" s="1858"/>
      <c r="E49" s="1858"/>
      <c r="F49" s="1858"/>
      <c r="G49" s="1858"/>
    </row>
    <row r="50" spans="1:7" s="11" customFormat="1">
      <c r="A50" s="652" t="s">
        <v>2378</v>
      </c>
      <c r="B50" s="1818" t="s">
        <v>2172</v>
      </c>
      <c r="C50" s="1818"/>
      <c r="D50" s="1818"/>
      <c r="E50" s="1167"/>
      <c r="F50" s="1167"/>
      <c r="G50" s="1167"/>
    </row>
    <row r="51" spans="1:7">
      <c r="A51" s="11"/>
      <c r="B51" s="78"/>
      <c r="C51" s="78"/>
      <c r="D51" s="78"/>
      <c r="E51" s="78"/>
      <c r="F51" s="78"/>
      <c r="G51" s="78"/>
    </row>
    <row r="52" spans="1:7">
      <c r="A52" s="11"/>
      <c r="B52" s="11"/>
      <c r="C52" s="11"/>
      <c r="D52" s="11"/>
      <c r="E52" s="11"/>
      <c r="F52" s="11"/>
      <c r="G52" s="11"/>
    </row>
    <row r="53" spans="1:7">
      <c r="A53" s="11"/>
      <c r="B53" s="93"/>
      <c r="C53" s="11"/>
      <c r="D53" s="11"/>
      <c r="E53" s="11"/>
      <c r="F53" s="11"/>
      <c r="G53" s="215"/>
    </row>
    <row r="55" spans="1:7">
      <c r="G55" s="53"/>
    </row>
    <row r="56" spans="1:7">
      <c r="G56" s="53"/>
    </row>
    <row r="66" spans="2:7">
      <c r="B66" s="53"/>
      <c r="C66" s="53"/>
      <c r="D66" s="53"/>
      <c r="E66" s="53"/>
      <c r="F66" s="53"/>
      <c r="G66" s="53"/>
    </row>
    <row r="67" spans="2:7">
      <c r="B67" s="53"/>
      <c r="C67" s="53"/>
      <c r="D67" s="53"/>
      <c r="E67" s="53"/>
      <c r="F67" s="53"/>
      <c r="G67" s="53"/>
    </row>
    <row r="68" spans="2:7">
      <c r="B68" s="53"/>
      <c r="C68" s="53"/>
      <c r="D68" s="53"/>
      <c r="E68" s="53"/>
      <c r="F68" s="53"/>
      <c r="G68" s="53"/>
    </row>
    <row r="69" spans="2:7">
      <c r="B69" s="53"/>
      <c r="C69" s="53"/>
      <c r="D69" s="53"/>
      <c r="E69" s="53"/>
      <c r="F69" s="53"/>
      <c r="G69" s="53"/>
    </row>
    <row r="70" spans="2:7">
      <c r="B70" s="53"/>
      <c r="C70" s="53"/>
      <c r="D70" s="53"/>
      <c r="E70" s="53"/>
      <c r="F70" s="53"/>
      <c r="G70" s="53"/>
    </row>
    <row r="71" spans="2:7">
      <c r="B71" s="53"/>
      <c r="C71" s="53"/>
      <c r="D71" s="53"/>
      <c r="E71" s="53"/>
      <c r="F71" s="53"/>
      <c r="G71" s="53"/>
    </row>
    <row r="72" spans="2:7">
      <c r="B72" s="53"/>
      <c r="C72" s="53"/>
      <c r="D72" s="53"/>
      <c r="E72" s="53"/>
      <c r="F72" s="53"/>
      <c r="G72" s="53"/>
    </row>
    <row r="73" spans="2:7">
      <c r="B73" s="53"/>
      <c r="C73" s="53"/>
      <c r="D73" s="53"/>
      <c r="E73" s="53"/>
      <c r="F73" s="53"/>
      <c r="G73" s="53"/>
    </row>
    <row r="74" spans="2:7">
      <c r="B74" s="53"/>
      <c r="C74" s="53"/>
      <c r="D74" s="53"/>
      <c r="E74" s="53"/>
      <c r="F74" s="53"/>
      <c r="G74" s="53"/>
    </row>
    <row r="75" spans="2:7">
      <c r="B75" s="53"/>
      <c r="C75" s="53"/>
      <c r="D75" s="53"/>
      <c r="E75" s="53"/>
      <c r="F75" s="53"/>
      <c r="G75" s="53"/>
    </row>
    <row r="76" spans="2:7">
      <c r="B76" s="53"/>
      <c r="C76" s="53"/>
      <c r="D76" s="53"/>
      <c r="E76" s="53"/>
      <c r="F76" s="53"/>
      <c r="G76" s="53"/>
    </row>
  </sheetData>
  <mergeCells count="14">
    <mergeCell ref="B49:G49"/>
    <mergeCell ref="D5:D6"/>
    <mergeCell ref="D4:E4"/>
    <mergeCell ref="D3:F3"/>
    <mergeCell ref="B50:D50"/>
    <mergeCell ref="F1:G1"/>
    <mergeCell ref="A1:E1"/>
    <mergeCell ref="A3:A7"/>
    <mergeCell ref="E5:E6"/>
    <mergeCell ref="C3:C6"/>
    <mergeCell ref="B3:B6"/>
    <mergeCell ref="F2:G2"/>
    <mergeCell ref="G3:G6"/>
    <mergeCell ref="F4:F6"/>
  </mergeCells>
  <phoneticPr fontId="0" type="noConversion"/>
  <pageMargins left="0.62992125984252001" right="0.511811023622047" top="0.511811023622047" bottom="0.511811023622047" header="0" footer="0.39370078740157499"/>
  <pageSetup paperSize="141" firstPageNumber="16" orientation="portrait" useFirstPageNumber="1" r:id="rId1"/>
  <headerFooter alignWithMargins="0">
    <oddFooter>&amp;C&amp;"Times New Roman,Regular"&amp;8&amp;P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9"/>
  <dimension ref="A1:L74"/>
  <sheetViews>
    <sheetView zoomScale="160" zoomScaleNormal="160" workbookViewId="0">
      <pane xSplit="1" ySplit="7" topLeftCell="C38" activePane="bottomRight" state="frozen"/>
      <selection pane="topRight" activeCell="C1" sqref="C1"/>
      <selection pane="bottomLeft" activeCell="A8" sqref="A8"/>
      <selection pane="bottomRight" activeCell="H56" sqref="H56"/>
    </sheetView>
  </sheetViews>
  <sheetFormatPr defaultColWidth="9.140625" defaultRowHeight="11.25"/>
  <cols>
    <col min="1" max="1" width="10.140625" style="254" customWidth="1"/>
    <col min="2" max="2" width="7.42578125" style="254" customWidth="1"/>
    <col min="3" max="3" width="7.140625" style="254" customWidth="1"/>
    <col min="4" max="4" width="7" style="254" customWidth="1"/>
    <col min="5" max="5" width="6.42578125" style="254" customWidth="1"/>
    <col min="6" max="6" width="7.42578125" style="254" customWidth="1"/>
    <col min="7" max="7" width="8.28515625" style="254" customWidth="1"/>
    <col min="8" max="8" width="7.28515625" style="254" customWidth="1"/>
    <col min="9" max="9" width="8" style="254" customWidth="1"/>
    <col min="10" max="10" width="7.5703125" style="254" customWidth="1"/>
    <col min="11" max="16384" width="9.140625" style="254"/>
  </cols>
  <sheetData>
    <row r="1" spans="1:12" s="257" customFormat="1" ht="13.5" customHeight="1">
      <c r="A1" s="1860" t="s">
        <v>2213</v>
      </c>
      <c r="B1" s="1860"/>
      <c r="C1" s="1860"/>
      <c r="D1" s="1860"/>
      <c r="E1" s="1860"/>
      <c r="F1" s="1860"/>
      <c r="G1" s="1860"/>
      <c r="H1" s="1860"/>
      <c r="I1" s="1862" t="s">
        <v>268</v>
      </c>
      <c r="J1" s="1862"/>
    </row>
    <row r="2" spans="1:12" s="260" customFormat="1" ht="12">
      <c r="I2" s="1863" t="s">
        <v>41</v>
      </c>
      <c r="J2" s="1863"/>
    </row>
    <row r="3" spans="1:12" s="589" customFormat="1" ht="15" customHeight="1">
      <c r="A3" s="1759" t="s">
        <v>1522</v>
      </c>
      <c r="B3" s="1852" t="s">
        <v>269</v>
      </c>
      <c r="C3" s="1792" t="s">
        <v>766</v>
      </c>
      <c r="D3" s="1793"/>
      <c r="E3" s="1793"/>
      <c r="F3" s="1793"/>
      <c r="G3" s="1794"/>
      <c r="H3" s="1738" t="s">
        <v>1501</v>
      </c>
      <c r="I3" s="1738" t="s">
        <v>272</v>
      </c>
      <c r="J3" s="1738" t="s">
        <v>273</v>
      </c>
    </row>
    <row r="4" spans="1:12" s="589" customFormat="1" ht="12.75" customHeight="1">
      <c r="A4" s="1759"/>
      <c r="B4" s="1861"/>
      <c r="C4" s="1738" t="s">
        <v>1247</v>
      </c>
      <c r="D4" s="1738" t="s">
        <v>768</v>
      </c>
      <c r="E4" s="1738" t="s">
        <v>882</v>
      </c>
      <c r="F4" s="1738" t="s">
        <v>270</v>
      </c>
      <c r="G4" s="1738" t="s">
        <v>271</v>
      </c>
      <c r="H4" s="1763"/>
      <c r="I4" s="1763"/>
      <c r="J4" s="1763"/>
    </row>
    <row r="5" spans="1:12" s="263" customFormat="1" ht="19.5" customHeight="1">
      <c r="A5" s="1759"/>
      <c r="B5" s="1861"/>
      <c r="C5" s="1763"/>
      <c r="D5" s="1763"/>
      <c r="E5" s="1855"/>
      <c r="F5" s="1763"/>
      <c r="G5" s="1763"/>
      <c r="H5" s="1763"/>
      <c r="I5" s="1763"/>
      <c r="J5" s="1763"/>
    </row>
    <row r="6" spans="1:12" s="263" customFormat="1" ht="14.25" customHeight="1">
      <c r="A6" s="1759"/>
      <c r="B6" s="1757"/>
      <c r="C6" s="1739"/>
      <c r="D6" s="1739"/>
      <c r="E6" s="1854"/>
      <c r="F6" s="1739"/>
      <c r="G6" s="1739"/>
      <c r="H6" s="1739"/>
      <c r="I6" s="1739"/>
      <c r="J6" s="1739"/>
    </row>
    <row r="7" spans="1:12" s="344" customFormat="1" ht="10.5" customHeight="1">
      <c r="A7" s="1759"/>
      <c r="B7" s="773">
        <v>1</v>
      </c>
      <c r="C7" s="774">
        <v>2</v>
      </c>
      <c r="D7" s="774">
        <v>3</v>
      </c>
      <c r="E7" s="774">
        <v>4</v>
      </c>
      <c r="F7" s="774">
        <v>5</v>
      </c>
      <c r="G7" s="774">
        <v>6</v>
      </c>
      <c r="H7" s="774">
        <v>7</v>
      </c>
      <c r="I7" s="774">
        <v>8</v>
      </c>
      <c r="J7" s="774">
        <v>9</v>
      </c>
    </row>
    <row r="8" spans="1:12" s="361" customFormat="1" ht="12.95" customHeight="1">
      <c r="A8" s="361" t="s">
        <v>851</v>
      </c>
      <c r="B8" s="682">
        <v>28758.400000000001</v>
      </c>
      <c r="C8" s="682">
        <v>25074.9</v>
      </c>
      <c r="D8" s="79">
        <v>988</v>
      </c>
      <c r="E8" s="39">
        <f>171.2+1404.9</f>
        <v>1576.1000000000001</v>
      </c>
      <c r="F8" s="1392">
        <v>6442.1</v>
      </c>
      <c r="G8" s="39">
        <f>C8+D8+E8+F8</f>
        <v>34081.1</v>
      </c>
      <c r="H8" s="682">
        <v>-23416.799999999999</v>
      </c>
      <c r="I8" s="39">
        <f>G8+H8</f>
        <v>10664.3</v>
      </c>
      <c r="J8" s="79">
        <f t="shared" ref="J8:J13" si="0">B8+I8</f>
        <v>39422.699999999997</v>
      </c>
    </row>
    <row r="9" spans="1:12" s="361" customFormat="1" ht="12.95" customHeight="1">
      <c r="A9" s="361" t="s">
        <v>574</v>
      </c>
      <c r="B9" s="682">
        <v>32813.800000000003</v>
      </c>
      <c r="C9" s="682">
        <v>25927.7</v>
      </c>
      <c r="D9" s="39">
        <v>946.4</v>
      </c>
      <c r="E9" s="39">
        <v>1696.8</v>
      </c>
      <c r="F9" s="39">
        <v>7334.2</v>
      </c>
      <c r="G9" s="39">
        <f t="shared" ref="G9:G13" si="1">C9+D9+E9+F9</f>
        <v>35905.1</v>
      </c>
      <c r="H9" s="682">
        <v>-21156.799999999999</v>
      </c>
      <c r="I9" s="79">
        <f t="shared" ref="I9:I13" si="2">G9+H9</f>
        <v>14748.3</v>
      </c>
      <c r="J9" s="79">
        <f t="shared" si="0"/>
        <v>47562.100000000006</v>
      </c>
    </row>
    <row r="10" spans="1:12" s="361" customFormat="1" ht="12.95" customHeight="1">
      <c r="A10" s="361" t="s">
        <v>114</v>
      </c>
      <c r="B10" s="682">
        <v>43227.5</v>
      </c>
      <c r="C10" s="682">
        <v>28471.5</v>
      </c>
      <c r="D10" s="39">
        <v>853.1</v>
      </c>
      <c r="E10" s="39">
        <v>2022.1</v>
      </c>
      <c r="F10" s="39">
        <v>6846.8</v>
      </c>
      <c r="G10" s="39">
        <f t="shared" si="1"/>
        <v>38193.5</v>
      </c>
      <c r="H10" s="682">
        <v>-18671.599999999999</v>
      </c>
      <c r="I10" s="79">
        <f t="shared" si="2"/>
        <v>19521.900000000001</v>
      </c>
      <c r="J10" s="79">
        <f t="shared" si="0"/>
        <v>62749.4</v>
      </c>
      <c r="K10" s="896"/>
    </row>
    <row r="11" spans="1:12" s="361" customFormat="1" ht="12.95" customHeight="1">
      <c r="A11" s="898" t="s">
        <v>110</v>
      </c>
      <c r="B11" s="683">
        <v>61181</v>
      </c>
      <c r="C11" s="683">
        <v>21471.200000000001</v>
      </c>
      <c r="D11" s="442">
        <v>830.7</v>
      </c>
      <c r="E11" s="442">
        <v>2588.6999999999998</v>
      </c>
      <c r="F11" s="442">
        <v>6613.9</v>
      </c>
      <c r="G11" s="442">
        <f t="shared" si="1"/>
        <v>31504.5</v>
      </c>
      <c r="H11" s="683">
        <v>-18542.7</v>
      </c>
      <c r="I11" s="437">
        <f t="shared" si="2"/>
        <v>12961.8</v>
      </c>
      <c r="J11" s="437">
        <f t="shared" si="0"/>
        <v>74142.8</v>
      </c>
      <c r="K11" s="896"/>
    </row>
    <row r="12" spans="1:12" s="361" customFormat="1" ht="12.95" customHeight="1">
      <c r="A12" s="361" t="s">
        <v>253</v>
      </c>
      <c r="B12" s="682">
        <v>61342.1</v>
      </c>
      <c r="C12" s="682">
        <v>31710.5</v>
      </c>
      <c r="D12" s="39">
        <v>776.7</v>
      </c>
      <c r="E12" s="39">
        <v>3143.7</v>
      </c>
      <c r="F12" s="39">
        <v>18608.8</v>
      </c>
      <c r="G12" s="39">
        <f t="shared" si="1"/>
        <v>54239.7</v>
      </c>
      <c r="H12" s="682">
        <v>-25847.4</v>
      </c>
      <c r="I12" s="79">
        <f t="shared" si="2"/>
        <v>28392.299999999996</v>
      </c>
      <c r="J12" s="79">
        <f t="shared" si="0"/>
        <v>89734.399999999994</v>
      </c>
      <c r="K12" s="896"/>
    </row>
    <row r="13" spans="1:12" s="361" customFormat="1" ht="12.95" customHeight="1">
      <c r="A13" s="898" t="s">
        <v>1169</v>
      </c>
      <c r="B13" s="683">
        <v>68930.100000000006</v>
      </c>
      <c r="C13" s="683">
        <v>37854.9</v>
      </c>
      <c r="D13" s="442">
        <v>1181.9000000000001</v>
      </c>
      <c r="E13" s="442">
        <v>3598.7</v>
      </c>
      <c r="F13" s="442">
        <v>22627.4</v>
      </c>
      <c r="G13" s="442">
        <f t="shared" si="1"/>
        <v>65262.9</v>
      </c>
      <c r="H13" s="683">
        <v>-36390.300000000003</v>
      </c>
      <c r="I13" s="437">
        <f t="shared" si="2"/>
        <v>28872.6</v>
      </c>
      <c r="J13" s="437">
        <f t="shared" si="0"/>
        <v>97802.700000000012</v>
      </c>
      <c r="K13" s="896"/>
    </row>
    <row r="14" spans="1:12" s="361" customFormat="1" ht="12.95" customHeight="1">
      <c r="A14" s="361" t="s">
        <v>1361</v>
      </c>
      <c r="B14" s="682">
        <v>103246</v>
      </c>
      <c r="C14" s="682">
        <v>27069</v>
      </c>
      <c r="D14" s="39">
        <v>1354.5</v>
      </c>
      <c r="E14" s="39">
        <v>4180.2</v>
      </c>
      <c r="F14" s="39">
        <v>10219</v>
      </c>
      <c r="G14" s="39">
        <v>42822.7</v>
      </c>
      <c r="H14" s="682">
        <v>-33579.300000000003</v>
      </c>
      <c r="I14" s="79">
        <v>9243.3999999999942</v>
      </c>
      <c r="J14" s="79">
        <v>112489.4</v>
      </c>
      <c r="K14" s="896"/>
    </row>
    <row r="15" spans="1:12" s="897" customFormat="1" ht="12.95" customHeight="1">
      <c r="A15" s="441" t="s">
        <v>1693</v>
      </c>
      <c r="B15" s="437">
        <v>147496.6</v>
      </c>
      <c r="C15" s="683">
        <v>3840.6</v>
      </c>
      <c r="D15" s="683">
        <v>1202.7</v>
      </c>
      <c r="E15" s="683">
        <v>4272.7</v>
      </c>
      <c r="F15" s="683">
        <v>6279.2</v>
      </c>
      <c r="G15" s="683">
        <v>15595.2</v>
      </c>
      <c r="H15" s="683">
        <v>-33216.5</v>
      </c>
      <c r="I15" s="683">
        <v>-17621.3</v>
      </c>
      <c r="J15" s="683">
        <v>129875.3</v>
      </c>
    </row>
    <row r="16" spans="1:12" s="899" customFormat="1" ht="12.95" customHeight="1">
      <c r="A16" s="758" t="s">
        <v>1795</v>
      </c>
      <c r="B16" s="682">
        <v>177401.3</v>
      </c>
      <c r="C16" s="682">
        <v>810.5</v>
      </c>
      <c r="D16" s="682">
        <v>2160.8000000000002</v>
      </c>
      <c r="E16" s="682">
        <v>4645.6000000000004</v>
      </c>
      <c r="F16" s="682">
        <v>5659.2</v>
      </c>
      <c r="G16" s="682">
        <v>13276.1</v>
      </c>
      <c r="H16" s="682">
        <v>-42194.9</v>
      </c>
      <c r="I16" s="682">
        <v>-28918.800000000003</v>
      </c>
      <c r="J16" s="682">
        <v>148482.5</v>
      </c>
      <c r="L16" s="900"/>
    </row>
    <row r="17" spans="1:12" s="663" customFormat="1" ht="12.95" customHeight="1">
      <c r="A17" s="515" t="s">
        <v>1996</v>
      </c>
      <c r="B17" s="835">
        <v>218904.1</v>
      </c>
      <c r="C17" s="835">
        <v>13373.7</v>
      </c>
      <c r="D17" s="835">
        <v>2015.5</v>
      </c>
      <c r="E17" s="835">
        <v>4966.8999999999996</v>
      </c>
      <c r="F17" s="835">
        <v>6024.4</v>
      </c>
      <c r="G17" s="835">
        <v>26380.5</v>
      </c>
      <c r="H17" s="835">
        <v>-52083.3</v>
      </c>
      <c r="I17" s="835">
        <v>-25702.800000000003</v>
      </c>
      <c r="J17" s="835">
        <v>193201.3</v>
      </c>
      <c r="L17" s="662"/>
    </row>
    <row r="18" spans="1:12" s="663" customFormat="1" ht="12.95" customHeight="1">
      <c r="A18" s="747" t="s">
        <v>2092</v>
      </c>
      <c r="B18" s="832">
        <f>B30</f>
        <v>252027</v>
      </c>
      <c r="C18" s="832">
        <f t="shared" ref="C18:J18" si="3">C30</f>
        <v>12977.7</v>
      </c>
      <c r="D18" s="832">
        <f t="shared" si="3"/>
        <v>2157.8000000000002</v>
      </c>
      <c r="E18" s="832">
        <f t="shared" si="3"/>
        <v>4976.6000000000004</v>
      </c>
      <c r="F18" s="832">
        <f t="shared" si="3"/>
        <v>5054.3999999999996</v>
      </c>
      <c r="G18" s="832">
        <f t="shared" si="3"/>
        <v>25166.5</v>
      </c>
      <c r="H18" s="832">
        <f t="shared" si="3"/>
        <v>-52534.1</v>
      </c>
      <c r="I18" s="832">
        <f t="shared" si="3"/>
        <v>-27367.599999999999</v>
      </c>
      <c r="J18" s="832">
        <f t="shared" si="3"/>
        <v>224659.4</v>
      </c>
      <c r="L18" s="662"/>
    </row>
    <row r="19" spans="1:12" s="663" customFormat="1" ht="12.95" customHeight="1">
      <c r="A19" s="498" t="s">
        <v>843</v>
      </c>
      <c r="B19" s="681">
        <v>222971.6</v>
      </c>
      <c r="C19" s="681">
        <v>-254.7</v>
      </c>
      <c r="D19" s="681">
        <v>2006.8</v>
      </c>
      <c r="E19" s="681">
        <v>4923.1000000000004</v>
      </c>
      <c r="F19" s="681">
        <v>4936.7</v>
      </c>
      <c r="G19" s="681">
        <f t="shared" ref="G19:G42" si="4">C19+D19+E19+F19</f>
        <v>11611.900000000001</v>
      </c>
      <c r="H19" s="681">
        <v>-52725.3</v>
      </c>
      <c r="I19" s="432">
        <f t="shared" ref="I19:I30" si="5">G19+H19</f>
        <v>-41113.4</v>
      </c>
      <c r="J19" s="432">
        <f t="shared" ref="J19:J30" si="6">B19+I19</f>
        <v>181858.2</v>
      </c>
      <c r="L19" s="662"/>
    </row>
    <row r="20" spans="1:12" s="663" customFormat="1" ht="12.95" customHeight="1">
      <c r="A20" s="391" t="s">
        <v>844</v>
      </c>
      <c r="B20" s="687">
        <v>227994.8</v>
      </c>
      <c r="C20" s="687">
        <v>-1519.1</v>
      </c>
      <c r="D20" s="687">
        <v>2009.6</v>
      </c>
      <c r="E20" s="687">
        <v>4820.5</v>
      </c>
      <c r="F20" s="687">
        <v>5256.8</v>
      </c>
      <c r="G20" s="687">
        <f t="shared" si="4"/>
        <v>10567.8</v>
      </c>
      <c r="H20" s="687">
        <v>-55844</v>
      </c>
      <c r="I20" s="348">
        <f t="shared" si="5"/>
        <v>-45276.2</v>
      </c>
      <c r="J20" s="348">
        <f t="shared" si="6"/>
        <v>182718.59999999998</v>
      </c>
      <c r="L20" s="662"/>
    </row>
    <row r="21" spans="1:12" s="663" customFormat="1" ht="12.95" customHeight="1">
      <c r="A21" s="498" t="s">
        <v>838</v>
      </c>
      <c r="B21" s="681">
        <v>233071.6</v>
      </c>
      <c r="C21" s="681">
        <v>1004.4</v>
      </c>
      <c r="D21" s="681">
        <v>1986.2</v>
      </c>
      <c r="E21" s="681">
        <v>4830.8</v>
      </c>
      <c r="F21" s="681">
        <v>5228.3999999999996</v>
      </c>
      <c r="G21" s="681">
        <f t="shared" si="4"/>
        <v>13049.8</v>
      </c>
      <c r="H21" s="681">
        <v>-56313.3</v>
      </c>
      <c r="I21" s="432">
        <f t="shared" si="5"/>
        <v>-43263.5</v>
      </c>
      <c r="J21" s="432">
        <f t="shared" si="6"/>
        <v>189808.1</v>
      </c>
      <c r="L21" s="662"/>
    </row>
    <row r="22" spans="1:12" s="663" customFormat="1" ht="12.95" customHeight="1">
      <c r="A22" s="391" t="s">
        <v>845</v>
      </c>
      <c r="B22" s="687">
        <v>234188.5</v>
      </c>
      <c r="C22" s="687">
        <v>1350.8</v>
      </c>
      <c r="D22" s="687">
        <v>1988.9</v>
      </c>
      <c r="E22" s="687">
        <v>4860.5</v>
      </c>
      <c r="F22" s="687">
        <v>5210.7</v>
      </c>
      <c r="G22" s="687">
        <f t="shared" si="4"/>
        <v>13410.900000000001</v>
      </c>
      <c r="H22" s="687">
        <v>-60950.9</v>
      </c>
      <c r="I22" s="348">
        <f t="shared" si="5"/>
        <v>-47540</v>
      </c>
      <c r="J22" s="348">
        <f t="shared" si="6"/>
        <v>186648.5</v>
      </c>
      <c r="L22" s="662"/>
    </row>
    <row r="23" spans="1:12" s="663" customFormat="1" ht="12.95" customHeight="1">
      <c r="A23" s="498" t="s">
        <v>846</v>
      </c>
      <c r="B23" s="681">
        <v>233489.3</v>
      </c>
      <c r="C23" s="681">
        <v>3205.6</v>
      </c>
      <c r="D23" s="681">
        <v>1994</v>
      </c>
      <c r="E23" s="681">
        <v>4877.1000000000004</v>
      </c>
      <c r="F23" s="681">
        <v>4923.3999999999996</v>
      </c>
      <c r="G23" s="681">
        <f t="shared" si="4"/>
        <v>15000.1</v>
      </c>
      <c r="H23" s="681">
        <v>-61565.599999999999</v>
      </c>
      <c r="I23" s="432">
        <f t="shared" si="5"/>
        <v>-46565.5</v>
      </c>
      <c r="J23" s="432">
        <f t="shared" si="6"/>
        <v>186923.8</v>
      </c>
      <c r="L23" s="662"/>
    </row>
    <row r="24" spans="1:12" s="663" customFormat="1" ht="12.95" customHeight="1">
      <c r="A24" s="391" t="s">
        <v>839</v>
      </c>
      <c r="B24" s="687">
        <v>235538.8</v>
      </c>
      <c r="C24" s="687">
        <v>4872.5</v>
      </c>
      <c r="D24" s="687">
        <v>1926.2</v>
      </c>
      <c r="E24" s="687">
        <v>4921.2</v>
      </c>
      <c r="F24" s="687">
        <v>4885</v>
      </c>
      <c r="G24" s="687">
        <f t="shared" si="4"/>
        <v>16604.900000000001</v>
      </c>
      <c r="H24" s="687">
        <v>-60645.5</v>
      </c>
      <c r="I24" s="348">
        <f t="shared" si="5"/>
        <v>-44040.6</v>
      </c>
      <c r="J24" s="348">
        <f t="shared" si="6"/>
        <v>191498.19999999998</v>
      </c>
      <c r="L24" s="662"/>
    </row>
    <row r="25" spans="1:12" s="663" customFormat="1" ht="12.95" customHeight="1">
      <c r="A25" s="498" t="s">
        <v>847</v>
      </c>
      <c r="B25" s="681">
        <v>236674.5</v>
      </c>
      <c r="C25" s="681">
        <v>923.2</v>
      </c>
      <c r="D25" s="681">
        <v>1868.6</v>
      </c>
      <c r="E25" s="681">
        <v>4865.5</v>
      </c>
      <c r="F25" s="681">
        <v>5119.8</v>
      </c>
      <c r="G25" s="681">
        <f t="shared" si="4"/>
        <v>12777.1</v>
      </c>
      <c r="H25" s="681">
        <v>-60889.4</v>
      </c>
      <c r="I25" s="432">
        <f t="shared" si="5"/>
        <v>-48112.3</v>
      </c>
      <c r="J25" s="432">
        <f t="shared" si="6"/>
        <v>188562.2</v>
      </c>
      <c r="L25" s="662"/>
    </row>
    <row r="26" spans="1:12" s="663" customFormat="1" ht="12.95" customHeight="1">
      <c r="A26" s="391" t="s">
        <v>848</v>
      </c>
      <c r="B26" s="687">
        <v>240191.5</v>
      </c>
      <c r="C26" s="687">
        <v>-470.3</v>
      </c>
      <c r="D26" s="687">
        <v>1871.3</v>
      </c>
      <c r="E26" s="687">
        <v>4840</v>
      </c>
      <c r="F26" s="687">
        <v>5097.5</v>
      </c>
      <c r="G26" s="687">
        <f t="shared" si="4"/>
        <v>11338.5</v>
      </c>
      <c r="H26" s="687">
        <v>-60277.1</v>
      </c>
      <c r="I26" s="348">
        <f t="shared" si="5"/>
        <v>-48938.6</v>
      </c>
      <c r="J26" s="348">
        <f t="shared" si="6"/>
        <v>191252.9</v>
      </c>
      <c r="L26" s="662"/>
    </row>
    <row r="27" spans="1:12" s="663" customFormat="1" ht="12.95" customHeight="1">
      <c r="A27" s="498" t="s">
        <v>840</v>
      </c>
      <c r="B27" s="681">
        <v>242368.9</v>
      </c>
      <c r="C27" s="681">
        <v>-218.8</v>
      </c>
      <c r="D27" s="681">
        <v>1849.4</v>
      </c>
      <c r="E27" s="681">
        <v>4866.8999999999996</v>
      </c>
      <c r="F27" s="681">
        <v>5137.8</v>
      </c>
      <c r="G27" s="681">
        <f t="shared" si="4"/>
        <v>11635.3</v>
      </c>
      <c r="H27" s="681">
        <v>-61391</v>
      </c>
      <c r="I27" s="432">
        <f t="shared" si="5"/>
        <v>-49755.7</v>
      </c>
      <c r="J27" s="432">
        <f t="shared" si="6"/>
        <v>192613.2</v>
      </c>
      <c r="L27" s="662"/>
    </row>
    <row r="28" spans="1:12" s="663" customFormat="1" ht="12.95" customHeight="1">
      <c r="A28" s="391" t="s">
        <v>849</v>
      </c>
      <c r="B28" s="687">
        <v>242030</v>
      </c>
      <c r="C28" s="687">
        <v>2900.4</v>
      </c>
      <c r="D28" s="687">
        <v>1851.9</v>
      </c>
      <c r="E28" s="687">
        <v>4873.1000000000004</v>
      </c>
      <c r="F28" s="687">
        <v>5301</v>
      </c>
      <c r="G28" s="687">
        <f t="shared" si="4"/>
        <v>14926.400000000001</v>
      </c>
      <c r="H28" s="687">
        <v>-65452.1</v>
      </c>
      <c r="I28" s="348">
        <f t="shared" si="5"/>
        <v>-50525.7</v>
      </c>
      <c r="J28" s="348">
        <f t="shared" si="6"/>
        <v>191504.3</v>
      </c>
      <c r="L28" s="662"/>
    </row>
    <row r="29" spans="1:12" s="663" customFormat="1" ht="12.95" customHeight="1">
      <c r="A29" s="498" t="s">
        <v>850</v>
      </c>
      <c r="B29" s="681">
        <v>246330.1</v>
      </c>
      <c r="C29" s="681">
        <v>8419.9</v>
      </c>
      <c r="D29" s="681">
        <v>2154</v>
      </c>
      <c r="E29" s="681">
        <v>4983</v>
      </c>
      <c r="F29" s="681">
        <v>5119.5</v>
      </c>
      <c r="G29" s="681">
        <f t="shared" si="4"/>
        <v>20676.400000000001</v>
      </c>
      <c r="H29" s="681">
        <v>-71037.899999999994</v>
      </c>
      <c r="I29" s="432">
        <f t="shared" si="5"/>
        <v>-50361.499999999993</v>
      </c>
      <c r="J29" s="432">
        <f t="shared" si="6"/>
        <v>195968.6</v>
      </c>
      <c r="L29" s="662"/>
    </row>
    <row r="30" spans="1:12" s="663" customFormat="1" ht="12.95" customHeight="1">
      <c r="A30" s="391" t="s">
        <v>841</v>
      </c>
      <c r="B30" s="687">
        <v>252027</v>
      </c>
      <c r="C30" s="687">
        <v>12977.7</v>
      </c>
      <c r="D30" s="687">
        <v>2157.8000000000002</v>
      </c>
      <c r="E30" s="687">
        <v>4976.6000000000004</v>
      </c>
      <c r="F30" s="687">
        <v>5054.3999999999996</v>
      </c>
      <c r="G30" s="687">
        <f t="shared" si="4"/>
        <v>25166.5</v>
      </c>
      <c r="H30" s="687">
        <v>-52534.1</v>
      </c>
      <c r="I30" s="348">
        <f t="shared" si="5"/>
        <v>-27367.599999999999</v>
      </c>
      <c r="J30" s="348">
        <f t="shared" si="6"/>
        <v>224659.4</v>
      </c>
      <c r="L30" s="662"/>
    </row>
    <row r="31" spans="1:12" s="663" customFormat="1" ht="12.95" customHeight="1">
      <c r="A31" s="515" t="s">
        <v>2320</v>
      </c>
      <c r="B31" s="835">
        <f>B43</f>
        <v>253509.8</v>
      </c>
      <c r="C31" s="835">
        <f t="shared" ref="C31:J31" si="7">C43</f>
        <v>22572.2</v>
      </c>
      <c r="D31" s="835">
        <f t="shared" si="7"/>
        <v>2367.8000000000002</v>
      </c>
      <c r="E31" s="835">
        <f t="shared" si="7"/>
        <v>5146.2</v>
      </c>
      <c r="F31" s="835">
        <f t="shared" si="7"/>
        <v>5582.5</v>
      </c>
      <c r="G31" s="835">
        <f>G43</f>
        <v>35668.699999999997</v>
      </c>
      <c r="H31" s="835">
        <f t="shared" si="7"/>
        <v>-55435.5</v>
      </c>
      <c r="I31" s="835">
        <f t="shared" si="7"/>
        <v>-19766.800000000003</v>
      </c>
      <c r="J31" s="835">
        <f t="shared" si="7"/>
        <v>233743</v>
      </c>
      <c r="L31" s="662"/>
    </row>
    <row r="32" spans="1:12" s="663" customFormat="1" ht="12.95" customHeight="1">
      <c r="A32" s="391" t="s">
        <v>843</v>
      </c>
      <c r="B32" s="687">
        <v>251647.8</v>
      </c>
      <c r="C32" s="687">
        <v>3564.5</v>
      </c>
      <c r="D32" s="687">
        <v>2147.5</v>
      </c>
      <c r="E32" s="687">
        <v>4920.2</v>
      </c>
      <c r="F32" s="687">
        <v>4809.8</v>
      </c>
      <c r="G32" s="687">
        <f t="shared" si="4"/>
        <v>15442</v>
      </c>
      <c r="H32" s="687">
        <v>-56802</v>
      </c>
      <c r="I32" s="348">
        <f t="shared" ref="I32:I42" si="8">G32+H32</f>
        <v>-41360</v>
      </c>
      <c r="J32" s="348">
        <f t="shared" ref="J32:J42" si="9">B32+I32</f>
        <v>210287.8</v>
      </c>
      <c r="L32" s="662"/>
    </row>
    <row r="33" spans="1:12" s="663" customFormat="1" ht="12.95" customHeight="1">
      <c r="A33" s="498" t="s">
        <v>844</v>
      </c>
      <c r="B33" s="681">
        <v>251630.1</v>
      </c>
      <c r="C33" s="681">
        <v>14699.8</v>
      </c>
      <c r="D33" s="681">
        <v>2150.1999999999998</v>
      </c>
      <c r="E33" s="681">
        <v>4833.8999999999996</v>
      </c>
      <c r="F33" s="681">
        <v>4986.5</v>
      </c>
      <c r="G33" s="681">
        <f t="shared" si="4"/>
        <v>26670.400000000001</v>
      </c>
      <c r="H33" s="681">
        <v>-48104.9</v>
      </c>
      <c r="I33" s="432">
        <f t="shared" si="8"/>
        <v>-21434.5</v>
      </c>
      <c r="J33" s="432">
        <f t="shared" si="9"/>
        <v>230195.6</v>
      </c>
      <c r="L33" s="662"/>
    </row>
    <row r="34" spans="1:12" s="663" customFormat="1" ht="12.95" customHeight="1">
      <c r="A34" s="391" t="s">
        <v>838</v>
      </c>
      <c r="B34" s="687">
        <v>250809.7</v>
      </c>
      <c r="C34" s="687">
        <v>6694.8</v>
      </c>
      <c r="D34" s="687">
        <v>2152.6</v>
      </c>
      <c r="E34" s="687">
        <v>4844.2</v>
      </c>
      <c r="F34" s="687">
        <v>5276.5</v>
      </c>
      <c r="G34" s="687">
        <f t="shared" si="4"/>
        <v>18968.099999999999</v>
      </c>
      <c r="H34" s="687">
        <v>-54517.599999999999</v>
      </c>
      <c r="I34" s="348">
        <f t="shared" si="8"/>
        <v>-35549.5</v>
      </c>
      <c r="J34" s="348">
        <f t="shared" si="9"/>
        <v>215260.2</v>
      </c>
      <c r="L34" s="662"/>
    </row>
    <row r="35" spans="1:12" s="663" customFormat="1" ht="12.95" customHeight="1">
      <c r="A35" s="498" t="s">
        <v>845</v>
      </c>
      <c r="B35" s="681">
        <v>251637.5</v>
      </c>
      <c r="C35" s="681">
        <v>8497.2999999999993</v>
      </c>
      <c r="D35" s="681">
        <v>2154.9</v>
      </c>
      <c r="E35" s="681">
        <v>4848.8</v>
      </c>
      <c r="F35" s="681">
        <v>5566.5</v>
      </c>
      <c r="G35" s="681">
        <f t="shared" si="4"/>
        <v>21067.5</v>
      </c>
      <c r="H35" s="681">
        <v>-62428</v>
      </c>
      <c r="I35" s="432">
        <f t="shared" si="8"/>
        <v>-41360.5</v>
      </c>
      <c r="J35" s="432">
        <f t="shared" si="9"/>
        <v>210277</v>
      </c>
      <c r="L35" s="662"/>
    </row>
    <row r="36" spans="1:12" s="663" customFormat="1" ht="12.95" customHeight="1">
      <c r="A36" s="391" t="s">
        <v>846</v>
      </c>
      <c r="B36" s="687">
        <v>252830</v>
      </c>
      <c r="C36" s="687">
        <v>8979.1</v>
      </c>
      <c r="D36" s="687">
        <v>2157.4</v>
      </c>
      <c r="E36" s="687">
        <v>4885.6000000000004</v>
      </c>
      <c r="F36" s="687">
        <v>5450.6</v>
      </c>
      <c r="G36" s="687">
        <f t="shared" si="4"/>
        <v>21472.7</v>
      </c>
      <c r="H36" s="687">
        <v>-65283.4</v>
      </c>
      <c r="I36" s="348">
        <f t="shared" si="8"/>
        <v>-43810.7</v>
      </c>
      <c r="J36" s="348">
        <f t="shared" si="9"/>
        <v>209019.3</v>
      </c>
      <c r="L36" s="662"/>
    </row>
    <row r="37" spans="1:12" s="663" customFormat="1" ht="12.95" customHeight="1">
      <c r="A37" s="498" t="s">
        <v>839</v>
      </c>
      <c r="B37" s="681">
        <v>253497.7</v>
      </c>
      <c r="C37" s="681">
        <v>9238.6</v>
      </c>
      <c r="D37" s="681">
        <v>2160</v>
      </c>
      <c r="E37" s="681">
        <v>4986.5</v>
      </c>
      <c r="F37" s="681">
        <v>4920.3999999999996</v>
      </c>
      <c r="G37" s="681">
        <f t="shared" si="4"/>
        <v>21305.5</v>
      </c>
      <c r="H37" s="681">
        <v>-57819.4</v>
      </c>
      <c r="I37" s="432">
        <f t="shared" si="8"/>
        <v>-36513.9</v>
      </c>
      <c r="J37" s="432">
        <f t="shared" si="9"/>
        <v>216983.80000000002</v>
      </c>
      <c r="L37" s="662"/>
    </row>
    <row r="38" spans="1:12" s="663" customFormat="1" ht="12.95" customHeight="1">
      <c r="A38" s="391" t="s">
        <v>847</v>
      </c>
      <c r="B38" s="687">
        <v>253560.4</v>
      </c>
      <c r="C38" s="687">
        <v>7367.2</v>
      </c>
      <c r="D38" s="687">
        <v>2208.4</v>
      </c>
      <c r="E38" s="687">
        <v>4993.1000000000004</v>
      </c>
      <c r="F38" s="687">
        <v>5010.5</v>
      </c>
      <c r="G38" s="687">
        <f t="shared" si="4"/>
        <v>19579.2</v>
      </c>
      <c r="H38" s="687">
        <v>-62819</v>
      </c>
      <c r="I38" s="348">
        <f t="shared" si="8"/>
        <v>-43239.8</v>
      </c>
      <c r="J38" s="348">
        <f t="shared" si="9"/>
        <v>210320.59999999998</v>
      </c>
      <c r="L38" s="662"/>
    </row>
    <row r="39" spans="1:12" s="663" customFormat="1" ht="12.95" customHeight="1">
      <c r="A39" s="498" t="s">
        <v>848</v>
      </c>
      <c r="B39" s="681">
        <v>253570.9</v>
      </c>
      <c r="C39" s="681">
        <v>7078.4</v>
      </c>
      <c r="D39" s="681">
        <v>2211.1</v>
      </c>
      <c r="E39" s="681">
        <v>4920.7</v>
      </c>
      <c r="F39" s="681">
        <v>4992.3999999999996</v>
      </c>
      <c r="G39" s="681">
        <f t="shared" si="4"/>
        <v>19202.599999999999</v>
      </c>
      <c r="H39" s="681">
        <v>-62224.1</v>
      </c>
      <c r="I39" s="432">
        <f t="shared" si="8"/>
        <v>-43021.5</v>
      </c>
      <c r="J39" s="432">
        <f t="shared" si="9"/>
        <v>210549.4</v>
      </c>
      <c r="L39" s="662"/>
    </row>
    <row r="40" spans="1:12" s="663" customFormat="1" ht="12.95" customHeight="1">
      <c r="A40" s="391" t="s">
        <v>840</v>
      </c>
      <c r="B40" s="687">
        <v>252905.8</v>
      </c>
      <c r="C40" s="687">
        <v>10068.4</v>
      </c>
      <c r="D40" s="687">
        <v>2213.9</v>
      </c>
      <c r="E40" s="687">
        <v>4958.8999999999996</v>
      </c>
      <c r="F40" s="687">
        <v>5064.8999999999996</v>
      </c>
      <c r="G40" s="687">
        <f t="shared" si="4"/>
        <v>22306.1</v>
      </c>
      <c r="H40" s="687">
        <v>-62961.5</v>
      </c>
      <c r="I40" s="348">
        <f t="shared" si="8"/>
        <v>-40655.4</v>
      </c>
      <c r="J40" s="348">
        <f t="shared" si="9"/>
        <v>212250.4</v>
      </c>
      <c r="L40" s="662"/>
    </row>
    <row r="41" spans="1:12" s="663" customFormat="1" ht="12.95" customHeight="1">
      <c r="A41" s="498" t="s">
        <v>849</v>
      </c>
      <c r="B41" s="681">
        <v>251317</v>
      </c>
      <c r="C41" s="681">
        <v>10370.6</v>
      </c>
      <c r="D41" s="681">
        <v>2342</v>
      </c>
      <c r="E41" s="681">
        <v>5037.6000000000004</v>
      </c>
      <c r="F41" s="681">
        <v>5588.5</v>
      </c>
      <c r="G41" s="681">
        <f t="shared" si="4"/>
        <v>23338.7</v>
      </c>
      <c r="H41" s="681">
        <v>-62274.7</v>
      </c>
      <c r="I41" s="432">
        <f t="shared" si="8"/>
        <v>-38936</v>
      </c>
      <c r="J41" s="432">
        <f t="shared" si="9"/>
        <v>212381</v>
      </c>
      <c r="L41" s="662"/>
    </row>
    <row r="42" spans="1:12" s="663" customFormat="1" ht="12.95" customHeight="1">
      <c r="A42" s="391" t="s">
        <v>850</v>
      </c>
      <c r="B42" s="687">
        <v>252375.2</v>
      </c>
      <c r="C42" s="687">
        <v>10663.6</v>
      </c>
      <c r="D42" s="687">
        <v>2385.4</v>
      </c>
      <c r="E42" s="687">
        <v>5071.1000000000004</v>
      </c>
      <c r="F42" s="687">
        <v>5458.2</v>
      </c>
      <c r="G42" s="687">
        <f t="shared" si="4"/>
        <v>23578.3</v>
      </c>
      <c r="H42" s="687">
        <v>-64911.9</v>
      </c>
      <c r="I42" s="348">
        <f t="shared" si="8"/>
        <v>-41333.600000000006</v>
      </c>
      <c r="J42" s="348">
        <f t="shared" si="9"/>
        <v>211041.6</v>
      </c>
      <c r="L42" s="662"/>
    </row>
    <row r="43" spans="1:12" s="663" customFormat="1" ht="12.95" customHeight="1">
      <c r="A43" s="498" t="s">
        <v>841</v>
      </c>
      <c r="B43" s="681">
        <v>253509.8</v>
      </c>
      <c r="C43" s="681">
        <v>22572.2</v>
      </c>
      <c r="D43" s="681">
        <v>2367.8000000000002</v>
      </c>
      <c r="E43" s="681">
        <v>5146.2</v>
      </c>
      <c r="F43" s="681">
        <v>5582.5</v>
      </c>
      <c r="G43" s="681">
        <f>C43+D43+E43+F43</f>
        <v>35668.699999999997</v>
      </c>
      <c r="H43" s="681">
        <v>-55435.5</v>
      </c>
      <c r="I43" s="681">
        <f>G43+H43</f>
        <v>-19766.800000000003</v>
      </c>
      <c r="J43" s="681">
        <f t="shared" ref="J43:J48" si="10">B43+I43</f>
        <v>233743</v>
      </c>
      <c r="L43" s="662"/>
    </row>
    <row r="44" spans="1:12" s="338" customFormat="1" ht="12.95" customHeight="1">
      <c r="A44" s="558" t="s">
        <v>2585</v>
      </c>
      <c r="B44" s="687"/>
      <c r="C44" s="687"/>
      <c r="D44" s="687"/>
      <c r="E44" s="687"/>
      <c r="F44" s="687"/>
      <c r="G44" s="687"/>
      <c r="H44" s="687"/>
      <c r="I44" s="687"/>
      <c r="J44" s="687"/>
      <c r="K44" s="1052"/>
    </row>
    <row r="45" spans="1:12" s="338" customFormat="1" ht="12.95" customHeight="1">
      <c r="A45" s="498" t="s">
        <v>843</v>
      </c>
      <c r="B45" s="681">
        <v>251973.1</v>
      </c>
      <c r="C45" s="681">
        <v>12131.7</v>
      </c>
      <c r="D45" s="681">
        <v>2356.5</v>
      </c>
      <c r="E45" s="681">
        <v>5096.8999999999996</v>
      </c>
      <c r="F45" s="681">
        <v>4998.2</v>
      </c>
      <c r="G45" s="681">
        <f t="shared" ref="G45:G48" si="11">C45+D45+E45+F45</f>
        <v>24583.3</v>
      </c>
      <c r="H45" s="681">
        <v>-55288.5</v>
      </c>
      <c r="I45" s="681">
        <f t="shared" ref="I45:I48" si="12">G45+H45</f>
        <v>-30705.200000000001</v>
      </c>
      <c r="J45" s="681">
        <f t="shared" si="10"/>
        <v>221267.9</v>
      </c>
    </row>
    <row r="46" spans="1:12" ht="12.95" customHeight="1">
      <c r="A46" s="391" t="s">
        <v>844</v>
      </c>
      <c r="B46" s="687">
        <v>254675.20000000001</v>
      </c>
      <c r="C46" s="687">
        <v>17116.900000000001</v>
      </c>
      <c r="D46" s="687">
        <v>2359.9</v>
      </c>
      <c r="E46" s="687">
        <v>5051.1000000000004</v>
      </c>
      <c r="F46" s="687">
        <v>4959.7</v>
      </c>
      <c r="G46" s="687">
        <f t="shared" si="11"/>
        <v>29487.600000000002</v>
      </c>
      <c r="H46" s="687">
        <v>-49792</v>
      </c>
      <c r="I46" s="687">
        <f t="shared" si="12"/>
        <v>-20304.399999999998</v>
      </c>
      <c r="J46" s="687">
        <f t="shared" si="10"/>
        <v>234370.80000000002</v>
      </c>
    </row>
    <row r="47" spans="1:12">
      <c r="A47" s="498" t="s">
        <v>838</v>
      </c>
      <c r="B47" s="681">
        <v>251729.4</v>
      </c>
      <c r="C47" s="681">
        <v>10446.5</v>
      </c>
      <c r="D47" s="681">
        <v>2363.1999999999998</v>
      </c>
      <c r="E47" s="681">
        <v>5003.2</v>
      </c>
      <c r="F47" s="681">
        <v>5009.8999999999996</v>
      </c>
      <c r="G47" s="681">
        <f t="shared" si="11"/>
        <v>22822.800000000003</v>
      </c>
      <c r="H47" s="681">
        <v>-46065</v>
      </c>
      <c r="I47" s="681">
        <f t="shared" si="12"/>
        <v>-23242.199999999997</v>
      </c>
      <c r="J47" s="681">
        <f t="shared" si="10"/>
        <v>228487.2</v>
      </c>
    </row>
    <row r="48" spans="1:12" ht="12" thickBot="1">
      <c r="A48" s="756" t="s">
        <v>845</v>
      </c>
      <c r="B48" s="1422">
        <v>248150.39999999999</v>
      </c>
      <c r="C48" s="1422">
        <v>14507.2</v>
      </c>
      <c r="D48" s="1422">
        <v>2366.6999999999998</v>
      </c>
      <c r="E48" s="1422">
        <v>4969</v>
      </c>
      <c r="F48" s="1422">
        <v>4984.8</v>
      </c>
      <c r="G48" s="1422">
        <f t="shared" si="11"/>
        <v>26827.7</v>
      </c>
      <c r="H48" s="1422">
        <v>-46859.9</v>
      </c>
      <c r="I48" s="1422">
        <f t="shared" si="12"/>
        <v>-20032.2</v>
      </c>
      <c r="J48" s="1422">
        <f t="shared" si="10"/>
        <v>228118.19999999998</v>
      </c>
    </row>
    <row r="49" spans="1:10">
      <c r="A49" s="776" t="s">
        <v>2384</v>
      </c>
      <c r="B49" s="1859" t="s">
        <v>2172</v>
      </c>
      <c r="C49" s="1859"/>
      <c r="D49" s="1859"/>
      <c r="E49" s="1859"/>
      <c r="F49" s="1859"/>
      <c r="G49" s="1859"/>
      <c r="H49" s="1859"/>
      <c r="I49" s="1859"/>
      <c r="J49" s="1859"/>
    </row>
    <row r="50" spans="1:10">
      <c r="A50" s="338"/>
      <c r="B50" s="338"/>
      <c r="C50" s="338"/>
      <c r="D50" s="338"/>
      <c r="E50" s="338"/>
      <c r="F50" s="338"/>
      <c r="G50" s="338"/>
      <c r="H50" s="338"/>
      <c r="I50" s="338"/>
      <c r="J50" s="338"/>
    </row>
    <row r="51" spans="1:10">
      <c r="B51" s="338"/>
    </row>
    <row r="54" spans="1:10">
      <c r="B54" s="270"/>
      <c r="C54" s="270"/>
      <c r="D54" s="270"/>
      <c r="E54" s="270"/>
      <c r="F54" s="270"/>
      <c r="G54" s="270"/>
      <c r="H54" s="270"/>
      <c r="I54" s="270"/>
      <c r="J54" s="270"/>
    </row>
    <row r="64" spans="1:10">
      <c r="B64" s="270"/>
      <c r="C64" s="270"/>
      <c r="D64" s="270"/>
      <c r="E64" s="270"/>
      <c r="F64" s="270"/>
      <c r="G64" s="270"/>
      <c r="H64" s="270"/>
      <c r="I64" s="270"/>
      <c r="J64" s="270"/>
    </row>
    <row r="65" spans="2:10">
      <c r="B65" s="270"/>
      <c r="C65" s="270"/>
      <c r="D65" s="270"/>
      <c r="E65" s="270"/>
      <c r="F65" s="270"/>
      <c r="G65" s="270"/>
      <c r="H65" s="270"/>
      <c r="I65" s="270"/>
      <c r="J65" s="270"/>
    </row>
    <row r="66" spans="2:10">
      <c r="B66" s="270"/>
      <c r="C66" s="270"/>
      <c r="D66" s="270"/>
      <c r="E66" s="270"/>
      <c r="F66" s="270"/>
      <c r="G66" s="270"/>
      <c r="H66" s="270"/>
      <c r="I66" s="270"/>
      <c r="J66" s="270"/>
    </row>
    <row r="67" spans="2:10">
      <c r="B67" s="270"/>
      <c r="C67" s="270"/>
      <c r="D67" s="270"/>
      <c r="E67" s="270"/>
      <c r="F67" s="270"/>
      <c r="G67" s="270"/>
      <c r="H67" s="270"/>
      <c r="I67" s="270"/>
      <c r="J67" s="270"/>
    </row>
    <row r="68" spans="2:10">
      <c r="B68" s="270"/>
      <c r="C68" s="270"/>
      <c r="D68" s="270"/>
      <c r="E68" s="270"/>
      <c r="F68" s="270"/>
      <c r="G68" s="270"/>
      <c r="H68" s="270"/>
      <c r="I68" s="270"/>
      <c r="J68" s="270"/>
    </row>
    <row r="69" spans="2:10">
      <c r="B69" s="270"/>
      <c r="C69" s="270"/>
      <c r="D69" s="270"/>
      <c r="E69" s="270"/>
      <c r="F69" s="270"/>
      <c r="G69" s="270"/>
      <c r="H69" s="270"/>
      <c r="I69" s="270"/>
      <c r="J69" s="270"/>
    </row>
    <row r="70" spans="2:10">
      <c r="B70" s="270"/>
      <c r="C70" s="270"/>
      <c r="D70" s="270"/>
      <c r="E70" s="270"/>
      <c r="F70" s="270"/>
      <c r="G70" s="270"/>
      <c r="H70" s="270"/>
      <c r="I70" s="270"/>
      <c r="J70" s="270"/>
    </row>
    <row r="71" spans="2:10">
      <c r="B71" s="270"/>
      <c r="C71" s="270"/>
      <c r="D71" s="270"/>
      <c r="E71" s="270"/>
      <c r="F71" s="270"/>
      <c r="G71" s="270"/>
      <c r="H71" s="270"/>
      <c r="I71" s="270"/>
      <c r="J71" s="270"/>
    </row>
    <row r="72" spans="2:10">
      <c r="B72" s="270"/>
      <c r="C72" s="270"/>
      <c r="D72" s="270"/>
      <c r="E72" s="270"/>
      <c r="F72" s="270"/>
      <c r="G72" s="270"/>
      <c r="H72" s="270"/>
      <c r="I72" s="270"/>
      <c r="J72" s="270"/>
    </row>
    <row r="73" spans="2:10">
      <c r="B73" s="270"/>
      <c r="C73" s="270"/>
      <c r="D73" s="270"/>
      <c r="E73" s="270"/>
      <c r="F73" s="270"/>
      <c r="G73" s="270"/>
      <c r="H73" s="270"/>
      <c r="I73" s="270"/>
      <c r="J73" s="270"/>
    </row>
    <row r="74" spans="2:10">
      <c r="B74" s="270"/>
      <c r="C74" s="270"/>
      <c r="D74" s="270"/>
      <c r="E74" s="270"/>
      <c r="F74" s="270"/>
      <c r="G74" s="270"/>
      <c r="H74" s="270"/>
      <c r="I74" s="270"/>
      <c r="J74" s="270"/>
    </row>
  </sheetData>
  <mergeCells count="15">
    <mergeCell ref="B49:J49"/>
    <mergeCell ref="C4:C6"/>
    <mergeCell ref="A3:A7"/>
    <mergeCell ref="A1:H1"/>
    <mergeCell ref="F4:F6"/>
    <mergeCell ref="G4:G6"/>
    <mergeCell ref="B3:B6"/>
    <mergeCell ref="C3:G3"/>
    <mergeCell ref="H3:H6"/>
    <mergeCell ref="I1:J1"/>
    <mergeCell ref="I2:J2"/>
    <mergeCell ref="D4:D6"/>
    <mergeCell ref="E4:E6"/>
    <mergeCell ref="J3:J6"/>
    <mergeCell ref="I3:I6"/>
  </mergeCells>
  <phoneticPr fontId="57" type="noConversion"/>
  <conditionalFormatting sqref="A31 G19:G30 G32:G42 B8:J15 A8:A18">
    <cfRule type="expression" dxfId="6" priority="41" stopIfTrue="1">
      <formula>MOD(ROW(),2)=1</formula>
    </cfRule>
    <cfRule type="expression" priority="42" stopIfTrue="1">
      <formula>MOD(ROW(),2)=1</formula>
    </cfRule>
  </conditionalFormatting>
  <conditionalFormatting sqref="A31 A17:A18">
    <cfRule type="expression" priority="38" stopIfTrue="1">
      <formula>MOD(row,0)=0</formula>
    </cfRule>
  </conditionalFormatting>
  <conditionalFormatting sqref="A31 A17:A18">
    <cfRule type="expression" priority="33" stopIfTrue="1">
      <formula>MOD((((#REF!))),0)=0</formula>
    </cfRule>
  </conditionalFormatting>
  <conditionalFormatting sqref="A31 A18">
    <cfRule type="expression" dxfId="5" priority="27" stopIfTrue="1">
      <formula>MOD(ROW(),2)=1</formula>
    </cfRule>
  </conditionalFormatting>
  <conditionalFormatting sqref="A31 A18">
    <cfRule type="expression" priority="24" stopIfTrue="1">
      <formula>MOD((((#REF!))),0)=0</formula>
    </cfRule>
  </conditionalFormatting>
  <pageMargins left="0.59055118110236204" right="0.511811023622047" top="0.511811023622047" bottom="0.511811023622047" header="0" footer="0.35433070866141703"/>
  <pageSetup paperSize="141" firstPageNumber="17" orientation="portrait" useFirstPageNumber="1" r:id="rId1"/>
  <headerFooter>
    <oddFooter>&amp;C&amp;"Times New Roman,Regular"&amp;8&amp;P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X76"/>
  <sheetViews>
    <sheetView zoomScale="160" zoomScaleNormal="160" workbookViewId="0">
      <pane xSplit="1" ySplit="7" topLeftCell="B44" activePane="bottomRight" state="frozen"/>
      <selection pane="topRight" activeCell="C1" sqref="C1"/>
      <selection pane="bottomLeft" activeCell="A8" sqref="A8"/>
      <selection pane="bottomRight" activeCell="L50" sqref="L50"/>
    </sheetView>
  </sheetViews>
  <sheetFormatPr defaultColWidth="9.140625" defaultRowHeight="11.25"/>
  <cols>
    <col min="1" max="1" width="8.42578125" style="781" customWidth="1"/>
    <col min="2" max="2" width="6.7109375" style="254" customWidth="1"/>
    <col min="3" max="3" width="5.85546875" style="254" customWidth="1"/>
    <col min="4" max="4" width="6.85546875" style="254" customWidth="1"/>
    <col min="5" max="5" width="7.28515625" style="254" customWidth="1"/>
    <col min="6" max="6" width="6.85546875" style="254" customWidth="1"/>
    <col min="7" max="7" width="5.7109375" style="254" customWidth="1"/>
    <col min="8" max="8" width="7.42578125" style="254" bestFit="1" customWidth="1"/>
    <col min="9" max="9" width="7.42578125" style="264" customWidth="1"/>
    <col min="10" max="10" width="6.5703125" style="254" customWidth="1"/>
    <col min="11" max="11" width="5.42578125" style="254" customWidth="1"/>
    <col min="12" max="12" width="6.28515625" style="254" customWidth="1"/>
    <col min="13" max="13" width="8.42578125" style="254" customWidth="1"/>
    <col min="14" max="14" width="8.28515625" style="254" customWidth="1"/>
    <col min="15" max="15" width="8.85546875" style="254" customWidth="1"/>
    <col min="16" max="16" width="9.5703125" style="254" customWidth="1"/>
    <col min="17" max="17" width="9.85546875" style="254" customWidth="1"/>
    <col min="18" max="18" width="10.28515625" style="254" customWidth="1"/>
    <col min="19" max="19" width="9.85546875" style="254" customWidth="1"/>
    <col min="20" max="20" width="9.140625" style="781" customWidth="1"/>
    <col min="21" max="16384" width="9.140625" style="254"/>
  </cols>
  <sheetData>
    <row r="1" spans="1:24" s="777" customFormat="1" ht="16.5" customHeight="1">
      <c r="B1" s="778"/>
      <c r="C1" s="778"/>
      <c r="D1" s="778"/>
      <c r="E1" s="778"/>
      <c r="F1" s="778"/>
      <c r="G1" s="778"/>
      <c r="H1" s="778"/>
      <c r="I1" s="779"/>
      <c r="J1" s="1866" t="s">
        <v>701</v>
      </c>
      <c r="K1" s="1866"/>
      <c r="L1" s="1866"/>
      <c r="M1" s="1867" t="s">
        <v>2360</v>
      </c>
      <c r="N1" s="1867"/>
      <c r="O1" s="780"/>
      <c r="P1" s="780"/>
      <c r="Q1" s="780"/>
      <c r="R1" s="780"/>
      <c r="S1" s="1864" t="s">
        <v>201</v>
      </c>
      <c r="T1" s="1864"/>
    </row>
    <row r="2" spans="1:24" ht="12" customHeight="1">
      <c r="B2" s="782"/>
      <c r="C2" s="782"/>
      <c r="D2" s="782"/>
      <c r="E2" s="782"/>
      <c r="F2" s="782"/>
      <c r="G2" s="782"/>
      <c r="L2" s="782"/>
      <c r="M2" s="782"/>
      <c r="N2" s="783"/>
      <c r="O2" s="782"/>
      <c r="P2" s="782"/>
      <c r="Q2" s="782"/>
      <c r="R2" s="782"/>
      <c r="S2" s="1869" t="s">
        <v>41</v>
      </c>
      <c r="T2" s="1869"/>
    </row>
    <row r="3" spans="1:24" s="786" customFormat="1" ht="12.75" customHeight="1">
      <c r="A3" s="1877" t="s">
        <v>1502</v>
      </c>
      <c r="B3" s="1865" t="s">
        <v>765</v>
      </c>
      <c r="C3" s="1865"/>
      <c r="D3" s="1865"/>
      <c r="E3" s="1865"/>
      <c r="F3" s="1883" t="s">
        <v>854</v>
      </c>
      <c r="G3" s="1871"/>
      <c r="H3" s="1871"/>
      <c r="I3" s="1871"/>
      <c r="J3" s="1871"/>
      <c r="K3" s="1871"/>
      <c r="L3" s="1871"/>
      <c r="M3" s="1871" t="s">
        <v>853</v>
      </c>
      <c r="N3" s="1871"/>
      <c r="O3" s="1871"/>
      <c r="P3" s="784"/>
      <c r="Q3" s="1870" t="s">
        <v>1504</v>
      </c>
      <c r="R3" s="1870" t="s">
        <v>1505</v>
      </c>
      <c r="S3" s="1868" t="s">
        <v>2361</v>
      </c>
      <c r="T3" s="1873" t="s">
        <v>758</v>
      </c>
    </row>
    <row r="4" spans="1:24" s="787" customFormat="1" ht="15" customHeight="1">
      <c r="A4" s="1878"/>
      <c r="B4" s="1870" t="s">
        <v>1248</v>
      </c>
      <c r="C4" s="1876" t="s">
        <v>215</v>
      </c>
      <c r="D4" s="1873" t="s">
        <v>620</v>
      </c>
      <c r="E4" s="1870" t="s">
        <v>1249</v>
      </c>
      <c r="F4" s="1880" t="s">
        <v>667</v>
      </c>
      <c r="G4" s="1881"/>
      <c r="H4" s="1881"/>
      <c r="I4" s="1881"/>
      <c r="J4" s="1881"/>
      <c r="K4" s="1881"/>
      <c r="L4" s="1882"/>
      <c r="M4" s="1865" t="s">
        <v>882</v>
      </c>
      <c r="N4" s="1865"/>
      <c r="O4" s="1865"/>
      <c r="P4" s="1870" t="s">
        <v>1503</v>
      </c>
      <c r="Q4" s="1870"/>
      <c r="R4" s="1870"/>
      <c r="S4" s="1868"/>
      <c r="T4" s="1875"/>
    </row>
    <row r="5" spans="1:24" s="787" customFormat="1" ht="15" customHeight="1">
      <c r="A5" s="1878"/>
      <c r="B5" s="1870"/>
      <c r="C5" s="1876"/>
      <c r="D5" s="1875"/>
      <c r="E5" s="1870"/>
      <c r="F5" s="1865" t="s">
        <v>2343</v>
      </c>
      <c r="G5" s="1865"/>
      <c r="H5" s="1865"/>
      <c r="I5" s="1865"/>
      <c r="J5" s="1865" t="s">
        <v>768</v>
      </c>
      <c r="K5" s="1865"/>
      <c r="L5" s="1865"/>
      <c r="M5" s="1873" t="s">
        <v>1252</v>
      </c>
      <c r="N5" s="1873" t="s">
        <v>215</v>
      </c>
      <c r="O5" s="1873" t="s">
        <v>1253</v>
      </c>
      <c r="P5" s="1870"/>
      <c r="Q5" s="1870"/>
      <c r="R5" s="1870"/>
      <c r="S5" s="1868"/>
      <c r="T5" s="1875"/>
    </row>
    <row r="6" spans="1:24" s="787" customFormat="1" ht="34.5" customHeight="1">
      <c r="A6" s="1878"/>
      <c r="B6" s="1870"/>
      <c r="C6" s="1876"/>
      <c r="D6" s="1874"/>
      <c r="E6" s="1870"/>
      <c r="F6" s="785" t="s">
        <v>164</v>
      </c>
      <c r="G6" s="788" t="s">
        <v>215</v>
      </c>
      <c r="H6" s="1107" t="s">
        <v>2192</v>
      </c>
      <c r="I6" s="785" t="s">
        <v>1250</v>
      </c>
      <c r="J6" s="785" t="s">
        <v>164</v>
      </c>
      <c r="K6" s="789" t="s">
        <v>215</v>
      </c>
      <c r="L6" s="785" t="s">
        <v>1251</v>
      </c>
      <c r="M6" s="1874"/>
      <c r="N6" s="1874"/>
      <c r="O6" s="1874"/>
      <c r="P6" s="1870"/>
      <c r="Q6" s="1870"/>
      <c r="R6" s="1870"/>
      <c r="S6" s="1868"/>
      <c r="T6" s="1875"/>
    </row>
    <row r="7" spans="1:24" s="791" customFormat="1" ht="10.5">
      <c r="A7" s="1879"/>
      <c r="B7" s="386">
        <v>1</v>
      </c>
      <c r="C7" s="386">
        <v>2</v>
      </c>
      <c r="D7" s="386">
        <v>3</v>
      </c>
      <c r="E7" s="386">
        <v>4</v>
      </c>
      <c r="F7" s="386">
        <v>5</v>
      </c>
      <c r="G7" s="386">
        <v>6</v>
      </c>
      <c r="H7" s="386">
        <v>7</v>
      </c>
      <c r="I7" s="386">
        <v>8</v>
      </c>
      <c r="J7" s="386">
        <v>9</v>
      </c>
      <c r="K7" s="386">
        <v>10</v>
      </c>
      <c r="L7" s="386">
        <v>11</v>
      </c>
      <c r="M7" s="386">
        <v>12</v>
      </c>
      <c r="N7" s="386">
        <v>13</v>
      </c>
      <c r="O7" s="386">
        <v>14</v>
      </c>
      <c r="P7" s="386">
        <v>15</v>
      </c>
      <c r="Q7" s="386">
        <v>16</v>
      </c>
      <c r="R7" s="386">
        <v>17</v>
      </c>
      <c r="S7" s="790">
        <v>18</v>
      </c>
      <c r="T7" s="1874"/>
    </row>
    <row r="8" spans="1:24" ht="11.85" customHeight="1">
      <c r="A8" s="362" t="s">
        <v>851</v>
      </c>
      <c r="B8" s="604">
        <v>32381.200000000001</v>
      </c>
      <c r="C8" s="604">
        <v>-306.5</v>
      </c>
      <c r="D8" s="604">
        <v>-3467.2</v>
      </c>
      <c r="E8" s="604">
        <v>28607.5</v>
      </c>
      <c r="F8" s="792">
        <v>35910.1</v>
      </c>
      <c r="G8" s="604">
        <v>29.2</v>
      </c>
      <c r="H8" s="604">
        <v>43639.199999999997</v>
      </c>
      <c r="I8" s="604">
        <f t="shared" ref="I8:I13" si="0">F8+G8+H8</f>
        <v>79578.5</v>
      </c>
      <c r="J8" s="792">
        <v>15759.5</v>
      </c>
      <c r="K8" s="604">
        <v>41.4</v>
      </c>
      <c r="L8" s="604">
        <f t="shared" ref="L8:L13" si="1">J8+K8</f>
        <v>15800.9</v>
      </c>
      <c r="M8" s="604">
        <v>147755.1</v>
      </c>
      <c r="N8" s="604">
        <v>12529</v>
      </c>
      <c r="O8" s="604">
        <v>160284.1</v>
      </c>
      <c r="P8" s="604">
        <f t="shared" ref="P8:P13" si="2">I8+L8+O8</f>
        <v>255663.5</v>
      </c>
      <c r="Q8" s="767">
        <v>-28025</v>
      </c>
      <c r="R8" s="604">
        <f t="shared" ref="R8:R13" si="3">P8+Q8</f>
        <v>227638.5</v>
      </c>
      <c r="S8" s="604">
        <f t="shared" ref="S8:S13" si="4">E8+R8</f>
        <v>256246</v>
      </c>
      <c r="T8" s="364" t="s">
        <v>851</v>
      </c>
      <c r="U8" s="270"/>
      <c r="V8" s="270"/>
      <c r="W8" s="270"/>
      <c r="X8" s="270"/>
    </row>
    <row r="9" spans="1:24" ht="11.85" customHeight="1">
      <c r="A9" s="459" t="s">
        <v>574</v>
      </c>
      <c r="B9" s="1139">
        <v>37295.9</v>
      </c>
      <c r="C9" s="1139">
        <v>-268</v>
      </c>
      <c r="D9" s="1139">
        <v>-4108</v>
      </c>
      <c r="E9" s="1139">
        <v>32919.9</v>
      </c>
      <c r="F9" s="1140">
        <v>46720.800000000003</v>
      </c>
      <c r="G9" s="1139">
        <v>66</v>
      </c>
      <c r="H9" s="1139">
        <v>46157.5</v>
      </c>
      <c r="I9" s="1139">
        <f t="shared" si="0"/>
        <v>92944.3</v>
      </c>
      <c r="J9" s="1140">
        <v>10113.5</v>
      </c>
      <c r="K9" s="1139">
        <v>27.3</v>
      </c>
      <c r="L9" s="1139">
        <f t="shared" si="1"/>
        <v>10140.799999999999</v>
      </c>
      <c r="M9" s="1139">
        <v>184305.4</v>
      </c>
      <c r="N9" s="1139">
        <v>14936.2</v>
      </c>
      <c r="O9" s="1139">
        <v>199241.60000000001</v>
      </c>
      <c r="P9" s="1139">
        <f t="shared" si="2"/>
        <v>302326.7</v>
      </c>
      <c r="Q9" s="1138">
        <v>-38741.400000000023</v>
      </c>
      <c r="R9" s="1139">
        <f t="shared" si="3"/>
        <v>263585.3</v>
      </c>
      <c r="S9" s="1139">
        <f t="shared" si="4"/>
        <v>296505.2</v>
      </c>
      <c r="T9" s="460" t="s">
        <v>574</v>
      </c>
      <c r="U9" s="270"/>
      <c r="V9" s="270"/>
      <c r="W9" s="270"/>
      <c r="X9" s="270"/>
    </row>
    <row r="10" spans="1:24" ht="11.85" customHeight="1">
      <c r="A10" s="362" t="s">
        <v>114</v>
      </c>
      <c r="B10" s="604">
        <v>47442</v>
      </c>
      <c r="C10" s="604">
        <v>-242.5</v>
      </c>
      <c r="D10" s="604">
        <v>-4794.1000000000004</v>
      </c>
      <c r="E10" s="604">
        <v>42405.4</v>
      </c>
      <c r="F10" s="792">
        <v>57982.1</v>
      </c>
      <c r="G10" s="604">
        <v>56.3</v>
      </c>
      <c r="H10" s="604">
        <v>49790.8</v>
      </c>
      <c r="I10" s="604">
        <f t="shared" si="0"/>
        <v>107829.20000000001</v>
      </c>
      <c r="J10" s="792">
        <v>10883.7</v>
      </c>
      <c r="K10" s="604">
        <v>71.7</v>
      </c>
      <c r="L10" s="604">
        <f t="shared" si="1"/>
        <v>10955.400000000001</v>
      </c>
      <c r="M10" s="604">
        <v>210497.4</v>
      </c>
      <c r="N10" s="604">
        <v>18617.3</v>
      </c>
      <c r="O10" s="604">
        <v>229114.69999999998</v>
      </c>
      <c r="P10" s="604">
        <f t="shared" si="2"/>
        <v>347899.3</v>
      </c>
      <c r="Q10" s="767">
        <v>-41248.899999999958</v>
      </c>
      <c r="R10" s="604">
        <f t="shared" si="3"/>
        <v>306650.40000000002</v>
      </c>
      <c r="S10" s="604">
        <f t="shared" si="4"/>
        <v>349055.80000000005</v>
      </c>
      <c r="T10" s="364" t="s">
        <v>114</v>
      </c>
      <c r="U10" s="270"/>
      <c r="V10" s="270"/>
      <c r="W10" s="270"/>
      <c r="X10" s="270"/>
    </row>
    <row r="11" spans="1:24" ht="11.85" customHeight="1">
      <c r="A11" s="459" t="s">
        <v>110</v>
      </c>
      <c r="B11" s="1139">
        <v>67049.8</v>
      </c>
      <c r="C11" s="1139">
        <v>-221.7</v>
      </c>
      <c r="D11" s="1139">
        <v>-5768.2</v>
      </c>
      <c r="E11" s="1139">
        <v>61059.900000000009</v>
      </c>
      <c r="F11" s="1140">
        <v>54225</v>
      </c>
      <c r="G11" s="1139">
        <v>175.5</v>
      </c>
      <c r="H11" s="1139">
        <v>61381.4</v>
      </c>
      <c r="I11" s="1139">
        <f t="shared" si="0"/>
        <v>115781.9</v>
      </c>
      <c r="J11" s="1140">
        <v>12762.9</v>
      </c>
      <c r="K11" s="1139">
        <v>93.8</v>
      </c>
      <c r="L11" s="1139">
        <f t="shared" si="1"/>
        <v>12856.699999999999</v>
      </c>
      <c r="M11" s="1139">
        <v>261852</v>
      </c>
      <c r="N11" s="1139">
        <v>23541.3</v>
      </c>
      <c r="O11" s="1139">
        <v>285393.3</v>
      </c>
      <c r="P11" s="1139">
        <f t="shared" si="2"/>
        <v>414031.89999999997</v>
      </c>
      <c r="Q11" s="1138">
        <v>-45754.599999999977</v>
      </c>
      <c r="R11" s="1139">
        <f t="shared" si="3"/>
        <v>368277.3</v>
      </c>
      <c r="S11" s="1139">
        <f t="shared" si="4"/>
        <v>429337.2</v>
      </c>
      <c r="T11" s="460" t="s">
        <v>110</v>
      </c>
      <c r="U11" s="270"/>
      <c r="V11" s="270"/>
      <c r="W11" s="270"/>
      <c r="X11" s="270"/>
    </row>
    <row r="12" spans="1:24" ht="11.85" customHeight="1">
      <c r="A12" s="362" t="s">
        <v>253</v>
      </c>
      <c r="B12" s="604">
        <v>70573.399999999994</v>
      </c>
      <c r="C12" s="604">
        <v>-404.7</v>
      </c>
      <c r="D12" s="604">
        <v>-6049.4</v>
      </c>
      <c r="E12" s="604">
        <v>64119.299999999996</v>
      </c>
      <c r="F12" s="792">
        <v>73200.600000000006</v>
      </c>
      <c r="G12" s="604">
        <v>372.6</v>
      </c>
      <c r="H12" s="604">
        <v>63438.3</v>
      </c>
      <c r="I12" s="604">
        <f t="shared" si="0"/>
        <v>137011.5</v>
      </c>
      <c r="J12" s="792">
        <v>16901.400000000001</v>
      </c>
      <c r="K12" s="604">
        <v>108</v>
      </c>
      <c r="L12" s="604">
        <f t="shared" si="1"/>
        <v>17009.400000000001</v>
      </c>
      <c r="M12" s="604">
        <v>332161.3</v>
      </c>
      <c r="N12" s="604">
        <v>27348.5</v>
      </c>
      <c r="O12" s="604">
        <v>359509.8</v>
      </c>
      <c r="P12" s="604">
        <f t="shared" si="2"/>
        <v>513530.69999999995</v>
      </c>
      <c r="Q12" s="767">
        <v>-67193.599999999977</v>
      </c>
      <c r="R12" s="604">
        <f t="shared" si="3"/>
        <v>446337.1</v>
      </c>
      <c r="S12" s="604">
        <f t="shared" si="4"/>
        <v>510456.39999999997</v>
      </c>
      <c r="T12" s="364" t="s">
        <v>253</v>
      </c>
      <c r="U12" s="270"/>
      <c r="V12" s="270"/>
      <c r="W12" s="270"/>
      <c r="X12" s="270"/>
    </row>
    <row r="13" spans="1:24" ht="11.85" customHeight="1">
      <c r="A13" s="459" t="s">
        <v>1169</v>
      </c>
      <c r="B13" s="1139">
        <v>78818.7</v>
      </c>
      <c r="C13" s="1139">
        <v>-378.5</v>
      </c>
      <c r="D13" s="1139">
        <v>-6273.8</v>
      </c>
      <c r="E13" s="1139">
        <v>72166.399999999994</v>
      </c>
      <c r="F13" s="1141">
        <v>91700.5</v>
      </c>
      <c r="G13" s="1139">
        <v>261.89999999999998</v>
      </c>
      <c r="H13" s="1139">
        <v>63861.3</v>
      </c>
      <c r="I13" s="1139">
        <f t="shared" si="0"/>
        <v>155823.70000000001</v>
      </c>
      <c r="J13" s="1141">
        <v>15284.1</v>
      </c>
      <c r="K13" s="1139">
        <v>46</v>
      </c>
      <c r="L13" s="1139">
        <f t="shared" si="1"/>
        <v>15330.1</v>
      </c>
      <c r="M13" s="1139">
        <v>398311.5</v>
      </c>
      <c r="N13" s="1139">
        <v>31174.9</v>
      </c>
      <c r="O13" s="1139">
        <v>429486.4</v>
      </c>
      <c r="P13" s="1139">
        <f t="shared" si="2"/>
        <v>600640.20000000007</v>
      </c>
      <c r="Q13" s="1138">
        <v>-82966.200000000099</v>
      </c>
      <c r="R13" s="1139">
        <f t="shared" si="3"/>
        <v>517674</v>
      </c>
      <c r="S13" s="1139">
        <f t="shared" si="4"/>
        <v>589840.4</v>
      </c>
      <c r="T13" s="460" t="s">
        <v>1169</v>
      </c>
      <c r="U13" s="270"/>
      <c r="V13" s="270"/>
      <c r="W13" s="270"/>
      <c r="X13" s="270"/>
    </row>
    <row r="14" spans="1:24" ht="11.85" customHeight="1">
      <c r="A14" s="362" t="s">
        <v>1361</v>
      </c>
      <c r="B14" s="604">
        <v>113250.1</v>
      </c>
      <c r="C14" s="604">
        <v>-344.5</v>
      </c>
      <c r="D14" s="604">
        <v>-6493.8</v>
      </c>
      <c r="E14" s="604">
        <v>106411.8</v>
      </c>
      <c r="F14" s="793">
        <v>110094.5</v>
      </c>
      <c r="G14" s="604">
        <v>249.7</v>
      </c>
      <c r="H14" s="604">
        <v>64634.2</v>
      </c>
      <c r="I14" s="604">
        <v>174978.4</v>
      </c>
      <c r="J14" s="793">
        <v>9376.7999999999993</v>
      </c>
      <c r="K14" s="604">
        <v>43.7</v>
      </c>
      <c r="L14" s="604">
        <v>9420.5</v>
      </c>
      <c r="M14" s="604">
        <v>440915.1</v>
      </c>
      <c r="N14" s="604">
        <v>36526.800000000003</v>
      </c>
      <c r="O14" s="604">
        <v>477441.89999999997</v>
      </c>
      <c r="P14" s="604">
        <v>661840.79999999993</v>
      </c>
      <c r="Q14" s="767">
        <v>-88069.7</v>
      </c>
      <c r="R14" s="604">
        <v>573771.1</v>
      </c>
      <c r="S14" s="604">
        <v>680182.9</v>
      </c>
      <c r="T14" s="364" t="s">
        <v>1361</v>
      </c>
      <c r="U14" s="270"/>
      <c r="V14" s="270"/>
      <c r="W14" s="270"/>
      <c r="X14" s="270"/>
    </row>
    <row r="15" spans="1:24" s="252" customFormat="1" ht="11.85" customHeight="1">
      <c r="A15" s="1192" t="s">
        <v>1693</v>
      </c>
      <c r="B15" s="437">
        <v>160056.6</v>
      </c>
      <c r="C15" s="437">
        <v>-318.89999999999998</v>
      </c>
      <c r="D15" s="437">
        <v>-6695</v>
      </c>
      <c r="E15" s="437">
        <v>153042.70000000001</v>
      </c>
      <c r="F15" s="437">
        <v>117498.3</v>
      </c>
      <c r="G15" s="437">
        <v>266.89999999999998</v>
      </c>
      <c r="H15" s="437">
        <v>76341.3</v>
      </c>
      <c r="I15" s="437">
        <v>194106.5</v>
      </c>
      <c r="J15" s="437">
        <v>12612.9</v>
      </c>
      <c r="K15" s="437">
        <v>40.6</v>
      </c>
      <c r="L15" s="437">
        <v>12653.5</v>
      </c>
      <c r="M15" s="437">
        <v>493936.5</v>
      </c>
      <c r="N15" s="437">
        <v>43834.8</v>
      </c>
      <c r="O15" s="437">
        <v>537771.30000000005</v>
      </c>
      <c r="P15" s="437">
        <v>744531.3</v>
      </c>
      <c r="Q15" s="1138">
        <v>-105128.7</v>
      </c>
      <c r="R15" s="437">
        <v>639402.60000000009</v>
      </c>
      <c r="S15" s="437">
        <v>792445.3</v>
      </c>
      <c r="T15" s="1193" t="s">
        <v>1693</v>
      </c>
    </row>
    <row r="16" spans="1:24" s="393" customFormat="1" ht="11.85" customHeight="1">
      <c r="A16" s="811" t="s">
        <v>1795</v>
      </c>
      <c r="B16" s="734">
        <v>189228.79999999999</v>
      </c>
      <c r="C16" s="734">
        <v>-274.10000000000002</v>
      </c>
      <c r="D16" s="734">
        <v>-7257.5</v>
      </c>
      <c r="E16" s="734">
        <v>181697.19999999998</v>
      </c>
      <c r="F16" s="734">
        <v>110224.8</v>
      </c>
      <c r="G16" s="734">
        <v>183.4</v>
      </c>
      <c r="H16" s="734">
        <v>105074</v>
      </c>
      <c r="I16" s="734">
        <v>215482.2</v>
      </c>
      <c r="J16" s="734">
        <v>16448.8</v>
      </c>
      <c r="K16" s="734">
        <v>80.3</v>
      </c>
      <c r="L16" s="734">
        <v>16529.099999999999</v>
      </c>
      <c r="M16" s="734">
        <v>557021.80000000005</v>
      </c>
      <c r="N16" s="734">
        <v>50121.5</v>
      </c>
      <c r="O16" s="734">
        <v>607143.30000000005</v>
      </c>
      <c r="P16" s="734">
        <v>839154.60000000009</v>
      </c>
      <c r="Q16" s="734">
        <v>-110802.8</v>
      </c>
      <c r="R16" s="734">
        <v>728351.8</v>
      </c>
      <c r="S16" s="734">
        <v>910049</v>
      </c>
      <c r="T16" s="812" t="s">
        <v>1795</v>
      </c>
      <c r="U16" s="348"/>
    </row>
    <row r="17" spans="1:21" s="393" customFormat="1" ht="11.85" customHeight="1">
      <c r="A17" s="1040" t="s">
        <v>1996</v>
      </c>
      <c r="B17" s="1142">
        <v>233135.6</v>
      </c>
      <c r="C17" s="1142">
        <v>-83</v>
      </c>
      <c r="D17" s="1142">
        <v>-8475.2000000000007</v>
      </c>
      <c r="E17" s="1142">
        <v>224577.4</v>
      </c>
      <c r="F17" s="1142">
        <v>114189.1</v>
      </c>
      <c r="G17" s="1142">
        <v>-89.1</v>
      </c>
      <c r="H17" s="1142">
        <v>138762.6</v>
      </c>
      <c r="I17" s="1142">
        <v>252862.6</v>
      </c>
      <c r="J17" s="1142">
        <v>15573</v>
      </c>
      <c r="K17" s="1142">
        <v>108.3</v>
      </c>
      <c r="L17" s="1142">
        <v>15681.3</v>
      </c>
      <c r="M17" s="1142">
        <v>650644</v>
      </c>
      <c r="N17" s="1142">
        <v>60778.8</v>
      </c>
      <c r="O17" s="1142">
        <v>711422.8</v>
      </c>
      <c r="P17" s="1142">
        <v>979966.70000000007</v>
      </c>
      <c r="Q17" s="1142">
        <v>-127800.9</v>
      </c>
      <c r="R17" s="1142">
        <v>852165.8</v>
      </c>
      <c r="S17" s="1142">
        <v>1076743.2</v>
      </c>
      <c r="T17" s="827" t="s">
        <v>1996</v>
      </c>
      <c r="U17" s="348"/>
    </row>
    <row r="18" spans="1:21" s="393" customFormat="1" ht="11.85" customHeight="1">
      <c r="A18" s="855" t="s">
        <v>2092</v>
      </c>
      <c r="B18" s="856">
        <f>B30</f>
        <v>266697</v>
      </c>
      <c r="C18" s="856">
        <f t="shared" ref="C18:S18" si="5">C30</f>
        <v>-46.6</v>
      </c>
      <c r="D18" s="856">
        <f t="shared" si="5"/>
        <v>-9534.1</v>
      </c>
      <c r="E18" s="856">
        <f t="shared" si="5"/>
        <v>257116.3</v>
      </c>
      <c r="F18" s="856">
        <f t="shared" si="5"/>
        <v>97307.599999999991</v>
      </c>
      <c r="G18" s="856">
        <f t="shared" si="5"/>
        <v>-108.6</v>
      </c>
      <c r="H18" s="856">
        <f t="shared" si="5"/>
        <v>191178.6</v>
      </c>
      <c r="I18" s="856">
        <f t="shared" si="5"/>
        <v>288377.59999999998</v>
      </c>
      <c r="J18" s="856">
        <f t="shared" si="5"/>
        <v>16744.2</v>
      </c>
      <c r="K18" s="856">
        <f t="shared" si="5"/>
        <v>142.6</v>
      </c>
      <c r="L18" s="856">
        <f t="shared" si="5"/>
        <v>16886.8</v>
      </c>
      <c r="M18" s="856">
        <f t="shared" si="5"/>
        <v>752988.79999999993</v>
      </c>
      <c r="N18" s="856">
        <f t="shared" si="5"/>
        <v>71394.7</v>
      </c>
      <c r="O18" s="856">
        <f t="shared" si="5"/>
        <v>824383.49999999988</v>
      </c>
      <c r="P18" s="856">
        <f t="shared" si="5"/>
        <v>1129647.8999999999</v>
      </c>
      <c r="Q18" s="856">
        <f t="shared" si="5"/>
        <v>-153298.70000000001</v>
      </c>
      <c r="R18" s="856">
        <f t="shared" si="5"/>
        <v>976349.2</v>
      </c>
      <c r="S18" s="856">
        <f t="shared" si="5"/>
        <v>1233465.5</v>
      </c>
      <c r="T18" s="857" t="s">
        <v>2092</v>
      </c>
      <c r="U18" s="348"/>
    </row>
    <row r="19" spans="1:21" s="393" customFormat="1" ht="11.85" customHeight="1">
      <c r="A19" s="498" t="s">
        <v>843</v>
      </c>
      <c r="B19" s="768">
        <v>235885.4</v>
      </c>
      <c r="C19" s="768">
        <v>-82.9</v>
      </c>
      <c r="D19" s="432">
        <v>-8610.6</v>
      </c>
      <c r="E19" s="768">
        <f t="shared" ref="E19:E48" si="6">D19+C19+B19</f>
        <v>227191.9</v>
      </c>
      <c r="F19" s="768">
        <v>116648.3</v>
      </c>
      <c r="G19" s="768">
        <v>-52.9</v>
      </c>
      <c r="H19" s="432">
        <v>142260.9</v>
      </c>
      <c r="I19" s="768">
        <f t="shared" ref="I19:I48" si="7">H19+G19+F19</f>
        <v>258856.3</v>
      </c>
      <c r="J19" s="768">
        <v>15529.7</v>
      </c>
      <c r="K19" s="768">
        <v>113.4</v>
      </c>
      <c r="L19" s="768">
        <f t="shared" ref="L19:L48" si="8">J19+K19</f>
        <v>15643.1</v>
      </c>
      <c r="M19" s="768">
        <v>644864.30000000005</v>
      </c>
      <c r="N19" s="768">
        <v>61192.5</v>
      </c>
      <c r="O19" s="768">
        <f t="shared" ref="O19:O48" si="9">M19+N19</f>
        <v>706056.8</v>
      </c>
      <c r="P19" s="768">
        <f t="shared" ref="P19:P48" si="10">I19+L19+O19</f>
        <v>980556.2</v>
      </c>
      <c r="Q19" s="768">
        <v>-130812.1</v>
      </c>
      <c r="R19" s="768">
        <f t="shared" ref="R19:R48" si="11">P19+Q19</f>
        <v>849744.1</v>
      </c>
      <c r="S19" s="768">
        <f t="shared" ref="S19:S48" si="12">E19+R19</f>
        <v>1076936</v>
      </c>
      <c r="T19" s="545" t="s">
        <v>843</v>
      </c>
      <c r="U19" s="348"/>
    </row>
    <row r="20" spans="1:21" s="393" customFormat="1" ht="11.85" customHeight="1">
      <c r="A20" s="391" t="s">
        <v>844</v>
      </c>
      <c r="B20" s="734">
        <v>241535</v>
      </c>
      <c r="C20" s="734">
        <v>-82.9</v>
      </c>
      <c r="D20" s="348">
        <v>-8757.5</v>
      </c>
      <c r="E20" s="734">
        <f t="shared" si="6"/>
        <v>232694.6</v>
      </c>
      <c r="F20" s="734">
        <v>113296.3</v>
      </c>
      <c r="G20" s="734">
        <v>-60</v>
      </c>
      <c r="H20" s="348">
        <v>146558.1</v>
      </c>
      <c r="I20" s="734">
        <f t="shared" si="7"/>
        <v>259794.40000000002</v>
      </c>
      <c r="J20" s="734">
        <v>15633</v>
      </c>
      <c r="K20" s="734">
        <v>118.7</v>
      </c>
      <c r="L20" s="734">
        <f t="shared" si="8"/>
        <v>15751.7</v>
      </c>
      <c r="M20" s="734">
        <v>651267.9</v>
      </c>
      <c r="N20" s="734">
        <v>61740.4</v>
      </c>
      <c r="O20" s="734">
        <f t="shared" si="9"/>
        <v>713008.3</v>
      </c>
      <c r="P20" s="734">
        <f t="shared" si="10"/>
        <v>988554.40000000014</v>
      </c>
      <c r="Q20" s="734">
        <v>-130725.2</v>
      </c>
      <c r="R20" s="734">
        <f t="shared" si="11"/>
        <v>857829.20000000019</v>
      </c>
      <c r="S20" s="734">
        <f t="shared" si="12"/>
        <v>1090523.8000000003</v>
      </c>
      <c r="T20" s="583" t="s">
        <v>844</v>
      </c>
      <c r="U20" s="348"/>
    </row>
    <row r="21" spans="1:21" s="393" customFormat="1" ht="11.85" customHeight="1">
      <c r="A21" s="498" t="s">
        <v>838</v>
      </c>
      <c r="B21" s="768">
        <v>246745.8</v>
      </c>
      <c r="C21" s="768">
        <v>-79.599999999999994</v>
      </c>
      <c r="D21" s="432">
        <v>-8801</v>
      </c>
      <c r="E21" s="768">
        <f t="shared" si="6"/>
        <v>237865.19999999998</v>
      </c>
      <c r="F21" s="768">
        <v>113640.1</v>
      </c>
      <c r="G21" s="768">
        <v>-53.3</v>
      </c>
      <c r="H21" s="432">
        <v>150412.6</v>
      </c>
      <c r="I21" s="768">
        <f t="shared" si="7"/>
        <v>263999.40000000002</v>
      </c>
      <c r="J21" s="768">
        <v>15429.5</v>
      </c>
      <c r="K21" s="768">
        <v>119.6</v>
      </c>
      <c r="L21" s="768">
        <f t="shared" si="8"/>
        <v>15549.1</v>
      </c>
      <c r="M21" s="768">
        <v>659321.59999999998</v>
      </c>
      <c r="N21" s="768">
        <v>62392.3</v>
      </c>
      <c r="O21" s="768">
        <f t="shared" si="9"/>
        <v>721713.9</v>
      </c>
      <c r="P21" s="768">
        <f t="shared" si="10"/>
        <v>1001262.4</v>
      </c>
      <c r="Q21" s="768">
        <v>-135906.5</v>
      </c>
      <c r="R21" s="768">
        <f t="shared" si="11"/>
        <v>865355.9</v>
      </c>
      <c r="S21" s="768">
        <f t="shared" si="12"/>
        <v>1103221.1000000001</v>
      </c>
      <c r="T21" s="545" t="s">
        <v>838</v>
      </c>
      <c r="U21" s="348"/>
    </row>
    <row r="22" spans="1:21" s="393" customFormat="1" ht="11.85" customHeight="1">
      <c r="A22" s="391" t="s">
        <v>845</v>
      </c>
      <c r="B22" s="734">
        <v>247313.7</v>
      </c>
      <c r="C22" s="734">
        <v>-79.400000000000006</v>
      </c>
      <c r="D22" s="348">
        <v>-8873.6</v>
      </c>
      <c r="E22" s="734">
        <f t="shared" si="6"/>
        <v>238360.7</v>
      </c>
      <c r="F22" s="734">
        <v>110003</v>
      </c>
      <c r="G22" s="734">
        <v>-93.5</v>
      </c>
      <c r="H22" s="348">
        <v>154679.29999999999</v>
      </c>
      <c r="I22" s="734">
        <f t="shared" si="7"/>
        <v>264588.79999999999</v>
      </c>
      <c r="J22" s="734">
        <v>14933.8</v>
      </c>
      <c r="K22" s="734">
        <v>121.5</v>
      </c>
      <c r="L22" s="734">
        <f t="shared" si="8"/>
        <v>15055.3</v>
      </c>
      <c r="M22" s="734">
        <v>663877.80000000005</v>
      </c>
      <c r="N22" s="734">
        <v>62802.1</v>
      </c>
      <c r="O22" s="734">
        <f t="shared" si="9"/>
        <v>726679.9</v>
      </c>
      <c r="P22" s="734">
        <f t="shared" si="10"/>
        <v>1006324</v>
      </c>
      <c r="Q22" s="734">
        <v>-135056.9</v>
      </c>
      <c r="R22" s="734">
        <f t="shared" si="11"/>
        <v>871267.1</v>
      </c>
      <c r="S22" s="734">
        <f t="shared" si="12"/>
        <v>1109627.8</v>
      </c>
      <c r="T22" s="583" t="s">
        <v>845</v>
      </c>
      <c r="U22" s="348"/>
    </row>
    <row r="23" spans="1:21" s="393" customFormat="1" ht="11.85" customHeight="1">
      <c r="A23" s="498" t="s">
        <v>846</v>
      </c>
      <c r="B23" s="768">
        <v>245055.9</v>
      </c>
      <c r="C23" s="768">
        <v>-79.400000000000006</v>
      </c>
      <c r="D23" s="432">
        <v>-8963</v>
      </c>
      <c r="E23" s="768">
        <f t="shared" si="6"/>
        <v>236013.5</v>
      </c>
      <c r="F23" s="768">
        <v>108618.9</v>
      </c>
      <c r="G23" s="768">
        <v>-77.5</v>
      </c>
      <c r="H23" s="432">
        <v>159082.1</v>
      </c>
      <c r="I23" s="768">
        <f t="shared" si="7"/>
        <v>267623.5</v>
      </c>
      <c r="J23" s="768">
        <v>15233.5</v>
      </c>
      <c r="K23" s="768">
        <v>123.8</v>
      </c>
      <c r="L23" s="768">
        <f t="shared" si="8"/>
        <v>15357.3</v>
      </c>
      <c r="M23" s="768">
        <v>672927.1</v>
      </c>
      <c r="N23" s="768">
        <v>63846.8</v>
      </c>
      <c r="O23" s="768">
        <f t="shared" si="9"/>
        <v>736773.9</v>
      </c>
      <c r="P23" s="768">
        <f t="shared" si="10"/>
        <v>1019754.7</v>
      </c>
      <c r="Q23" s="768">
        <v>-135614.29999999999</v>
      </c>
      <c r="R23" s="768">
        <f t="shared" si="11"/>
        <v>884140.39999999991</v>
      </c>
      <c r="S23" s="768">
        <f t="shared" si="12"/>
        <v>1120153.8999999999</v>
      </c>
      <c r="T23" s="545" t="s">
        <v>846</v>
      </c>
      <c r="U23" s="348"/>
    </row>
    <row r="24" spans="1:21" s="393" customFormat="1" ht="11.85" customHeight="1">
      <c r="A24" s="391" t="s">
        <v>839</v>
      </c>
      <c r="B24" s="734">
        <v>247248.3</v>
      </c>
      <c r="C24" s="734">
        <v>-63.8</v>
      </c>
      <c r="D24" s="348">
        <v>-9026.9</v>
      </c>
      <c r="E24" s="734">
        <f t="shared" si="6"/>
        <v>238157.59999999998</v>
      </c>
      <c r="F24" s="734">
        <v>98616.8</v>
      </c>
      <c r="G24" s="734">
        <v>-77.3</v>
      </c>
      <c r="H24" s="348">
        <v>162236.1</v>
      </c>
      <c r="I24" s="734">
        <f t="shared" si="7"/>
        <v>260775.60000000003</v>
      </c>
      <c r="J24" s="734">
        <v>15860.7</v>
      </c>
      <c r="K24" s="734">
        <v>126.3</v>
      </c>
      <c r="L24" s="734">
        <f t="shared" si="8"/>
        <v>15987</v>
      </c>
      <c r="M24" s="734">
        <v>695351.7</v>
      </c>
      <c r="N24" s="734">
        <v>64571</v>
      </c>
      <c r="O24" s="734">
        <f t="shared" si="9"/>
        <v>759922.7</v>
      </c>
      <c r="P24" s="734">
        <f t="shared" si="10"/>
        <v>1036685.3</v>
      </c>
      <c r="Q24" s="734">
        <v>-134877.4</v>
      </c>
      <c r="R24" s="734">
        <f t="shared" si="11"/>
        <v>901807.9</v>
      </c>
      <c r="S24" s="734">
        <f t="shared" si="12"/>
        <v>1139965.5</v>
      </c>
      <c r="T24" s="583" t="s">
        <v>839</v>
      </c>
      <c r="U24" s="348"/>
    </row>
    <row r="25" spans="1:21" s="393" customFormat="1" ht="11.85" customHeight="1">
      <c r="A25" s="498" t="s">
        <v>847</v>
      </c>
      <c r="B25" s="768">
        <f>236674.5+11331.7</f>
        <v>248006.2</v>
      </c>
      <c r="C25" s="768">
        <v>-63.6</v>
      </c>
      <c r="D25" s="432">
        <v>-9076.7999999999993</v>
      </c>
      <c r="E25" s="432">
        <f t="shared" si="6"/>
        <v>238865.80000000002</v>
      </c>
      <c r="F25" s="768">
        <f>923.2+95426.8</f>
        <v>96350</v>
      </c>
      <c r="G25" s="768">
        <v>-82.3</v>
      </c>
      <c r="H25" s="432">
        <v>167656.79999999999</v>
      </c>
      <c r="I25" s="432">
        <f t="shared" si="7"/>
        <v>263924.5</v>
      </c>
      <c r="J25" s="768">
        <f>1621.2+14096.2</f>
        <v>15717.400000000001</v>
      </c>
      <c r="K25" s="768">
        <v>129</v>
      </c>
      <c r="L25" s="768">
        <f t="shared" si="8"/>
        <v>15846.400000000001</v>
      </c>
      <c r="M25" s="768">
        <f>3684.7+693643.9</f>
        <v>697328.6</v>
      </c>
      <c r="N25" s="768">
        <v>65115.9</v>
      </c>
      <c r="O25" s="768">
        <f t="shared" si="9"/>
        <v>762444.5</v>
      </c>
      <c r="P25" s="768">
        <f t="shared" si="10"/>
        <v>1042215.4</v>
      </c>
      <c r="Q25" s="768">
        <v>-137810.29999999999</v>
      </c>
      <c r="R25" s="768">
        <f t="shared" si="11"/>
        <v>904405.10000000009</v>
      </c>
      <c r="S25" s="768">
        <f t="shared" si="12"/>
        <v>1143270.9000000001</v>
      </c>
      <c r="T25" s="545" t="s">
        <v>847</v>
      </c>
      <c r="U25" s="348"/>
    </row>
    <row r="26" spans="1:21" s="393" customFormat="1" ht="11.85" customHeight="1">
      <c r="A26" s="391" t="s">
        <v>848</v>
      </c>
      <c r="B26" s="734">
        <f>240191.5+12306.8</f>
        <v>252498.3</v>
      </c>
      <c r="C26" s="734">
        <v>-63.6</v>
      </c>
      <c r="D26" s="348">
        <v>-9135.4</v>
      </c>
      <c r="E26" s="348">
        <f t="shared" si="6"/>
        <v>243299.3</v>
      </c>
      <c r="F26" s="734">
        <f>-470.3+93969.3</f>
        <v>93499</v>
      </c>
      <c r="G26" s="734">
        <v>-96.3</v>
      </c>
      <c r="H26" s="348">
        <v>172045.2</v>
      </c>
      <c r="I26" s="348">
        <f t="shared" si="7"/>
        <v>265447.90000000002</v>
      </c>
      <c r="J26" s="734">
        <f>1622.9+13509.8</f>
        <v>15132.699999999999</v>
      </c>
      <c r="K26" s="734">
        <v>131.30000000000001</v>
      </c>
      <c r="L26" s="734">
        <f t="shared" si="8"/>
        <v>15263.999999999998</v>
      </c>
      <c r="M26" s="734">
        <f>3676.6+701802.5</f>
        <v>705479.1</v>
      </c>
      <c r="N26" s="734">
        <v>66149.100000000006</v>
      </c>
      <c r="O26" s="734">
        <f t="shared" si="9"/>
        <v>771628.2</v>
      </c>
      <c r="P26" s="734">
        <f t="shared" si="10"/>
        <v>1052340.1000000001</v>
      </c>
      <c r="Q26" s="734">
        <v>-141475.1</v>
      </c>
      <c r="R26" s="734">
        <f t="shared" si="11"/>
        <v>910865.00000000012</v>
      </c>
      <c r="S26" s="734">
        <f t="shared" si="12"/>
        <v>1154164.3</v>
      </c>
      <c r="T26" s="583" t="s">
        <v>848</v>
      </c>
      <c r="U26" s="348"/>
    </row>
    <row r="27" spans="1:21" s="393" customFormat="1" ht="11.85" customHeight="1">
      <c r="A27" s="498" t="s">
        <v>840</v>
      </c>
      <c r="B27" s="768">
        <f>242368.9+11777</f>
        <v>254145.9</v>
      </c>
      <c r="C27" s="768">
        <v>-62.1</v>
      </c>
      <c r="D27" s="432">
        <v>-9271.2000000000007</v>
      </c>
      <c r="E27" s="432">
        <f t="shared" si="6"/>
        <v>244812.6</v>
      </c>
      <c r="F27" s="768">
        <f>-218.8+90507.2</f>
        <v>90288.4</v>
      </c>
      <c r="G27" s="768">
        <v>-78.900000000000006</v>
      </c>
      <c r="H27" s="432">
        <v>176411</v>
      </c>
      <c r="I27" s="432">
        <f t="shared" si="7"/>
        <v>266620.5</v>
      </c>
      <c r="J27" s="768">
        <f>1599.3+14158.5</f>
        <v>15757.8</v>
      </c>
      <c r="K27" s="768">
        <v>134.80000000000001</v>
      </c>
      <c r="L27" s="768">
        <f t="shared" si="8"/>
        <v>15892.599999999999</v>
      </c>
      <c r="M27" s="768">
        <f>3729.4+712208.2</f>
        <v>715937.6</v>
      </c>
      <c r="N27" s="768">
        <v>67404.7</v>
      </c>
      <c r="O27" s="768">
        <f t="shared" si="9"/>
        <v>783342.29999999993</v>
      </c>
      <c r="P27" s="768">
        <f t="shared" si="10"/>
        <v>1065855.3999999999</v>
      </c>
      <c r="Q27" s="768">
        <v>-144771.6</v>
      </c>
      <c r="R27" s="768">
        <f t="shared" si="11"/>
        <v>921083.79999999993</v>
      </c>
      <c r="S27" s="768">
        <f t="shared" si="12"/>
        <v>1165896.3999999999</v>
      </c>
      <c r="T27" s="545" t="s">
        <v>840</v>
      </c>
      <c r="U27" s="348"/>
    </row>
    <row r="28" spans="1:21" s="393" customFormat="1" ht="11.85" customHeight="1">
      <c r="A28" s="391" t="s">
        <v>849</v>
      </c>
      <c r="B28" s="734">
        <f>242030+12307.1</f>
        <v>254337.1</v>
      </c>
      <c r="C28" s="734">
        <v>-62.1</v>
      </c>
      <c r="D28" s="348">
        <v>-9392</v>
      </c>
      <c r="E28" s="348">
        <f t="shared" si="6"/>
        <v>244883</v>
      </c>
      <c r="F28" s="734">
        <f>2900.4+81255.3</f>
        <v>84155.7</v>
      </c>
      <c r="G28" s="734">
        <v>-91.6</v>
      </c>
      <c r="H28" s="348">
        <v>180860.79999999999</v>
      </c>
      <c r="I28" s="348">
        <f t="shared" si="7"/>
        <v>264924.89999999997</v>
      </c>
      <c r="J28" s="734">
        <f>1600.9+14721.7</f>
        <v>16322.6</v>
      </c>
      <c r="K28" s="734">
        <v>147.30000000000001</v>
      </c>
      <c r="L28" s="734">
        <f t="shared" si="8"/>
        <v>16469.900000000001</v>
      </c>
      <c r="M28" s="734">
        <f>3729.3+722632.6</f>
        <v>726361.9</v>
      </c>
      <c r="N28" s="734">
        <v>68513.600000000006</v>
      </c>
      <c r="O28" s="734">
        <f t="shared" si="9"/>
        <v>794875.5</v>
      </c>
      <c r="P28" s="734">
        <f t="shared" si="10"/>
        <v>1076270.3</v>
      </c>
      <c r="Q28" s="734">
        <v>-143770.5</v>
      </c>
      <c r="R28" s="734">
        <f t="shared" si="11"/>
        <v>932499.8</v>
      </c>
      <c r="S28" s="734">
        <f t="shared" si="12"/>
        <v>1177382.8</v>
      </c>
      <c r="T28" s="583" t="s">
        <v>849</v>
      </c>
      <c r="U28" s="348"/>
    </row>
    <row r="29" spans="1:21" s="393" customFormat="1" ht="11.85" customHeight="1">
      <c r="A29" s="498" t="s">
        <v>850</v>
      </c>
      <c r="B29" s="768">
        <f>246330.1+11187.7</f>
        <v>257517.80000000002</v>
      </c>
      <c r="C29" s="768">
        <v>-62.1</v>
      </c>
      <c r="D29" s="432">
        <v>-9472.1</v>
      </c>
      <c r="E29" s="432">
        <f t="shared" si="6"/>
        <v>247983.6</v>
      </c>
      <c r="F29" s="768">
        <f>8419.9+74150.4</f>
        <v>82570.299999999988</v>
      </c>
      <c r="G29" s="768">
        <v>-86.7</v>
      </c>
      <c r="H29" s="432">
        <v>185730.1</v>
      </c>
      <c r="I29" s="432">
        <f t="shared" si="7"/>
        <v>268213.69999999995</v>
      </c>
      <c r="J29" s="768">
        <f>1900.7+14953</f>
        <v>16853.7</v>
      </c>
      <c r="K29" s="768">
        <v>144.1</v>
      </c>
      <c r="L29" s="768">
        <f t="shared" si="8"/>
        <v>16997.8</v>
      </c>
      <c r="M29" s="768">
        <f>3830.4+732454.7</f>
        <v>736285.1</v>
      </c>
      <c r="N29" s="768">
        <v>69618.7</v>
      </c>
      <c r="O29" s="768">
        <f t="shared" si="9"/>
        <v>805903.79999999993</v>
      </c>
      <c r="P29" s="768">
        <f t="shared" si="10"/>
        <v>1091115.2999999998</v>
      </c>
      <c r="Q29" s="768">
        <v>-148993</v>
      </c>
      <c r="R29" s="768">
        <f t="shared" si="11"/>
        <v>942122.29999999981</v>
      </c>
      <c r="S29" s="768">
        <f t="shared" si="12"/>
        <v>1190105.8999999999</v>
      </c>
      <c r="T29" s="545" t="s">
        <v>850</v>
      </c>
      <c r="U29" s="348"/>
    </row>
    <row r="30" spans="1:21" s="393" customFormat="1" ht="11.85" customHeight="1">
      <c r="A30" s="391" t="s">
        <v>841</v>
      </c>
      <c r="B30" s="734">
        <f>252027+14670</f>
        <v>266697</v>
      </c>
      <c r="C30" s="734">
        <v>-46.6</v>
      </c>
      <c r="D30" s="348">
        <v>-9534.1</v>
      </c>
      <c r="E30" s="348">
        <f t="shared" si="6"/>
        <v>257116.3</v>
      </c>
      <c r="F30" s="734">
        <f>12978.2+84329.4</f>
        <v>97307.599999999991</v>
      </c>
      <c r="G30" s="734">
        <v>-108.6</v>
      </c>
      <c r="H30" s="348">
        <v>191178.6</v>
      </c>
      <c r="I30" s="348">
        <f t="shared" si="7"/>
        <v>288377.59999999998</v>
      </c>
      <c r="J30" s="734">
        <f>1902.3+14841.9</f>
        <v>16744.2</v>
      </c>
      <c r="K30" s="734">
        <v>142.6</v>
      </c>
      <c r="L30" s="734">
        <f t="shared" si="8"/>
        <v>16886.8</v>
      </c>
      <c r="M30" s="734">
        <f>3822.1+749166.7</f>
        <v>752988.79999999993</v>
      </c>
      <c r="N30" s="734">
        <v>71394.7</v>
      </c>
      <c r="O30" s="734">
        <f t="shared" si="9"/>
        <v>824383.49999999988</v>
      </c>
      <c r="P30" s="734">
        <f t="shared" si="10"/>
        <v>1129647.8999999999</v>
      </c>
      <c r="Q30" s="734">
        <v>-153298.70000000001</v>
      </c>
      <c r="R30" s="734">
        <f t="shared" si="11"/>
        <v>976349.2</v>
      </c>
      <c r="S30" s="734">
        <f t="shared" si="12"/>
        <v>1233465.5</v>
      </c>
      <c r="T30" s="583" t="s">
        <v>841</v>
      </c>
      <c r="U30" s="348"/>
    </row>
    <row r="31" spans="1:21" s="393" customFormat="1" ht="11.85" customHeight="1">
      <c r="A31" s="855" t="s">
        <v>2320</v>
      </c>
      <c r="B31" s="856">
        <f>B43</f>
        <v>264674.5</v>
      </c>
      <c r="C31" s="856">
        <f t="shared" ref="C31:S31" si="13">C43</f>
        <v>-20.5</v>
      </c>
      <c r="D31" s="856">
        <f t="shared" si="13"/>
        <v>-11436.5</v>
      </c>
      <c r="E31" s="856">
        <f t="shared" si="13"/>
        <v>253217.5</v>
      </c>
      <c r="F31" s="856">
        <f t="shared" si="13"/>
        <v>94869.599999999991</v>
      </c>
      <c r="G31" s="856">
        <f t="shared" si="13"/>
        <v>-3111.6</v>
      </c>
      <c r="H31" s="856">
        <f t="shared" si="13"/>
        <v>237765</v>
      </c>
      <c r="I31" s="856">
        <f t="shared" si="13"/>
        <v>329523</v>
      </c>
      <c r="J31" s="856">
        <f t="shared" si="13"/>
        <v>11337.8</v>
      </c>
      <c r="K31" s="856">
        <f t="shared" si="13"/>
        <v>787.8</v>
      </c>
      <c r="L31" s="856">
        <f t="shared" si="13"/>
        <v>12125.599999999999</v>
      </c>
      <c r="M31" s="856">
        <f t="shared" si="13"/>
        <v>880749.5</v>
      </c>
      <c r="N31" s="856">
        <f t="shared" si="13"/>
        <v>89467</v>
      </c>
      <c r="O31" s="856">
        <f t="shared" si="13"/>
        <v>970216.5</v>
      </c>
      <c r="P31" s="856">
        <f t="shared" si="13"/>
        <v>1311865.1000000001</v>
      </c>
      <c r="Q31" s="856">
        <f t="shared" si="13"/>
        <v>-191334.1</v>
      </c>
      <c r="R31" s="856">
        <f t="shared" si="13"/>
        <v>1120531</v>
      </c>
      <c r="S31" s="856">
        <f t="shared" si="13"/>
        <v>1373748.5</v>
      </c>
      <c r="T31" s="857" t="s">
        <v>2320</v>
      </c>
      <c r="U31" s="348"/>
    </row>
    <row r="32" spans="1:21" s="393" customFormat="1" ht="11.85" customHeight="1">
      <c r="A32" s="391" t="s">
        <v>843</v>
      </c>
      <c r="B32" s="734">
        <f>251647.8+13105.2</f>
        <v>264753</v>
      </c>
      <c r="C32" s="734">
        <v>-46.6</v>
      </c>
      <c r="D32" s="348">
        <v>-9696.6</v>
      </c>
      <c r="E32" s="348">
        <f t="shared" si="6"/>
        <v>255009.8</v>
      </c>
      <c r="F32" s="734">
        <f>3564.5+91185.5</f>
        <v>94750</v>
      </c>
      <c r="G32" s="734">
        <v>-3639.4</v>
      </c>
      <c r="H32" s="348">
        <v>196288.2</v>
      </c>
      <c r="I32" s="348">
        <f t="shared" si="7"/>
        <v>287398.80000000005</v>
      </c>
      <c r="J32" s="734">
        <f>1896.1+10824.6</f>
        <v>12720.7</v>
      </c>
      <c r="K32" s="734">
        <v>2750.5</v>
      </c>
      <c r="L32" s="734">
        <f t="shared" si="8"/>
        <v>15471.2</v>
      </c>
      <c r="M32" s="734">
        <f>3779.9+750500.2</f>
        <v>754280.1</v>
      </c>
      <c r="N32" s="734">
        <v>81145.899999999994</v>
      </c>
      <c r="O32" s="734">
        <f t="shared" si="9"/>
        <v>835426</v>
      </c>
      <c r="P32" s="734">
        <f t="shared" si="10"/>
        <v>1138296</v>
      </c>
      <c r="Q32" s="734">
        <v>-160761.29999999999</v>
      </c>
      <c r="R32" s="734">
        <f t="shared" si="11"/>
        <v>977534.7</v>
      </c>
      <c r="S32" s="734">
        <f t="shared" si="12"/>
        <v>1232544.5</v>
      </c>
      <c r="T32" s="583" t="s">
        <v>843</v>
      </c>
      <c r="U32" s="348"/>
    </row>
    <row r="33" spans="1:21" s="393" customFormat="1" ht="11.85" customHeight="1">
      <c r="A33" s="498" t="s">
        <v>844</v>
      </c>
      <c r="B33" s="768">
        <f>251630.1+14305.2</f>
        <v>265935.3</v>
      </c>
      <c r="C33" s="768">
        <v>-46.6</v>
      </c>
      <c r="D33" s="432">
        <v>-9897.9</v>
      </c>
      <c r="E33" s="432">
        <f t="shared" si="6"/>
        <v>255990.8</v>
      </c>
      <c r="F33" s="768">
        <f>14699.8+86562.5</f>
        <v>101262.3</v>
      </c>
      <c r="G33" s="768">
        <v>-3621.7</v>
      </c>
      <c r="H33" s="432">
        <v>200263.3</v>
      </c>
      <c r="I33" s="432">
        <f t="shared" si="7"/>
        <v>297903.89999999997</v>
      </c>
      <c r="J33" s="768">
        <f>1597.8+8651.9</f>
        <v>10249.699999999999</v>
      </c>
      <c r="K33" s="768">
        <v>2750.4</v>
      </c>
      <c r="L33" s="768">
        <f t="shared" si="8"/>
        <v>13000.099999999999</v>
      </c>
      <c r="M33" s="768">
        <f>3710.4+763670.1</f>
        <v>767380.5</v>
      </c>
      <c r="N33" s="768">
        <v>82397.2</v>
      </c>
      <c r="O33" s="768">
        <f t="shared" si="9"/>
        <v>849777.7</v>
      </c>
      <c r="P33" s="768">
        <f t="shared" si="10"/>
        <v>1160681.7</v>
      </c>
      <c r="Q33" s="768">
        <v>-159571.9</v>
      </c>
      <c r="R33" s="768">
        <f t="shared" si="11"/>
        <v>1001109.7999999999</v>
      </c>
      <c r="S33" s="768">
        <f t="shared" si="12"/>
        <v>1257100.5999999999</v>
      </c>
      <c r="T33" s="545" t="s">
        <v>844</v>
      </c>
      <c r="U33" s="348"/>
    </row>
    <row r="34" spans="1:21" s="393" customFormat="1" ht="11.85" customHeight="1">
      <c r="A34" s="391" t="s">
        <v>838</v>
      </c>
      <c r="B34" s="734">
        <f>250809.7+12244.6</f>
        <v>263054.3</v>
      </c>
      <c r="C34" s="734">
        <v>-46.6</v>
      </c>
      <c r="D34" s="348">
        <v>-10073.6</v>
      </c>
      <c r="E34" s="348">
        <f t="shared" si="6"/>
        <v>252934.09999999998</v>
      </c>
      <c r="F34" s="734">
        <f>6694.8+87720.5</f>
        <v>94415.3</v>
      </c>
      <c r="G34" s="734">
        <v>-3317.9</v>
      </c>
      <c r="H34" s="348">
        <v>203929</v>
      </c>
      <c r="I34" s="348">
        <f t="shared" si="7"/>
        <v>295026.40000000002</v>
      </c>
      <c r="J34" s="734">
        <f>1599.3+8874.7</f>
        <v>10474</v>
      </c>
      <c r="K34" s="734">
        <v>817.5</v>
      </c>
      <c r="L34" s="734">
        <f t="shared" si="8"/>
        <v>11291.5</v>
      </c>
      <c r="M34" s="734">
        <f>3757.3+772927.3</f>
        <v>776684.60000000009</v>
      </c>
      <c r="N34" s="734">
        <v>83969.7</v>
      </c>
      <c r="O34" s="734">
        <f t="shared" si="9"/>
        <v>860654.3</v>
      </c>
      <c r="P34" s="734">
        <f t="shared" si="10"/>
        <v>1166972.2000000002</v>
      </c>
      <c r="Q34" s="734">
        <v>-162271.4</v>
      </c>
      <c r="R34" s="734">
        <f t="shared" si="11"/>
        <v>1004700.8000000002</v>
      </c>
      <c r="S34" s="734">
        <f t="shared" si="12"/>
        <v>1257634.9000000001</v>
      </c>
      <c r="T34" s="583" t="s">
        <v>838</v>
      </c>
      <c r="U34" s="348"/>
    </row>
    <row r="35" spans="1:21" s="393" customFormat="1" ht="11.85" customHeight="1">
      <c r="A35" s="498" t="s">
        <v>845</v>
      </c>
      <c r="B35" s="734">
        <f>251637.5+11537.9</f>
        <v>263175.40000000002</v>
      </c>
      <c r="C35" s="734">
        <v>-46.5</v>
      </c>
      <c r="D35" s="348">
        <v>-10206.6</v>
      </c>
      <c r="E35" s="348">
        <f t="shared" si="6"/>
        <v>252922.30000000002</v>
      </c>
      <c r="F35" s="734">
        <f>8497.3+83676.6</f>
        <v>92173.900000000009</v>
      </c>
      <c r="G35" s="734">
        <v>-3336.5</v>
      </c>
      <c r="H35" s="348">
        <v>208549.3</v>
      </c>
      <c r="I35" s="348">
        <f t="shared" si="7"/>
        <v>297386.7</v>
      </c>
      <c r="J35" s="734">
        <f>1600.7+8752.2</f>
        <v>10352.900000000001</v>
      </c>
      <c r="K35" s="734">
        <v>810.8</v>
      </c>
      <c r="L35" s="734">
        <f t="shared" si="8"/>
        <v>11163.7</v>
      </c>
      <c r="M35" s="734">
        <f>3781.8+784055.8</f>
        <v>787837.60000000009</v>
      </c>
      <c r="N35" s="734">
        <v>84920.9</v>
      </c>
      <c r="O35" s="734">
        <f t="shared" si="9"/>
        <v>872758.50000000012</v>
      </c>
      <c r="P35" s="734">
        <f t="shared" si="10"/>
        <v>1181308.9000000001</v>
      </c>
      <c r="Q35" s="734">
        <v>-168000.7</v>
      </c>
      <c r="R35" s="734">
        <f t="shared" si="11"/>
        <v>1013308.2000000002</v>
      </c>
      <c r="S35" s="734">
        <f t="shared" si="12"/>
        <v>1266230.5000000002</v>
      </c>
      <c r="T35" s="545" t="s">
        <v>845</v>
      </c>
      <c r="U35" s="348"/>
    </row>
    <row r="36" spans="1:21" s="393" customFormat="1" ht="11.85" customHeight="1">
      <c r="A36" s="391" t="s">
        <v>846</v>
      </c>
      <c r="B36" s="734">
        <f>252830+9708.5</f>
        <v>262538.5</v>
      </c>
      <c r="C36" s="734">
        <v>-46.6</v>
      </c>
      <c r="D36" s="348">
        <v>-10838.1</v>
      </c>
      <c r="E36" s="348">
        <f t="shared" si="6"/>
        <v>251653.8</v>
      </c>
      <c r="F36" s="734">
        <f>8979.1+83600.7</f>
        <v>92579.8</v>
      </c>
      <c r="G36" s="734">
        <v>-3339.7</v>
      </c>
      <c r="H36" s="348">
        <v>220197.9</v>
      </c>
      <c r="I36" s="348">
        <f t="shared" si="7"/>
        <v>309438</v>
      </c>
      <c r="J36" s="734">
        <f>1602.3+8945</f>
        <v>10547.3</v>
      </c>
      <c r="K36" s="734">
        <v>811.8</v>
      </c>
      <c r="L36" s="734">
        <f t="shared" si="8"/>
        <v>11359.099999999999</v>
      </c>
      <c r="M36" s="734">
        <f>3801.4+797666.7</f>
        <v>801468.1</v>
      </c>
      <c r="N36" s="734">
        <v>86102.9</v>
      </c>
      <c r="O36" s="734">
        <f t="shared" si="9"/>
        <v>887571</v>
      </c>
      <c r="P36" s="734">
        <f t="shared" si="10"/>
        <v>1208368.1000000001</v>
      </c>
      <c r="Q36" s="734">
        <v>-175388.1</v>
      </c>
      <c r="R36" s="734">
        <f t="shared" si="11"/>
        <v>1032980.0000000001</v>
      </c>
      <c r="S36" s="734">
        <f t="shared" si="12"/>
        <v>1284633.8</v>
      </c>
      <c r="T36" s="583" t="s">
        <v>846</v>
      </c>
      <c r="U36" s="348"/>
    </row>
    <row r="37" spans="1:21" s="393" customFormat="1" ht="11.85" customHeight="1">
      <c r="A37" s="498" t="s">
        <v>839</v>
      </c>
      <c r="B37" s="734">
        <f>253497.7+10526.1</f>
        <v>264023.8</v>
      </c>
      <c r="C37" s="734">
        <v>-31.1</v>
      </c>
      <c r="D37" s="348">
        <v>-10487.9</v>
      </c>
      <c r="E37" s="348">
        <f t="shared" si="6"/>
        <v>253504.8</v>
      </c>
      <c r="F37" s="734">
        <f>9238.6+78018.3</f>
        <v>87256.900000000009</v>
      </c>
      <c r="G37" s="734">
        <v>-3130.6</v>
      </c>
      <c r="H37" s="348">
        <v>215058.2</v>
      </c>
      <c r="I37" s="348">
        <f t="shared" si="7"/>
        <v>299184.5</v>
      </c>
      <c r="J37" s="734">
        <f>1604+9305.1</f>
        <v>10909.1</v>
      </c>
      <c r="K37" s="734">
        <v>823.4</v>
      </c>
      <c r="L37" s="734">
        <f t="shared" si="8"/>
        <v>11732.5</v>
      </c>
      <c r="M37" s="734">
        <f>3932.2+815933.3</f>
        <v>819865.5</v>
      </c>
      <c r="N37" s="734">
        <v>87357.8</v>
      </c>
      <c r="O37" s="734">
        <f t="shared" si="9"/>
        <v>907223.3</v>
      </c>
      <c r="P37" s="734">
        <f t="shared" si="10"/>
        <v>1218140.3</v>
      </c>
      <c r="Q37" s="734">
        <v>-175058.3</v>
      </c>
      <c r="R37" s="734">
        <f t="shared" si="11"/>
        <v>1043082</v>
      </c>
      <c r="S37" s="734">
        <f t="shared" si="12"/>
        <v>1296586.8</v>
      </c>
      <c r="T37" s="545" t="s">
        <v>839</v>
      </c>
      <c r="U37" s="348"/>
    </row>
    <row r="38" spans="1:21" s="393" customFormat="1" ht="11.85" customHeight="1">
      <c r="A38" s="391" t="s">
        <v>847</v>
      </c>
      <c r="B38" s="734">
        <f>253560.4+9127.9</f>
        <v>262688.3</v>
      </c>
      <c r="C38" s="734">
        <v>-31</v>
      </c>
      <c r="D38" s="348">
        <v>-10838.1</v>
      </c>
      <c r="E38" s="348">
        <f t="shared" si="6"/>
        <v>251819.19999999998</v>
      </c>
      <c r="F38" s="734">
        <f>7367.2+73657.3</f>
        <v>81024.5</v>
      </c>
      <c r="G38" s="734">
        <v>-3139.3</v>
      </c>
      <c r="H38" s="348">
        <v>220197.9</v>
      </c>
      <c r="I38" s="348">
        <f t="shared" si="7"/>
        <v>298083.09999999998</v>
      </c>
      <c r="J38" s="734">
        <f>1596.2+9026.7</f>
        <v>10622.900000000001</v>
      </c>
      <c r="K38" s="734">
        <v>805</v>
      </c>
      <c r="L38" s="734">
        <f t="shared" si="8"/>
        <v>11427.900000000001</v>
      </c>
      <c r="M38" s="734">
        <f>3950.3+821288.8</f>
        <v>825239.10000000009</v>
      </c>
      <c r="N38" s="734">
        <v>88481.3</v>
      </c>
      <c r="O38" s="734">
        <f t="shared" si="9"/>
        <v>913720.40000000014</v>
      </c>
      <c r="P38" s="734">
        <f t="shared" si="10"/>
        <v>1223231.4000000001</v>
      </c>
      <c r="Q38" s="734">
        <v>-181826.2</v>
      </c>
      <c r="R38" s="734">
        <f t="shared" si="11"/>
        <v>1041405.2000000002</v>
      </c>
      <c r="S38" s="734">
        <f t="shared" si="12"/>
        <v>1293224.4000000001</v>
      </c>
      <c r="T38" s="583" t="s">
        <v>847</v>
      </c>
      <c r="U38" s="348"/>
    </row>
    <row r="39" spans="1:21" s="393" customFormat="1" ht="11.85" customHeight="1">
      <c r="A39" s="498" t="s">
        <v>848</v>
      </c>
      <c r="B39" s="768">
        <f>253570.9+8786</f>
        <v>262356.90000000002</v>
      </c>
      <c r="C39" s="768">
        <v>-31</v>
      </c>
      <c r="D39" s="432">
        <v>-11018.1</v>
      </c>
      <c r="E39" s="432">
        <f t="shared" si="6"/>
        <v>251307.80000000002</v>
      </c>
      <c r="F39" s="768">
        <f>7078.4+67967.6</f>
        <v>75046</v>
      </c>
      <c r="G39" s="768">
        <v>-3141.9</v>
      </c>
      <c r="H39" s="432">
        <v>224354.4</v>
      </c>
      <c r="I39" s="432">
        <f t="shared" si="7"/>
        <v>296258.5</v>
      </c>
      <c r="J39" s="768">
        <f>1597.8+9333.1</f>
        <v>10930.9</v>
      </c>
      <c r="K39" s="768">
        <v>817.8</v>
      </c>
      <c r="L39" s="768">
        <f t="shared" si="8"/>
        <v>11748.699999999999</v>
      </c>
      <c r="M39" s="768">
        <f>3909.8+832737.9</f>
        <v>836647.70000000007</v>
      </c>
      <c r="N39" s="768">
        <v>88864.7</v>
      </c>
      <c r="O39" s="768">
        <f t="shared" si="9"/>
        <v>925512.4</v>
      </c>
      <c r="P39" s="768">
        <f t="shared" si="10"/>
        <v>1233519.6000000001</v>
      </c>
      <c r="Q39" s="768">
        <v>-184621.5</v>
      </c>
      <c r="R39" s="768">
        <f t="shared" si="11"/>
        <v>1048898.1000000001</v>
      </c>
      <c r="S39" s="768">
        <f t="shared" si="12"/>
        <v>1300205.9000000001</v>
      </c>
      <c r="T39" s="545" t="s">
        <v>848</v>
      </c>
      <c r="U39" s="348"/>
    </row>
    <row r="40" spans="1:21" s="393" customFormat="1" ht="11.85" customHeight="1">
      <c r="A40" s="391" t="s">
        <v>840</v>
      </c>
      <c r="B40" s="734">
        <f>252905.8+10165.6</f>
        <v>263071.39999999997</v>
      </c>
      <c r="C40" s="734">
        <v>-31.1</v>
      </c>
      <c r="D40" s="348">
        <v>-11069.1</v>
      </c>
      <c r="E40" s="348">
        <f t="shared" si="6"/>
        <v>251971.19999999995</v>
      </c>
      <c r="F40" s="734">
        <f>10068.4+64485.2</f>
        <v>74553.599999999991</v>
      </c>
      <c r="G40" s="734">
        <v>-3133.4</v>
      </c>
      <c r="H40" s="348">
        <v>227943.7</v>
      </c>
      <c r="I40" s="348">
        <f t="shared" si="7"/>
        <v>299363.90000000002</v>
      </c>
      <c r="J40" s="734">
        <f>1599.4+9162.3</f>
        <v>10761.699999999999</v>
      </c>
      <c r="K40" s="734">
        <v>814.8</v>
      </c>
      <c r="L40" s="734">
        <f t="shared" si="8"/>
        <v>11576.499999999998</v>
      </c>
      <c r="M40" s="734">
        <f>3984.1+842193.5</f>
        <v>846177.6</v>
      </c>
      <c r="N40" s="734">
        <v>88558.8</v>
      </c>
      <c r="O40" s="734">
        <f t="shared" si="9"/>
        <v>934736.4</v>
      </c>
      <c r="P40" s="734">
        <f t="shared" si="10"/>
        <v>1245676.8</v>
      </c>
      <c r="Q40" s="734">
        <v>-189272.8</v>
      </c>
      <c r="R40" s="734">
        <f t="shared" si="11"/>
        <v>1056404</v>
      </c>
      <c r="S40" s="734">
        <f t="shared" si="12"/>
        <v>1308375.2</v>
      </c>
      <c r="T40" s="583" t="s">
        <v>840</v>
      </c>
      <c r="U40" s="348"/>
    </row>
    <row r="41" spans="1:21" s="393" customFormat="1" ht="11.85" customHeight="1">
      <c r="A41" s="498" t="s">
        <v>849</v>
      </c>
      <c r="B41" s="768">
        <f>251317+7482.2</f>
        <v>258799.2</v>
      </c>
      <c r="C41" s="768">
        <v>-31</v>
      </c>
      <c r="D41" s="432">
        <v>-11211.4</v>
      </c>
      <c r="E41" s="432">
        <f t="shared" si="6"/>
        <v>247556.80000000002</v>
      </c>
      <c r="F41" s="768">
        <f>10370.6+61246.3</f>
        <v>71616.900000000009</v>
      </c>
      <c r="G41" s="768">
        <v>-3204.9</v>
      </c>
      <c r="H41" s="432">
        <v>231297.9</v>
      </c>
      <c r="I41" s="432">
        <f t="shared" si="7"/>
        <v>299709.90000000002</v>
      </c>
      <c r="J41" s="768">
        <f>1601.1+10164.2</f>
        <v>11765.300000000001</v>
      </c>
      <c r="K41" s="768">
        <v>796.8</v>
      </c>
      <c r="L41" s="768">
        <f t="shared" si="8"/>
        <v>12562.1</v>
      </c>
      <c r="M41" s="768">
        <f>4011.1+851215.4</f>
        <v>855226.5</v>
      </c>
      <c r="N41" s="768">
        <v>88887.8</v>
      </c>
      <c r="O41" s="768">
        <f t="shared" si="9"/>
        <v>944114.3</v>
      </c>
      <c r="P41" s="768">
        <f t="shared" si="10"/>
        <v>1256386.3</v>
      </c>
      <c r="Q41" s="768">
        <v>-186921.1</v>
      </c>
      <c r="R41" s="768">
        <f t="shared" si="11"/>
        <v>1069465.2</v>
      </c>
      <c r="S41" s="768">
        <f t="shared" si="12"/>
        <v>1317022</v>
      </c>
      <c r="T41" s="545" t="s">
        <v>849</v>
      </c>
      <c r="U41" s="348"/>
    </row>
    <row r="42" spans="1:21" s="393" customFormat="1" ht="11.85" customHeight="1">
      <c r="A42" s="391" t="s">
        <v>850</v>
      </c>
      <c r="B42" s="734">
        <f>252375.2+8685.9</f>
        <v>261061.1</v>
      </c>
      <c r="C42" s="734">
        <v>-31</v>
      </c>
      <c r="D42" s="348">
        <v>-11349</v>
      </c>
      <c r="E42" s="348">
        <f t="shared" si="6"/>
        <v>249681.1</v>
      </c>
      <c r="F42" s="734">
        <f>10663.6+66005.1</f>
        <v>76668.700000000012</v>
      </c>
      <c r="G42" s="734">
        <v>-4002.6</v>
      </c>
      <c r="H42" s="348">
        <v>234598.5</v>
      </c>
      <c r="I42" s="348">
        <f t="shared" si="7"/>
        <v>307264.59999999998</v>
      </c>
      <c r="J42" s="734">
        <f>1602.7+10228.1</f>
        <v>11830.800000000001</v>
      </c>
      <c r="K42" s="734">
        <v>783.8</v>
      </c>
      <c r="L42" s="734">
        <f t="shared" si="8"/>
        <v>12614.6</v>
      </c>
      <c r="M42" s="734">
        <f>4046.1+861827.2</f>
        <v>865873.29999999993</v>
      </c>
      <c r="N42" s="734">
        <v>89498.7</v>
      </c>
      <c r="O42" s="734">
        <f t="shared" si="9"/>
        <v>955371.99999999988</v>
      </c>
      <c r="P42" s="734">
        <f t="shared" si="10"/>
        <v>1275251.1999999997</v>
      </c>
      <c r="Q42" s="734">
        <v>-185228.79999999999</v>
      </c>
      <c r="R42" s="734">
        <f t="shared" si="11"/>
        <v>1090022.3999999997</v>
      </c>
      <c r="S42" s="734">
        <f t="shared" si="12"/>
        <v>1339703.4999999998</v>
      </c>
      <c r="T42" s="583" t="s">
        <v>850</v>
      </c>
      <c r="U42" s="348"/>
    </row>
    <row r="43" spans="1:21" s="393" customFormat="1" ht="11.85" customHeight="1">
      <c r="A43" s="498" t="s">
        <v>841</v>
      </c>
      <c r="B43" s="1478">
        <f>253509.9+11164.6</f>
        <v>264674.5</v>
      </c>
      <c r="C43" s="768">
        <v>-20.5</v>
      </c>
      <c r="D43" s="432">
        <v>-11436.5</v>
      </c>
      <c r="E43" s="348">
        <f t="shared" si="6"/>
        <v>253217.5</v>
      </c>
      <c r="F43" s="768">
        <f>22572.2+72297.4</f>
        <v>94869.599999999991</v>
      </c>
      <c r="G43" s="768">
        <v>-3111.6</v>
      </c>
      <c r="H43" s="432">
        <v>237765</v>
      </c>
      <c r="I43" s="348">
        <f t="shared" si="7"/>
        <v>329523</v>
      </c>
      <c r="J43" s="768">
        <f>1604.3+9733.5</f>
        <v>11337.8</v>
      </c>
      <c r="K43" s="768">
        <v>787.8</v>
      </c>
      <c r="L43" s="734">
        <f t="shared" si="8"/>
        <v>12125.599999999999</v>
      </c>
      <c r="M43" s="768">
        <f>4152.2+876597.3</f>
        <v>880749.5</v>
      </c>
      <c r="N43" s="768">
        <v>89467</v>
      </c>
      <c r="O43" s="734">
        <f t="shared" si="9"/>
        <v>970216.5</v>
      </c>
      <c r="P43" s="734">
        <f t="shared" si="10"/>
        <v>1311865.1000000001</v>
      </c>
      <c r="Q43" s="768">
        <v>-191334.1</v>
      </c>
      <c r="R43" s="734">
        <f t="shared" si="11"/>
        <v>1120531</v>
      </c>
      <c r="S43" s="734">
        <f t="shared" si="12"/>
        <v>1373748.5</v>
      </c>
      <c r="T43" s="545" t="s">
        <v>841</v>
      </c>
      <c r="U43" s="348"/>
    </row>
    <row r="44" spans="1:21" s="393" customFormat="1" ht="11.85" customHeight="1">
      <c r="A44" s="558" t="s">
        <v>2585</v>
      </c>
      <c r="B44" s="734"/>
      <c r="C44" s="734"/>
      <c r="D44" s="348"/>
      <c r="E44" s="348"/>
      <c r="F44" s="734"/>
      <c r="G44" s="734"/>
      <c r="H44" s="348"/>
      <c r="I44" s="348"/>
      <c r="J44" s="734"/>
      <c r="K44" s="734"/>
      <c r="L44" s="734"/>
      <c r="M44" s="734"/>
      <c r="N44" s="734"/>
      <c r="O44" s="734"/>
      <c r="P44" s="734"/>
      <c r="Q44" s="734"/>
      <c r="R44" s="734"/>
      <c r="S44" s="734"/>
      <c r="T44" s="560" t="s">
        <v>2585</v>
      </c>
      <c r="U44" s="348"/>
    </row>
    <row r="45" spans="1:21" s="393" customFormat="1" ht="11.85" customHeight="1">
      <c r="A45" s="498" t="s">
        <v>843</v>
      </c>
      <c r="B45" s="768">
        <f>251973.1+11327.6</f>
        <v>263300.7</v>
      </c>
      <c r="C45" s="768">
        <v>-20.5</v>
      </c>
      <c r="D45" s="1555">
        <v>-11623.5</v>
      </c>
      <c r="E45" s="432">
        <f t="shared" si="6"/>
        <v>251656.7</v>
      </c>
      <c r="F45" s="768">
        <f>12131.7+85040</f>
        <v>97171.7</v>
      </c>
      <c r="G45" s="768">
        <v>-3154.5</v>
      </c>
      <c r="H45" s="432">
        <v>242800.7</v>
      </c>
      <c r="I45" s="432">
        <f t="shared" si="7"/>
        <v>336817.9</v>
      </c>
      <c r="J45" s="768">
        <f>1596.2+9946.9</f>
        <v>11543.1</v>
      </c>
      <c r="K45" s="768">
        <v>788.1</v>
      </c>
      <c r="L45" s="768">
        <f t="shared" si="8"/>
        <v>12331.2</v>
      </c>
      <c r="M45" s="768">
        <f>4119.1+870520</f>
        <v>874639.1</v>
      </c>
      <c r="N45" s="768">
        <v>88902.5</v>
      </c>
      <c r="O45" s="768">
        <f t="shared" si="9"/>
        <v>963541.6</v>
      </c>
      <c r="P45" s="768">
        <f t="shared" si="10"/>
        <v>1312690.7</v>
      </c>
      <c r="Q45" s="768">
        <v>-189656.9</v>
      </c>
      <c r="R45" s="768">
        <f t="shared" si="11"/>
        <v>1123033.8</v>
      </c>
      <c r="S45" s="432">
        <f t="shared" si="12"/>
        <v>1374690.5</v>
      </c>
      <c r="T45" s="545" t="s">
        <v>843</v>
      </c>
      <c r="U45" s="348"/>
    </row>
    <row r="46" spans="1:21" ht="11.85" customHeight="1">
      <c r="A46" s="391" t="s">
        <v>844</v>
      </c>
      <c r="B46" s="734">
        <f>254675.2+12613.9</f>
        <v>267289.10000000003</v>
      </c>
      <c r="C46" s="734">
        <v>-15.5</v>
      </c>
      <c r="D46" s="348">
        <v>-11712.5</v>
      </c>
      <c r="E46" s="348">
        <f t="shared" si="6"/>
        <v>255561.10000000003</v>
      </c>
      <c r="F46" s="734">
        <f>17116.9+84549.3</f>
        <v>101666.20000000001</v>
      </c>
      <c r="G46" s="734">
        <v>-3250.7</v>
      </c>
      <c r="H46" s="348">
        <v>246822.2</v>
      </c>
      <c r="I46" s="348">
        <f t="shared" si="7"/>
        <v>345237.7</v>
      </c>
      <c r="J46" s="734">
        <f>1597.8+9812.7</f>
        <v>11410.5</v>
      </c>
      <c r="K46" s="734">
        <v>783.4</v>
      </c>
      <c r="L46" s="734">
        <f t="shared" si="8"/>
        <v>12193.9</v>
      </c>
      <c r="M46" s="734">
        <f>4103.3+880066.1</f>
        <v>884169.4</v>
      </c>
      <c r="N46" s="734">
        <v>88786</v>
      </c>
      <c r="O46" s="734">
        <f t="shared" si="9"/>
        <v>972955.4</v>
      </c>
      <c r="P46" s="348">
        <f t="shared" si="10"/>
        <v>1330387</v>
      </c>
      <c r="Q46" s="348">
        <v>-189024.7</v>
      </c>
      <c r="R46" s="734">
        <f t="shared" si="11"/>
        <v>1141362.3</v>
      </c>
      <c r="S46" s="734">
        <f t="shared" si="12"/>
        <v>1396923.4000000001</v>
      </c>
      <c r="T46" s="583" t="s">
        <v>844</v>
      </c>
      <c r="U46" s="270"/>
    </row>
    <row r="47" spans="1:21" ht="11.85" customHeight="1">
      <c r="A47" s="498" t="s">
        <v>838</v>
      </c>
      <c r="B47" s="768">
        <f>251729.4+13507.3</f>
        <v>265236.7</v>
      </c>
      <c r="C47" s="768">
        <v>-15.5</v>
      </c>
      <c r="D47" s="432">
        <v>-11807.6</v>
      </c>
      <c r="E47" s="432">
        <f t="shared" si="6"/>
        <v>253413.6</v>
      </c>
      <c r="F47" s="768">
        <f>10446.5+85226.7</f>
        <v>95673.2</v>
      </c>
      <c r="G47" s="768">
        <v>-3249.3</v>
      </c>
      <c r="H47" s="432">
        <v>251177</v>
      </c>
      <c r="I47" s="432">
        <f t="shared" si="7"/>
        <v>343600.9</v>
      </c>
      <c r="J47" s="768">
        <f>1599.3+10042.8</f>
        <v>11642.099999999999</v>
      </c>
      <c r="K47" s="768">
        <v>780.9</v>
      </c>
      <c r="L47" s="768">
        <f t="shared" si="8"/>
        <v>12422.999999999998</v>
      </c>
      <c r="M47" s="768">
        <f>4057+888313.8</f>
        <v>892370.8</v>
      </c>
      <c r="N47" s="768">
        <v>89280.6</v>
      </c>
      <c r="O47" s="768">
        <f t="shared" si="9"/>
        <v>981651.4</v>
      </c>
      <c r="P47" s="432">
        <f t="shared" si="10"/>
        <v>1337675.3</v>
      </c>
      <c r="Q47" s="432">
        <v>-194276.8</v>
      </c>
      <c r="R47" s="432">
        <f t="shared" si="11"/>
        <v>1143398.5</v>
      </c>
      <c r="S47" s="432">
        <f t="shared" si="12"/>
        <v>1396812.1</v>
      </c>
      <c r="T47" s="545" t="s">
        <v>838</v>
      </c>
      <c r="U47" s="270"/>
    </row>
    <row r="48" spans="1:21" ht="11.85" customHeight="1" thickBot="1">
      <c r="A48" s="756" t="s">
        <v>845</v>
      </c>
      <c r="B48" s="1646">
        <f>248150.4+12242.9</f>
        <v>260393.3</v>
      </c>
      <c r="C48" s="1646">
        <v>-15.5</v>
      </c>
      <c r="D48" s="1105">
        <v>-11910.1</v>
      </c>
      <c r="E48" s="1105">
        <f t="shared" si="6"/>
        <v>248467.69999999998</v>
      </c>
      <c r="F48" s="1646">
        <f>14507.2+81151.7</f>
        <v>95658.9</v>
      </c>
      <c r="G48" s="1646">
        <v>-2776.5</v>
      </c>
      <c r="H48" s="1105">
        <v>255593.8</v>
      </c>
      <c r="I48" s="1105">
        <f t="shared" si="7"/>
        <v>348476.19999999995</v>
      </c>
      <c r="J48" s="1646">
        <f>1601.1+10562.4</f>
        <v>12163.5</v>
      </c>
      <c r="K48" s="1646">
        <v>782.2</v>
      </c>
      <c r="L48" s="1646">
        <f t="shared" si="8"/>
        <v>12945.7</v>
      </c>
      <c r="M48" s="1646">
        <f>4026.9+901582.4</f>
        <v>905609.3</v>
      </c>
      <c r="N48" s="1646">
        <v>89794.3</v>
      </c>
      <c r="O48" s="1646">
        <f t="shared" si="9"/>
        <v>995403.60000000009</v>
      </c>
      <c r="P48" s="1646">
        <f t="shared" si="10"/>
        <v>1356825.5</v>
      </c>
      <c r="Q48" s="1105">
        <v>-197398</v>
      </c>
      <c r="R48" s="1105">
        <f t="shared" si="11"/>
        <v>1159427.5</v>
      </c>
      <c r="S48" s="1105">
        <f t="shared" si="12"/>
        <v>1407895.2</v>
      </c>
      <c r="T48" s="1472" t="s">
        <v>845</v>
      </c>
      <c r="U48" s="270"/>
    </row>
    <row r="49" spans="1:21" ht="12" customHeight="1">
      <c r="A49" s="289" t="s">
        <v>2378</v>
      </c>
      <c r="B49" s="1872" t="s">
        <v>2173</v>
      </c>
      <c r="C49" s="1872"/>
      <c r="D49" s="1872"/>
      <c r="E49" s="1872"/>
      <c r="F49" s="1872"/>
      <c r="G49" s="402"/>
      <c r="H49" s="402"/>
      <c r="I49" s="402"/>
      <c r="J49" s="402"/>
      <c r="K49" s="402"/>
      <c r="L49" s="402"/>
      <c r="M49" s="288" t="s">
        <v>275</v>
      </c>
      <c r="N49" s="1859" t="s">
        <v>2362</v>
      </c>
      <c r="O49" s="1859"/>
      <c r="P49" s="1859"/>
      <c r="Q49" s="1859"/>
      <c r="R49" s="1859"/>
      <c r="S49" s="1859"/>
      <c r="T49" s="1859"/>
    </row>
    <row r="50" spans="1:21" ht="11.25" customHeight="1">
      <c r="B50" s="338"/>
      <c r="C50" s="801"/>
      <c r="D50" s="801"/>
      <c r="E50" s="801"/>
      <c r="F50" s="801"/>
      <c r="G50" s="801"/>
      <c r="H50" s="801"/>
      <c r="I50" s="801"/>
      <c r="J50" s="801"/>
      <c r="K50" s="801"/>
      <c r="L50" s="801"/>
      <c r="M50" s="794"/>
      <c r="N50" s="1851" t="s">
        <v>2427</v>
      </c>
      <c r="O50" s="1851"/>
      <c r="P50" s="1851"/>
      <c r="Q50" s="1851"/>
      <c r="R50" s="1851"/>
      <c r="S50" s="1851"/>
      <c r="T50" s="1851"/>
      <c r="U50" s="794"/>
    </row>
    <row r="51" spans="1:21" ht="10.5" customHeight="1">
      <c r="N51" s="1131" t="s">
        <v>2279</v>
      </c>
      <c r="O51" s="1110"/>
      <c r="P51" s="1110"/>
      <c r="Q51" s="402" t="s">
        <v>2278</v>
      </c>
      <c r="R51" s="1110"/>
      <c r="S51" s="1110"/>
      <c r="T51" s="1110"/>
    </row>
    <row r="52" spans="1:21" ht="12" customHeight="1">
      <c r="M52" s="289" t="s">
        <v>276</v>
      </c>
      <c r="N52" s="1872" t="s">
        <v>2173</v>
      </c>
      <c r="O52" s="1872"/>
      <c r="P52" s="1872"/>
      <c r="Q52" s="1872"/>
      <c r="R52" s="1872"/>
      <c r="S52" s="1872"/>
      <c r="T52" s="1872"/>
    </row>
    <row r="53" spans="1:21" ht="12" customHeight="1"/>
    <row r="54" spans="1:21" ht="12" customHeight="1"/>
    <row r="55" spans="1:21" ht="9.75" customHeight="1"/>
    <row r="66" spans="2:20"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</row>
    <row r="67" spans="2:20">
      <c r="B67" s="270"/>
      <c r="C67" s="270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</row>
    <row r="68" spans="2:20"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</row>
    <row r="69" spans="2:20"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</row>
    <row r="70" spans="2:20"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</row>
    <row r="71" spans="2:20"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</row>
    <row r="72" spans="2:20"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</row>
    <row r="73" spans="2:20"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</row>
    <row r="74" spans="2:20"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</row>
    <row r="75" spans="2:20"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</row>
    <row r="76" spans="2:20"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</row>
  </sheetData>
  <mergeCells count="28">
    <mergeCell ref="A3:A7"/>
    <mergeCell ref="E4:E6"/>
    <mergeCell ref="F5:I5"/>
    <mergeCell ref="B3:E3"/>
    <mergeCell ref="F4:L4"/>
    <mergeCell ref="D4:D6"/>
    <mergeCell ref="J5:L5"/>
    <mergeCell ref="F3:L3"/>
    <mergeCell ref="B49:F49"/>
    <mergeCell ref="N52:T52"/>
    <mergeCell ref="M5:M6"/>
    <mergeCell ref="N5:N6"/>
    <mergeCell ref="N50:T50"/>
    <mergeCell ref="N49:T49"/>
    <mergeCell ref="T3:T7"/>
    <mergeCell ref="P4:P6"/>
    <mergeCell ref="O5:O6"/>
    <mergeCell ref="R3:R6"/>
    <mergeCell ref="C4:C6"/>
    <mergeCell ref="B4:B6"/>
    <mergeCell ref="S1:T1"/>
    <mergeCell ref="M4:O4"/>
    <mergeCell ref="J1:L1"/>
    <mergeCell ref="M1:N1"/>
    <mergeCell ref="S3:S6"/>
    <mergeCell ref="S2:T2"/>
    <mergeCell ref="Q3:Q6"/>
    <mergeCell ref="M3:O3"/>
  </mergeCells>
  <phoneticPr fontId="0" type="noConversion"/>
  <conditionalFormatting sqref="A31 T31 T8:T18 B15:T15 A8:A18 B8:S48">
    <cfRule type="expression" dxfId="4" priority="75" stopIfTrue="1">
      <formula>MOD(ROW(),2)=1</formula>
    </cfRule>
  </conditionalFormatting>
  <conditionalFormatting sqref="A31 T31 T16:T18 A16:A18">
    <cfRule type="expression" dxfId="3" priority="69" stopIfTrue="1">
      <formula>MOD(ROW(),2)=1</formula>
    </cfRule>
    <cfRule type="expression" priority="70" stopIfTrue="1">
      <formula>MOD(ROW(),2)=1</formula>
    </cfRule>
  </conditionalFormatting>
  <conditionalFormatting sqref="A31 T31 T17:T18 A17:A18">
    <cfRule type="expression" priority="66" stopIfTrue="1">
      <formula>MOD(row,0)=0</formula>
    </cfRule>
  </conditionalFormatting>
  <conditionalFormatting sqref="A31 T17:T18 A17:A18">
    <cfRule type="expression" priority="61" stopIfTrue="1">
      <formula>MOD((((#REF!))),0)=0</formula>
    </cfRule>
  </conditionalFormatting>
  <conditionalFormatting sqref="T31">
    <cfRule type="expression" priority="15" stopIfTrue="1">
      <formula>MOD((((#REF!))),0)=0</formula>
    </cfRule>
  </conditionalFormatting>
  <conditionalFormatting sqref="B43:S45">
    <cfRule type="expression" dxfId="2" priority="2" stopIfTrue="1">
      <formula>MOD(ROW(),2)=1</formula>
    </cfRule>
  </conditionalFormatting>
  <pageMargins left="0.55118110236220497" right="0.47244094488188998" top="0.511811023622047" bottom="0.511811023622047" header="0" footer="0.39370078740157499"/>
  <pageSetup paperSize="141" firstPageNumber="18" orientation="portrait" useFirstPageNumber="1" r:id="rId1"/>
  <headerFooter alignWithMargins="0">
    <oddFooter>&amp;C&amp;"Times New Roman,Regular"&amp;8&amp;P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/>
  <dimension ref="A1:N84"/>
  <sheetViews>
    <sheetView zoomScale="150" zoomScaleNormal="150" workbookViewId="0">
      <pane xSplit="1" ySplit="5" topLeftCell="B42" activePane="bottomRight" state="frozen"/>
      <selection pane="topRight" activeCell="C1" sqref="C1"/>
      <selection pane="bottomLeft" activeCell="A6" sqref="A6"/>
      <selection pane="bottomRight" activeCell="J49" sqref="J49"/>
    </sheetView>
  </sheetViews>
  <sheetFormatPr defaultColWidth="9.140625" defaultRowHeight="12.75"/>
  <cols>
    <col min="1" max="1" width="8.85546875" style="651" customWidth="1"/>
    <col min="2" max="2" width="12.85546875" style="651" customWidth="1"/>
    <col min="3" max="3" width="13.5703125" style="651" customWidth="1"/>
    <col min="4" max="4" width="13" style="651" customWidth="1"/>
    <col min="5" max="5" width="14" style="651" customWidth="1"/>
    <col min="6" max="6" width="14.140625" style="651" customWidth="1"/>
    <col min="7" max="7" width="15.28515625" style="651" customWidth="1"/>
    <col min="8" max="8" width="14.85546875" style="651" customWidth="1"/>
    <col min="9" max="9" width="15.85546875" style="651" customWidth="1"/>
    <col min="10" max="10" width="16" style="651" customWidth="1"/>
    <col min="11" max="11" width="15.28515625" style="651" customWidth="1"/>
    <col min="12" max="16384" width="9.140625" style="651"/>
  </cols>
  <sheetData>
    <row r="1" spans="1:13" s="257" customFormat="1" ht="15.75">
      <c r="B1" s="795"/>
      <c r="C1" s="795"/>
      <c r="D1" s="1843" t="s">
        <v>1293</v>
      </c>
      <c r="E1" s="1843"/>
      <c r="F1" s="1843"/>
      <c r="G1" s="1849" t="s">
        <v>702</v>
      </c>
      <c r="H1" s="1849"/>
      <c r="I1" s="1849"/>
      <c r="J1" s="795"/>
      <c r="K1" s="769" t="s">
        <v>277</v>
      </c>
    </row>
    <row r="2" spans="1:13" s="260" customFormat="1" ht="12">
      <c r="F2" s="697"/>
      <c r="K2" s="697" t="s">
        <v>41</v>
      </c>
    </row>
    <row r="3" spans="1:13" s="260" customFormat="1" ht="15.75" customHeight="1">
      <c r="A3" s="1759" t="s">
        <v>1534</v>
      </c>
      <c r="B3" s="1738" t="s">
        <v>767</v>
      </c>
      <c r="C3" s="1738" t="s">
        <v>2059</v>
      </c>
      <c r="D3" s="1797" t="s">
        <v>1339</v>
      </c>
      <c r="E3" s="1809"/>
      <c r="F3" s="1798"/>
      <c r="G3" s="1797" t="s">
        <v>206</v>
      </c>
      <c r="H3" s="1809"/>
      <c r="I3" s="1798"/>
      <c r="J3" s="1738" t="s">
        <v>1236</v>
      </c>
      <c r="K3" s="1738" t="s">
        <v>1458</v>
      </c>
    </row>
    <row r="4" spans="1:13" s="260" customFormat="1" ht="15" customHeight="1">
      <c r="A4" s="1759"/>
      <c r="B4" s="1739"/>
      <c r="C4" s="1739"/>
      <c r="D4" s="1097" t="s">
        <v>652</v>
      </c>
      <c r="E4" s="1097" t="s">
        <v>761</v>
      </c>
      <c r="F4" s="1096" t="s">
        <v>655</v>
      </c>
      <c r="G4" s="1097" t="s">
        <v>652</v>
      </c>
      <c r="H4" s="1097" t="s">
        <v>761</v>
      </c>
      <c r="I4" s="1096" t="s">
        <v>760</v>
      </c>
      <c r="J4" s="1739"/>
      <c r="K4" s="1739"/>
    </row>
    <row r="5" spans="1:13" s="797" customFormat="1" ht="11.25" customHeight="1">
      <c r="A5" s="1759"/>
      <c r="B5" s="521">
        <v>1</v>
      </c>
      <c r="C5" s="521">
        <v>2</v>
      </c>
      <c r="D5" s="796">
        <v>3</v>
      </c>
      <c r="E5" s="774">
        <v>4</v>
      </c>
      <c r="F5" s="796" t="s">
        <v>278</v>
      </c>
      <c r="G5" s="521">
        <v>6</v>
      </c>
      <c r="H5" s="521">
        <v>7</v>
      </c>
      <c r="I5" s="521" t="s">
        <v>281</v>
      </c>
      <c r="J5" s="774">
        <v>9</v>
      </c>
      <c r="K5" s="774" t="s">
        <v>279</v>
      </c>
    </row>
    <row r="6" spans="1:13" s="797" customFormat="1" ht="13.5" customHeight="1">
      <c r="A6" s="213" t="s">
        <v>851</v>
      </c>
      <c r="B6" s="682">
        <v>79578.600000000006</v>
      </c>
      <c r="C6" s="79">
        <v>22.21</v>
      </c>
      <c r="D6" s="682">
        <v>1727.7</v>
      </c>
      <c r="E6" s="79">
        <v>737.35</v>
      </c>
      <c r="F6" s="79">
        <f t="shared" ref="F6" si="0">D6+E6</f>
        <v>2465.0500000000002</v>
      </c>
      <c r="G6" s="682">
        <v>14051</v>
      </c>
      <c r="H6" s="79">
        <v>116916.81</v>
      </c>
      <c r="I6" s="79">
        <f t="shared" ref="I6" si="1">G6+H6</f>
        <v>130967.81</v>
      </c>
      <c r="J6" s="79">
        <v>42629.83</v>
      </c>
      <c r="K6" s="79">
        <f t="shared" ref="K6" si="2">B6+C6+F6+I6+J6</f>
        <v>255663.5</v>
      </c>
    </row>
    <row r="7" spans="1:13" ht="13.5" customHeight="1">
      <c r="A7" s="461" t="s">
        <v>574</v>
      </c>
      <c r="B7" s="683">
        <v>92944.2</v>
      </c>
      <c r="C7" s="437">
        <v>18.88</v>
      </c>
      <c r="D7" s="683">
        <v>1580</v>
      </c>
      <c r="E7" s="437">
        <v>445.66</v>
      </c>
      <c r="F7" s="437">
        <f t="shared" ref="F7:F10" si="3">D7+E7</f>
        <v>2025.66</v>
      </c>
      <c r="G7" s="683">
        <v>8542</v>
      </c>
      <c r="H7" s="437">
        <v>149683.78</v>
      </c>
      <c r="I7" s="437">
        <f t="shared" ref="I7:I10" si="4">G7+H7</f>
        <v>158225.78</v>
      </c>
      <c r="J7" s="437">
        <v>49112.2</v>
      </c>
      <c r="K7" s="437">
        <f t="shared" ref="K7:K10" si="5">B7+C7+F7+I7+J7</f>
        <v>302326.72000000003</v>
      </c>
      <c r="M7" s="798"/>
    </row>
    <row r="8" spans="1:13" ht="13.5" customHeight="1">
      <c r="A8" s="213" t="s">
        <v>114</v>
      </c>
      <c r="B8" s="682">
        <v>107829.2</v>
      </c>
      <c r="C8" s="79">
        <v>15.42</v>
      </c>
      <c r="D8" s="682">
        <v>2050.9</v>
      </c>
      <c r="E8" s="79">
        <v>871.8</v>
      </c>
      <c r="F8" s="79">
        <f t="shared" si="3"/>
        <v>2922.7</v>
      </c>
      <c r="G8" s="682">
        <v>8889.1</v>
      </c>
      <c r="H8" s="79">
        <v>175104.43</v>
      </c>
      <c r="I8" s="79">
        <f t="shared" si="4"/>
        <v>183993.53</v>
      </c>
      <c r="J8" s="79">
        <v>53138.5</v>
      </c>
      <c r="K8" s="79">
        <f t="shared" si="5"/>
        <v>347899.35</v>
      </c>
      <c r="M8" s="798"/>
    </row>
    <row r="9" spans="1:13" ht="13.5" customHeight="1">
      <c r="A9" s="461" t="s">
        <v>110</v>
      </c>
      <c r="B9" s="683">
        <v>115781.9</v>
      </c>
      <c r="C9" s="437">
        <v>12.31</v>
      </c>
      <c r="D9" s="683">
        <v>1762.9</v>
      </c>
      <c r="E9" s="437">
        <v>855.33</v>
      </c>
      <c r="F9" s="437">
        <f t="shared" si="3"/>
        <v>2618.23</v>
      </c>
      <c r="G9" s="683">
        <v>11081.4</v>
      </c>
      <c r="H9" s="437">
        <v>215758.99</v>
      </c>
      <c r="I9" s="437">
        <f t="shared" si="4"/>
        <v>226840.38999999998</v>
      </c>
      <c r="J9" s="437">
        <v>68779.06</v>
      </c>
      <c r="K9" s="437">
        <f t="shared" si="5"/>
        <v>414031.88999999996</v>
      </c>
      <c r="M9" s="798"/>
    </row>
    <row r="10" spans="1:13" ht="13.5" customHeight="1">
      <c r="A10" s="213" t="s">
        <v>253</v>
      </c>
      <c r="B10" s="682">
        <v>137011.5</v>
      </c>
      <c r="C10" s="79">
        <v>9.4</v>
      </c>
      <c r="D10" s="682">
        <v>2162.1</v>
      </c>
      <c r="E10" s="79">
        <v>2320.9</v>
      </c>
      <c r="F10" s="79">
        <f t="shared" si="3"/>
        <v>4483</v>
      </c>
      <c r="G10" s="682">
        <v>14837.8</v>
      </c>
      <c r="H10" s="79">
        <v>273618.90000000002</v>
      </c>
      <c r="I10" s="79">
        <f t="shared" si="4"/>
        <v>288456.7</v>
      </c>
      <c r="J10" s="79">
        <v>83570.100000000006</v>
      </c>
      <c r="K10" s="79">
        <f t="shared" si="5"/>
        <v>513530.69999999995</v>
      </c>
      <c r="M10" s="798"/>
    </row>
    <row r="11" spans="1:13" ht="13.5" customHeight="1">
      <c r="A11" s="461" t="s">
        <v>1169</v>
      </c>
      <c r="B11" s="683">
        <v>155823.70000000001</v>
      </c>
      <c r="C11" s="437">
        <v>5.8</v>
      </c>
      <c r="D11" s="683">
        <v>2533.9</v>
      </c>
      <c r="E11" s="437">
        <v>3231.1</v>
      </c>
      <c r="F11" s="437">
        <v>5765</v>
      </c>
      <c r="G11" s="683">
        <v>12790.5</v>
      </c>
      <c r="H11" s="437">
        <v>334233.59999999998</v>
      </c>
      <c r="I11" s="437">
        <v>347024.1</v>
      </c>
      <c r="J11" s="437">
        <v>92021.6</v>
      </c>
      <c r="K11" s="437">
        <v>600640.19999999995</v>
      </c>
      <c r="M11" s="798"/>
    </row>
    <row r="12" spans="1:13" s="546" customFormat="1" ht="13.5" customHeight="1">
      <c r="A12" s="588" t="s">
        <v>1361</v>
      </c>
      <c r="B12" s="682">
        <v>174978.3</v>
      </c>
      <c r="C12" s="348">
        <v>2.2999999999999998</v>
      </c>
      <c r="D12" s="682">
        <v>3450</v>
      </c>
      <c r="E12" s="348">
        <v>5171.6000000000004</v>
      </c>
      <c r="F12" s="348">
        <v>8621.6</v>
      </c>
      <c r="G12" s="682">
        <v>5968.1</v>
      </c>
      <c r="H12" s="348">
        <v>371817.6</v>
      </c>
      <c r="I12" s="79">
        <v>377785.69999999995</v>
      </c>
      <c r="J12" s="348">
        <v>100452.9</v>
      </c>
      <c r="K12" s="79">
        <v>661840.79999999993</v>
      </c>
      <c r="M12" s="798"/>
    </row>
    <row r="13" spans="1:13" s="543" customFormat="1" ht="13.5" customHeight="1">
      <c r="A13" s="602" t="s">
        <v>1693</v>
      </c>
      <c r="B13" s="683">
        <v>194106.4</v>
      </c>
      <c r="C13" s="683">
        <v>0</v>
      </c>
      <c r="D13" s="683">
        <v>5184.7</v>
      </c>
      <c r="E13" s="683">
        <v>5839.1</v>
      </c>
      <c r="F13" s="683">
        <v>11023.8</v>
      </c>
      <c r="G13" s="683">
        <v>7468.8</v>
      </c>
      <c r="H13" s="683">
        <v>419702.1</v>
      </c>
      <c r="I13" s="683">
        <v>427170.89999999997</v>
      </c>
      <c r="J13" s="683">
        <v>112230.3</v>
      </c>
      <c r="K13" s="683">
        <v>744531.4</v>
      </c>
      <c r="L13" s="546"/>
      <c r="M13" s="798"/>
    </row>
    <row r="14" spans="1:13" s="543" customFormat="1" ht="13.5" customHeight="1">
      <c r="A14" s="588" t="s">
        <v>1795</v>
      </c>
      <c r="B14" s="687">
        <v>215482.2</v>
      </c>
      <c r="C14" s="687">
        <v>0</v>
      </c>
      <c r="D14" s="687">
        <v>5215.7</v>
      </c>
      <c r="E14" s="687">
        <v>7348.3</v>
      </c>
      <c r="F14" s="687">
        <v>12564</v>
      </c>
      <c r="G14" s="687">
        <v>11313.3</v>
      </c>
      <c r="H14" s="687">
        <v>475125.2</v>
      </c>
      <c r="I14" s="687">
        <v>486438.5</v>
      </c>
      <c r="J14" s="687">
        <v>124669.9</v>
      </c>
      <c r="K14" s="687">
        <v>839154.6</v>
      </c>
      <c r="M14" s="805"/>
    </row>
    <row r="15" spans="1:13" s="543" customFormat="1" ht="13.5" customHeight="1">
      <c r="A15" s="823" t="s">
        <v>1996</v>
      </c>
      <c r="B15" s="835">
        <v>252862.6</v>
      </c>
      <c r="C15" s="835">
        <v>0</v>
      </c>
      <c r="D15" s="835">
        <v>6541.6</v>
      </c>
      <c r="E15" s="835">
        <v>9916</v>
      </c>
      <c r="F15" s="835">
        <v>16457.599999999999</v>
      </c>
      <c r="G15" s="835">
        <v>9139.7000000000007</v>
      </c>
      <c r="H15" s="835">
        <v>565645.19999999995</v>
      </c>
      <c r="I15" s="835">
        <v>574784.89999999991</v>
      </c>
      <c r="J15" s="835">
        <v>135861.70000000001</v>
      </c>
      <c r="K15" s="835">
        <v>979966.79999999981</v>
      </c>
      <c r="M15" s="805"/>
    </row>
    <row r="16" spans="1:13" s="543" customFormat="1" ht="13.5" customHeight="1">
      <c r="A16" s="749" t="s">
        <v>2092</v>
      </c>
      <c r="B16" s="832">
        <f>B28</f>
        <v>288377.59999999998</v>
      </c>
      <c r="C16" s="832">
        <f t="shared" ref="C16:K16" si="6">C28</f>
        <v>0</v>
      </c>
      <c r="D16" s="832">
        <f t="shared" si="6"/>
        <v>7732.4</v>
      </c>
      <c r="E16" s="832">
        <f t="shared" si="6"/>
        <v>14235.7</v>
      </c>
      <c r="F16" s="832">
        <f t="shared" si="6"/>
        <v>21968.1</v>
      </c>
      <c r="G16" s="832">
        <f t="shared" si="6"/>
        <v>9154.4</v>
      </c>
      <c r="H16" s="832">
        <f t="shared" si="6"/>
        <v>651090.5</v>
      </c>
      <c r="I16" s="832">
        <f t="shared" si="6"/>
        <v>660244.9</v>
      </c>
      <c r="J16" s="832">
        <f t="shared" si="6"/>
        <v>159057.29999999999</v>
      </c>
      <c r="K16" s="832">
        <f t="shared" si="6"/>
        <v>1129647.8999999999</v>
      </c>
      <c r="M16" s="805"/>
    </row>
    <row r="17" spans="1:14" s="543" customFormat="1" ht="13.5" customHeight="1">
      <c r="A17" s="491" t="s">
        <v>843</v>
      </c>
      <c r="B17" s="681">
        <v>258856.3</v>
      </c>
      <c r="C17" s="681">
        <v>0</v>
      </c>
      <c r="D17" s="681">
        <v>6653.7</v>
      </c>
      <c r="E17" s="681">
        <v>10663.7</v>
      </c>
      <c r="F17" s="432">
        <f t="shared" ref="F17:F46" si="7">D17+E17</f>
        <v>17317.400000000001</v>
      </c>
      <c r="G17" s="681">
        <v>8989.2999999999993</v>
      </c>
      <c r="H17" s="681">
        <v>558983.69999999995</v>
      </c>
      <c r="I17" s="432">
        <f t="shared" ref="I17:I46" si="8">G17+H17</f>
        <v>567973</v>
      </c>
      <c r="J17" s="681">
        <v>136409.5</v>
      </c>
      <c r="K17" s="432">
        <f t="shared" ref="K17:K40" si="9">B17+C17+F17+I17+J17</f>
        <v>980556.2</v>
      </c>
      <c r="M17" s="805"/>
    </row>
    <row r="18" spans="1:14" s="543" customFormat="1" ht="13.5" customHeight="1">
      <c r="A18" s="1067" t="s">
        <v>844</v>
      </c>
      <c r="B18" s="687">
        <v>259794.4</v>
      </c>
      <c r="C18" s="687">
        <v>0</v>
      </c>
      <c r="D18" s="687">
        <v>6872.4</v>
      </c>
      <c r="E18" s="687">
        <v>10396.799999999999</v>
      </c>
      <c r="F18" s="348">
        <f t="shared" si="7"/>
        <v>17269.199999999997</v>
      </c>
      <c r="G18" s="687">
        <v>8879.2000000000007</v>
      </c>
      <c r="H18" s="687">
        <v>565938.69999999995</v>
      </c>
      <c r="I18" s="348">
        <f t="shared" si="8"/>
        <v>574817.89999999991</v>
      </c>
      <c r="J18" s="687">
        <v>136672.9</v>
      </c>
      <c r="K18" s="348">
        <f t="shared" si="9"/>
        <v>988554.39999999991</v>
      </c>
      <c r="M18" s="805"/>
    </row>
    <row r="19" spans="1:14" s="543" customFormat="1" ht="13.5" customHeight="1">
      <c r="A19" s="491" t="s">
        <v>838</v>
      </c>
      <c r="B19" s="681">
        <v>263999.40000000002</v>
      </c>
      <c r="C19" s="681">
        <v>0</v>
      </c>
      <c r="D19" s="681">
        <v>6687</v>
      </c>
      <c r="E19" s="681">
        <v>10154.1</v>
      </c>
      <c r="F19" s="432">
        <f t="shared" si="7"/>
        <v>16841.099999999999</v>
      </c>
      <c r="G19" s="681">
        <v>8862.1</v>
      </c>
      <c r="H19" s="681">
        <v>572227.19999999995</v>
      </c>
      <c r="I19" s="432">
        <f t="shared" si="8"/>
        <v>581089.29999999993</v>
      </c>
      <c r="J19" s="681">
        <v>139332.6</v>
      </c>
      <c r="K19" s="432">
        <f t="shared" si="9"/>
        <v>1001262.3999999999</v>
      </c>
      <c r="M19" s="805"/>
    </row>
    <row r="20" spans="1:14" s="543" customFormat="1" ht="13.5" customHeight="1">
      <c r="A20" s="1067" t="s">
        <v>845</v>
      </c>
      <c r="B20" s="687">
        <v>264588.79999999999</v>
      </c>
      <c r="C20" s="687">
        <v>0</v>
      </c>
      <c r="D20" s="687">
        <v>6514.7</v>
      </c>
      <c r="E20" s="687">
        <v>10154.799999999999</v>
      </c>
      <c r="F20" s="348">
        <f t="shared" si="7"/>
        <v>16669.5</v>
      </c>
      <c r="G20" s="687">
        <v>8540.6</v>
      </c>
      <c r="H20" s="687">
        <v>575676.6</v>
      </c>
      <c r="I20" s="348">
        <f t="shared" si="8"/>
        <v>584217.19999999995</v>
      </c>
      <c r="J20" s="687">
        <v>140848.5</v>
      </c>
      <c r="K20" s="348">
        <f t="shared" si="9"/>
        <v>1006324</v>
      </c>
      <c r="M20" s="805"/>
    </row>
    <row r="21" spans="1:14" s="543" customFormat="1" ht="13.5" customHeight="1">
      <c r="A21" s="491" t="s">
        <v>846</v>
      </c>
      <c r="B21" s="681">
        <v>267623.5</v>
      </c>
      <c r="C21" s="681">
        <v>0</v>
      </c>
      <c r="D21" s="681">
        <v>6875.1</v>
      </c>
      <c r="E21" s="681">
        <v>10504.5</v>
      </c>
      <c r="F21" s="432">
        <f t="shared" si="7"/>
        <v>17379.599999999999</v>
      </c>
      <c r="G21" s="681">
        <v>8482.2000000000007</v>
      </c>
      <c r="H21" s="681">
        <v>583493.4</v>
      </c>
      <c r="I21" s="432">
        <f t="shared" si="8"/>
        <v>591975.6</v>
      </c>
      <c r="J21" s="681">
        <v>142776</v>
      </c>
      <c r="K21" s="432">
        <f t="shared" si="9"/>
        <v>1019754.7</v>
      </c>
      <c r="M21" s="805"/>
    </row>
    <row r="22" spans="1:14" s="543" customFormat="1" ht="13.5" customHeight="1">
      <c r="A22" s="1067" t="s">
        <v>839</v>
      </c>
      <c r="B22" s="687">
        <v>260775.60000000003</v>
      </c>
      <c r="C22" s="687">
        <v>0</v>
      </c>
      <c r="D22" s="687">
        <v>7136.1</v>
      </c>
      <c r="E22" s="687">
        <v>12435.8</v>
      </c>
      <c r="F22" s="348">
        <f t="shared" si="7"/>
        <v>19571.900000000001</v>
      </c>
      <c r="G22" s="687">
        <v>8850.9</v>
      </c>
      <c r="H22" s="687">
        <v>601417.19999999995</v>
      </c>
      <c r="I22" s="687">
        <f t="shared" si="8"/>
        <v>610268.1</v>
      </c>
      <c r="J22" s="687">
        <v>146069.70000000001</v>
      </c>
      <c r="K22" s="348">
        <f t="shared" si="9"/>
        <v>1036685.3</v>
      </c>
      <c r="M22" s="805"/>
    </row>
    <row r="23" spans="1:14" s="543" customFormat="1" ht="13.5" customHeight="1">
      <c r="A23" s="491" t="s">
        <v>847</v>
      </c>
      <c r="B23" s="681">
        <v>263924.5</v>
      </c>
      <c r="C23" s="681">
        <v>0</v>
      </c>
      <c r="D23" s="681">
        <v>7019.1</v>
      </c>
      <c r="E23" s="681">
        <v>12518.5</v>
      </c>
      <c r="F23" s="432">
        <f t="shared" si="7"/>
        <v>19537.599999999999</v>
      </c>
      <c r="G23" s="681">
        <v>8827.2999999999993</v>
      </c>
      <c r="H23" s="681">
        <v>602487.80000000005</v>
      </c>
      <c r="I23" s="681">
        <f t="shared" si="8"/>
        <v>611315.10000000009</v>
      </c>
      <c r="J23" s="681">
        <v>147438.20000000001</v>
      </c>
      <c r="K23" s="432">
        <f t="shared" si="9"/>
        <v>1042215.4000000001</v>
      </c>
      <c r="M23" s="805"/>
    </row>
    <row r="24" spans="1:14" s="543" customFormat="1" ht="13.5" customHeight="1">
      <c r="A24" s="1067" t="s">
        <v>848</v>
      </c>
      <c r="B24" s="687">
        <v>265447.90000000002</v>
      </c>
      <c r="C24" s="687">
        <v>0</v>
      </c>
      <c r="D24" s="687">
        <v>7029.4</v>
      </c>
      <c r="E24" s="687">
        <v>12577.5</v>
      </c>
      <c r="F24" s="348">
        <f t="shared" si="7"/>
        <v>19606.900000000001</v>
      </c>
      <c r="G24" s="687">
        <v>8234.6</v>
      </c>
      <c r="H24" s="687">
        <v>609796.9</v>
      </c>
      <c r="I24" s="687">
        <f t="shared" si="8"/>
        <v>618031.5</v>
      </c>
      <c r="J24" s="347">
        <v>149253.79999999999</v>
      </c>
      <c r="K24" s="348">
        <f t="shared" si="9"/>
        <v>1052340.1000000001</v>
      </c>
      <c r="M24" s="805"/>
    </row>
    <row r="25" spans="1:14" s="543" customFormat="1" ht="13.5" customHeight="1">
      <c r="A25" s="491" t="s">
        <v>840</v>
      </c>
      <c r="B25" s="681">
        <v>266620.5</v>
      </c>
      <c r="C25" s="681">
        <v>0</v>
      </c>
      <c r="D25" s="681">
        <v>7003.9</v>
      </c>
      <c r="E25" s="681">
        <v>12729.5</v>
      </c>
      <c r="F25" s="432">
        <f t="shared" si="7"/>
        <v>19733.400000000001</v>
      </c>
      <c r="G25" s="681">
        <v>8888.6</v>
      </c>
      <c r="H25" s="681">
        <v>619239</v>
      </c>
      <c r="I25" s="681">
        <f t="shared" si="8"/>
        <v>628127.6</v>
      </c>
      <c r="J25" s="431">
        <v>151373.9</v>
      </c>
      <c r="K25" s="432">
        <f t="shared" si="9"/>
        <v>1065855.3999999999</v>
      </c>
      <c r="M25" s="805"/>
    </row>
    <row r="26" spans="1:14" s="543" customFormat="1" ht="13.5" customHeight="1">
      <c r="A26" s="1067" t="s">
        <v>849</v>
      </c>
      <c r="B26" s="687">
        <v>264924.90000000002</v>
      </c>
      <c r="C26" s="687">
        <v>0</v>
      </c>
      <c r="D26" s="687">
        <v>7402.6</v>
      </c>
      <c r="E26" s="687">
        <v>13784.7</v>
      </c>
      <c r="F26" s="348">
        <f t="shared" si="7"/>
        <v>21187.300000000003</v>
      </c>
      <c r="G26" s="687">
        <v>9067.2999999999993</v>
      </c>
      <c r="H26" s="687">
        <v>627434.6</v>
      </c>
      <c r="I26" s="687">
        <f t="shared" si="8"/>
        <v>636501.9</v>
      </c>
      <c r="J26" s="347">
        <v>153656.20000000001</v>
      </c>
      <c r="K26" s="348">
        <f t="shared" si="9"/>
        <v>1076270.3</v>
      </c>
      <c r="M26" s="805"/>
    </row>
    <row r="27" spans="1:14" s="543" customFormat="1" ht="13.5" customHeight="1">
      <c r="A27" s="491" t="s">
        <v>850</v>
      </c>
      <c r="B27" s="681">
        <v>268213.69999999995</v>
      </c>
      <c r="C27" s="681">
        <v>0</v>
      </c>
      <c r="D27" s="681">
        <v>7798.7</v>
      </c>
      <c r="E27" s="681">
        <v>13368.2</v>
      </c>
      <c r="F27" s="432">
        <f t="shared" si="7"/>
        <v>21166.9</v>
      </c>
      <c r="G27" s="681">
        <v>9199</v>
      </c>
      <c r="H27" s="681">
        <v>637053</v>
      </c>
      <c r="I27" s="681">
        <f t="shared" si="8"/>
        <v>646252</v>
      </c>
      <c r="J27" s="431">
        <v>155482.70000000001</v>
      </c>
      <c r="K27" s="432">
        <f t="shared" si="9"/>
        <v>1091115.3</v>
      </c>
      <c r="M27" s="805"/>
    </row>
    <row r="28" spans="1:14" s="543" customFormat="1" ht="13.5" customHeight="1">
      <c r="A28" s="1067" t="s">
        <v>841</v>
      </c>
      <c r="B28" s="687">
        <v>288377.59999999998</v>
      </c>
      <c r="C28" s="687">
        <v>0</v>
      </c>
      <c r="D28" s="687">
        <v>7732.4</v>
      </c>
      <c r="E28" s="687">
        <v>14235.7</v>
      </c>
      <c r="F28" s="348">
        <f t="shared" si="7"/>
        <v>21968.1</v>
      </c>
      <c r="G28" s="687">
        <v>9154.4</v>
      </c>
      <c r="H28" s="687">
        <v>651090.5</v>
      </c>
      <c r="I28" s="687">
        <f t="shared" si="8"/>
        <v>660244.9</v>
      </c>
      <c r="J28" s="347">
        <v>159057.29999999999</v>
      </c>
      <c r="K28" s="348">
        <f t="shared" si="9"/>
        <v>1129647.8999999999</v>
      </c>
      <c r="M28" s="805"/>
      <c r="N28" s="804"/>
    </row>
    <row r="29" spans="1:14" s="543" customFormat="1" ht="13.5" customHeight="1">
      <c r="A29" s="855" t="s">
        <v>2320</v>
      </c>
      <c r="B29" s="835">
        <f>B41</f>
        <v>329523</v>
      </c>
      <c r="C29" s="835">
        <f t="shared" ref="C29:J29" si="10">C41</f>
        <v>0</v>
      </c>
      <c r="D29" s="835">
        <f t="shared" si="10"/>
        <v>1415.9</v>
      </c>
      <c r="E29" s="835">
        <f t="shared" si="10"/>
        <v>20902.7</v>
      </c>
      <c r="F29" s="835">
        <f t="shared" si="10"/>
        <v>22318.600000000002</v>
      </c>
      <c r="G29" s="835">
        <f t="shared" si="10"/>
        <v>10709.7</v>
      </c>
      <c r="H29" s="835">
        <f t="shared" si="10"/>
        <v>766225.4</v>
      </c>
      <c r="I29" s="835">
        <f t="shared" si="10"/>
        <v>776935.1</v>
      </c>
      <c r="J29" s="835">
        <f t="shared" si="10"/>
        <v>183088.4</v>
      </c>
      <c r="K29" s="835">
        <f>K41</f>
        <v>1311865.0999999999</v>
      </c>
      <c r="M29" s="805"/>
      <c r="N29" s="804"/>
    </row>
    <row r="30" spans="1:14" s="543" customFormat="1" ht="13.5" customHeight="1">
      <c r="A30" s="1067" t="s">
        <v>843</v>
      </c>
      <c r="B30" s="687">
        <v>287398.80000000005</v>
      </c>
      <c r="C30" s="687">
        <v>0</v>
      </c>
      <c r="D30" s="687">
        <v>5731</v>
      </c>
      <c r="E30" s="687">
        <v>22366.5</v>
      </c>
      <c r="F30" s="348">
        <f t="shared" si="7"/>
        <v>28097.5</v>
      </c>
      <c r="G30" s="687">
        <v>9740.2000000000007</v>
      </c>
      <c r="H30" s="687">
        <v>653699.19999999995</v>
      </c>
      <c r="I30" s="687">
        <f t="shared" si="8"/>
        <v>663439.39999999991</v>
      </c>
      <c r="J30" s="347">
        <v>159360.29999999999</v>
      </c>
      <c r="K30" s="348">
        <f t="shared" si="9"/>
        <v>1138296</v>
      </c>
      <c r="M30" s="805"/>
      <c r="N30" s="804"/>
    </row>
    <row r="31" spans="1:14" s="543" customFormat="1" ht="13.5" customHeight="1">
      <c r="A31" s="491" t="s">
        <v>844</v>
      </c>
      <c r="B31" s="681">
        <v>297903.89999999997</v>
      </c>
      <c r="C31" s="681">
        <v>0</v>
      </c>
      <c r="D31" s="681">
        <v>3372.1</v>
      </c>
      <c r="E31" s="681">
        <v>23429.3</v>
      </c>
      <c r="F31" s="432">
        <f t="shared" si="7"/>
        <v>26801.399999999998</v>
      </c>
      <c r="G31" s="681">
        <v>9628</v>
      </c>
      <c r="H31" s="681">
        <v>665110.5</v>
      </c>
      <c r="I31" s="681">
        <f t="shared" si="8"/>
        <v>674738.5</v>
      </c>
      <c r="J31" s="431">
        <v>161237.9</v>
      </c>
      <c r="K31" s="432">
        <f t="shared" si="9"/>
        <v>1160681.7</v>
      </c>
      <c r="M31" s="805"/>
      <c r="N31" s="804"/>
    </row>
    <row r="32" spans="1:14" s="543" customFormat="1" ht="13.5" customHeight="1">
      <c r="A32" s="1067" t="s">
        <v>838</v>
      </c>
      <c r="B32" s="687">
        <v>295026.40000000002</v>
      </c>
      <c r="C32" s="687">
        <v>0</v>
      </c>
      <c r="D32" s="687">
        <v>1611</v>
      </c>
      <c r="E32" s="687">
        <v>15995.4</v>
      </c>
      <c r="F32" s="687">
        <f t="shared" si="7"/>
        <v>17606.400000000001</v>
      </c>
      <c r="G32" s="687">
        <v>9680.4</v>
      </c>
      <c r="H32" s="687">
        <v>681442.3</v>
      </c>
      <c r="I32" s="687">
        <f t="shared" si="8"/>
        <v>691122.70000000007</v>
      </c>
      <c r="J32" s="347">
        <v>163216.70000000001</v>
      </c>
      <c r="K32" s="347">
        <f t="shared" si="9"/>
        <v>1166972.2000000002</v>
      </c>
      <c r="M32" s="805"/>
      <c r="N32" s="804"/>
    </row>
    <row r="33" spans="1:14" s="543" customFormat="1" ht="13.5" customHeight="1">
      <c r="A33" s="491" t="s">
        <v>845</v>
      </c>
      <c r="B33" s="681">
        <v>297386.7</v>
      </c>
      <c r="C33" s="681">
        <v>0</v>
      </c>
      <c r="D33" s="681">
        <v>1272.8</v>
      </c>
      <c r="E33" s="681">
        <v>16128.7</v>
      </c>
      <c r="F33" s="681">
        <f t="shared" si="7"/>
        <v>17401.5</v>
      </c>
      <c r="G33" s="681">
        <v>9890.9</v>
      </c>
      <c r="H33" s="681">
        <v>690478.3</v>
      </c>
      <c r="I33" s="681">
        <f t="shared" si="8"/>
        <v>700369.20000000007</v>
      </c>
      <c r="J33" s="431">
        <v>166151.5</v>
      </c>
      <c r="K33" s="431">
        <f t="shared" si="9"/>
        <v>1181308.9000000001</v>
      </c>
      <c r="M33" s="805"/>
      <c r="N33" s="804"/>
    </row>
    <row r="34" spans="1:14" s="543" customFormat="1" ht="13.5" customHeight="1">
      <c r="A34" s="1067" t="s">
        <v>846</v>
      </c>
      <c r="B34" s="687">
        <v>309438</v>
      </c>
      <c r="C34" s="687">
        <v>0</v>
      </c>
      <c r="D34" s="687">
        <v>1275.5999999999999</v>
      </c>
      <c r="E34" s="687">
        <v>16453.900000000001</v>
      </c>
      <c r="F34" s="687">
        <f t="shared" si="7"/>
        <v>17729.5</v>
      </c>
      <c r="G34" s="687">
        <v>10083.4</v>
      </c>
      <c r="H34" s="687">
        <v>702363.2</v>
      </c>
      <c r="I34" s="687">
        <f t="shared" si="8"/>
        <v>712446.6</v>
      </c>
      <c r="J34" s="347">
        <v>168754</v>
      </c>
      <c r="K34" s="347">
        <f t="shared" si="9"/>
        <v>1208368.1000000001</v>
      </c>
      <c r="M34" s="805"/>
      <c r="N34" s="804"/>
    </row>
    <row r="35" spans="1:14" s="543" customFormat="1" ht="13.5" customHeight="1">
      <c r="A35" s="491" t="s">
        <v>839</v>
      </c>
      <c r="B35" s="681">
        <v>299184.5</v>
      </c>
      <c r="C35" s="681">
        <v>0</v>
      </c>
      <c r="D35" s="681">
        <v>1278</v>
      </c>
      <c r="E35" s="681">
        <v>17100.900000000001</v>
      </c>
      <c r="F35" s="681">
        <f t="shared" si="7"/>
        <v>18378.900000000001</v>
      </c>
      <c r="G35" s="681">
        <v>10454.4</v>
      </c>
      <c r="H35" s="681">
        <v>717200</v>
      </c>
      <c r="I35" s="681">
        <f t="shared" si="8"/>
        <v>727654.40000000002</v>
      </c>
      <c r="J35" s="431">
        <v>172922.5</v>
      </c>
      <c r="K35" s="431">
        <f t="shared" si="9"/>
        <v>1218140.3</v>
      </c>
      <c r="M35" s="805"/>
      <c r="N35" s="804"/>
    </row>
    <row r="36" spans="1:14" s="543" customFormat="1" ht="13.5" customHeight="1">
      <c r="A36" s="1067" t="s">
        <v>847</v>
      </c>
      <c r="B36" s="687">
        <v>298083.09999999998</v>
      </c>
      <c r="C36" s="687">
        <v>0</v>
      </c>
      <c r="D36" s="687">
        <v>1270.0999999999999</v>
      </c>
      <c r="E36" s="687">
        <v>18066.8</v>
      </c>
      <c r="F36" s="687">
        <f t="shared" si="7"/>
        <v>19336.899999999998</v>
      </c>
      <c r="G36" s="687">
        <v>10157.700000000001</v>
      </c>
      <c r="H36" s="687">
        <v>720538.7</v>
      </c>
      <c r="I36" s="687">
        <f t="shared" si="8"/>
        <v>730696.39999999991</v>
      </c>
      <c r="J36" s="347">
        <v>175115</v>
      </c>
      <c r="K36" s="347">
        <f t="shared" si="9"/>
        <v>1223231.3999999999</v>
      </c>
      <c r="M36" s="805"/>
      <c r="N36" s="804"/>
    </row>
    <row r="37" spans="1:14" s="543" customFormat="1" ht="13.5" customHeight="1">
      <c r="A37" s="491" t="s">
        <v>848</v>
      </c>
      <c r="B37" s="681">
        <v>296258.5</v>
      </c>
      <c r="C37" s="681">
        <v>0</v>
      </c>
      <c r="D37" s="681">
        <v>1420.6</v>
      </c>
      <c r="E37" s="681">
        <v>19898.3</v>
      </c>
      <c r="F37" s="681">
        <f t="shared" si="7"/>
        <v>21318.899999999998</v>
      </c>
      <c r="G37" s="681">
        <v>10328</v>
      </c>
      <c r="H37" s="681">
        <v>728423.7</v>
      </c>
      <c r="I37" s="681">
        <f t="shared" si="8"/>
        <v>738751.7</v>
      </c>
      <c r="J37" s="431">
        <v>177190.5</v>
      </c>
      <c r="K37" s="431">
        <f t="shared" si="9"/>
        <v>1233519.6000000001</v>
      </c>
      <c r="M37" s="805"/>
      <c r="N37" s="804"/>
    </row>
    <row r="38" spans="1:14" s="543" customFormat="1" ht="13.5" customHeight="1">
      <c r="A38" s="1067" t="s">
        <v>840</v>
      </c>
      <c r="B38" s="687">
        <v>299363.90000000002</v>
      </c>
      <c r="C38" s="687">
        <v>0</v>
      </c>
      <c r="D38" s="687">
        <v>1419.5</v>
      </c>
      <c r="E38" s="687">
        <v>20563.5</v>
      </c>
      <c r="F38" s="687">
        <f t="shared" si="7"/>
        <v>21983</v>
      </c>
      <c r="G38" s="687">
        <v>10157.1</v>
      </c>
      <c r="H38" s="687">
        <v>736241.3</v>
      </c>
      <c r="I38" s="687">
        <f t="shared" si="8"/>
        <v>746398.4</v>
      </c>
      <c r="J38" s="347">
        <v>177931.5</v>
      </c>
      <c r="K38" s="347">
        <f t="shared" si="9"/>
        <v>1245676.8</v>
      </c>
      <c r="M38" s="805"/>
      <c r="N38" s="804"/>
    </row>
    <row r="39" spans="1:14" s="543" customFormat="1" ht="13.5" customHeight="1">
      <c r="A39" s="491" t="s">
        <v>849</v>
      </c>
      <c r="B39" s="681">
        <v>299709.90000000002</v>
      </c>
      <c r="C39" s="681">
        <v>0</v>
      </c>
      <c r="D39" s="681">
        <v>1391.5</v>
      </c>
      <c r="E39" s="681">
        <v>20351.400000000001</v>
      </c>
      <c r="F39" s="681">
        <f t="shared" si="7"/>
        <v>21742.9</v>
      </c>
      <c r="G39" s="681">
        <v>11170.6</v>
      </c>
      <c r="H39" s="681">
        <v>744557.4</v>
      </c>
      <c r="I39" s="681">
        <f t="shared" si="8"/>
        <v>755728</v>
      </c>
      <c r="J39" s="431">
        <v>179205.5</v>
      </c>
      <c r="K39" s="431">
        <f t="shared" si="9"/>
        <v>1256386.3</v>
      </c>
      <c r="M39" s="805"/>
      <c r="N39" s="804"/>
    </row>
    <row r="40" spans="1:14" s="543" customFormat="1" ht="13.5" customHeight="1">
      <c r="A40" s="1067" t="s">
        <v>850</v>
      </c>
      <c r="B40" s="687">
        <v>307264.59999999998</v>
      </c>
      <c r="C40" s="687">
        <v>0</v>
      </c>
      <c r="D40" s="687">
        <v>1394.7</v>
      </c>
      <c r="E40" s="687">
        <v>20577.900000000001</v>
      </c>
      <c r="F40" s="687">
        <f t="shared" si="7"/>
        <v>21972.600000000002</v>
      </c>
      <c r="G40" s="687">
        <v>11219.9</v>
      </c>
      <c r="H40" s="687">
        <v>754610.4</v>
      </c>
      <c r="I40" s="687">
        <f t="shared" si="8"/>
        <v>765830.3</v>
      </c>
      <c r="J40" s="347">
        <v>180183.69999999978</v>
      </c>
      <c r="K40" s="347">
        <f t="shared" si="9"/>
        <v>1275251.1999999997</v>
      </c>
      <c r="M40" s="805"/>
      <c r="N40" s="804"/>
    </row>
    <row r="41" spans="1:14" s="543" customFormat="1" ht="13.5" customHeight="1">
      <c r="A41" s="491" t="s">
        <v>841</v>
      </c>
      <c r="B41" s="681">
        <v>329523</v>
      </c>
      <c r="C41" s="681">
        <v>0</v>
      </c>
      <c r="D41" s="681">
        <v>1415.9</v>
      </c>
      <c r="E41" s="681">
        <v>20902.7</v>
      </c>
      <c r="F41" s="681">
        <f t="shared" si="7"/>
        <v>22318.600000000002</v>
      </c>
      <c r="G41" s="681">
        <v>10709.7</v>
      </c>
      <c r="H41" s="681">
        <v>766225.4</v>
      </c>
      <c r="I41" s="681">
        <f t="shared" si="8"/>
        <v>776935.1</v>
      </c>
      <c r="J41" s="431">
        <v>183088.4</v>
      </c>
      <c r="K41" s="431">
        <f>B41+C41+F41+I41+J41</f>
        <v>1311865.0999999999</v>
      </c>
      <c r="M41" s="805"/>
      <c r="N41" s="804"/>
    </row>
    <row r="42" spans="1:14" s="269" customFormat="1" ht="13.5" customHeight="1">
      <c r="A42" s="1282" t="s">
        <v>2585</v>
      </c>
      <c r="B42" s="687"/>
      <c r="C42" s="687"/>
      <c r="D42" s="687"/>
      <c r="E42" s="687"/>
      <c r="F42" s="687"/>
      <c r="G42" s="687"/>
      <c r="H42" s="687"/>
      <c r="I42" s="687"/>
      <c r="J42" s="347"/>
      <c r="K42" s="347"/>
    </row>
    <row r="43" spans="1:14" s="338" customFormat="1" ht="13.5" customHeight="1">
      <c r="A43" s="491" t="s">
        <v>843</v>
      </c>
      <c r="B43" s="681">
        <v>336817.9</v>
      </c>
      <c r="C43" s="681">
        <v>0</v>
      </c>
      <c r="D43" s="681">
        <v>1508.4</v>
      </c>
      <c r="E43" s="681">
        <v>20318.099999999999</v>
      </c>
      <c r="F43" s="681">
        <f t="shared" si="7"/>
        <v>21826.5</v>
      </c>
      <c r="G43" s="681">
        <v>10822.8</v>
      </c>
      <c r="H43" s="681">
        <v>761097.5</v>
      </c>
      <c r="I43" s="681">
        <f t="shared" si="8"/>
        <v>771920.3</v>
      </c>
      <c r="J43" s="431">
        <v>182126</v>
      </c>
      <c r="K43" s="431">
        <f t="shared" ref="K43:K46" si="11">B43+C43+F43+I43+J43</f>
        <v>1312690.7000000002</v>
      </c>
    </row>
    <row r="44" spans="1:14">
      <c r="A44" s="1067" t="s">
        <v>844</v>
      </c>
      <c r="B44" s="687">
        <v>345237.7</v>
      </c>
      <c r="C44" s="687">
        <v>0</v>
      </c>
      <c r="D44" s="687">
        <v>1393</v>
      </c>
      <c r="E44" s="687">
        <v>20807.8</v>
      </c>
      <c r="F44" s="687">
        <f t="shared" si="7"/>
        <v>22200.799999999999</v>
      </c>
      <c r="G44" s="687">
        <v>10800.9</v>
      </c>
      <c r="H44" s="687">
        <v>770069</v>
      </c>
      <c r="I44" s="687">
        <f t="shared" si="8"/>
        <v>780869.9</v>
      </c>
      <c r="J44" s="347">
        <v>182078.6</v>
      </c>
      <c r="K44" s="347">
        <f t="shared" si="11"/>
        <v>1330387</v>
      </c>
      <c r="L44" s="798"/>
    </row>
    <row r="45" spans="1:14">
      <c r="A45" s="491" t="s">
        <v>838</v>
      </c>
      <c r="B45" s="681">
        <v>343600.9</v>
      </c>
      <c r="C45" s="681">
        <v>0</v>
      </c>
      <c r="D45" s="681">
        <v>1393.8</v>
      </c>
      <c r="E45" s="681">
        <v>21309.4</v>
      </c>
      <c r="F45" s="681">
        <f t="shared" si="7"/>
        <v>22703.200000000001</v>
      </c>
      <c r="G45" s="681">
        <v>11029.2</v>
      </c>
      <c r="H45" s="681">
        <v>776926.9</v>
      </c>
      <c r="I45" s="681">
        <f t="shared" si="8"/>
        <v>787956.1</v>
      </c>
      <c r="J45" s="431">
        <v>183415.1</v>
      </c>
      <c r="K45" s="431">
        <f t="shared" si="11"/>
        <v>1337675.3</v>
      </c>
      <c r="L45" s="798"/>
    </row>
    <row r="46" spans="1:14" ht="13.5" thickBot="1">
      <c r="A46" s="1647" t="s">
        <v>845</v>
      </c>
      <c r="B46" s="1422">
        <v>348476.19999999995</v>
      </c>
      <c r="C46" s="1422">
        <v>0</v>
      </c>
      <c r="D46" s="1422">
        <v>1396.3</v>
      </c>
      <c r="E46" s="1422">
        <v>21541.200000000001</v>
      </c>
      <c r="F46" s="1422">
        <f t="shared" si="7"/>
        <v>22937.5</v>
      </c>
      <c r="G46" s="1422">
        <v>11549.4</v>
      </c>
      <c r="H46" s="1422">
        <v>788084.5</v>
      </c>
      <c r="I46" s="1422">
        <f t="shared" si="8"/>
        <v>799633.9</v>
      </c>
      <c r="J46" s="1648">
        <v>185777.9</v>
      </c>
      <c r="K46" s="1648">
        <f t="shared" si="11"/>
        <v>1356825.5</v>
      </c>
      <c r="L46" s="798"/>
    </row>
    <row r="47" spans="1:14" s="720" customFormat="1">
      <c r="A47" s="799" t="s">
        <v>280</v>
      </c>
      <c r="B47" s="402" t="s">
        <v>2425</v>
      </c>
      <c r="C47" s="402"/>
      <c r="D47" s="402"/>
      <c r="E47" s="402"/>
      <c r="F47" s="402"/>
      <c r="G47" s="800" t="s">
        <v>2174</v>
      </c>
      <c r="H47" s="801"/>
      <c r="I47" s="801"/>
      <c r="J47" s="801"/>
      <c r="K47" s="801"/>
      <c r="L47" s="798"/>
    </row>
    <row r="48" spans="1:14" s="1008" customFormat="1">
      <c r="A48" s="338"/>
      <c r="B48" s="1851" t="s">
        <v>2392</v>
      </c>
      <c r="C48" s="1851"/>
      <c r="D48" s="1851"/>
      <c r="E48" s="1851"/>
      <c r="F48" s="1851"/>
      <c r="G48" s="403"/>
      <c r="H48" s="403"/>
      <c r="I48" s="403"/>
      <c r="J48" s="403"/>
      <c r="K48" s="403"/>
      <c r="L48" s="798"/>
      <c r="M48" s="1457"/>
    </row>
    <row r="49" spans="1:13" s="720" customFormat="1">
      <c r="A49" s="651"/>
      <c r="B49" s="651"/>
      <c r="C49" s="651"/>
      <c r="D49" s="651"/>
      <c r="E49" s="651"/>
      <c r="F49" s="651"/>
      <c r="G49" s="651"/>
      <c r="H49" s="651"/>
      <c r="I49" s="651"/>
      <c r="J49" s="798"/>
      <c r="K49" s="651"/>
      <c r="L49" s="798"/>
      <c r="M49" s="1457"/>
    </row>
    <row r="50" spans="1:13" s="720" customFormat="1">
      <c r="B50" s="651"/>
      <c r="C50" s="798"/>
      <c r="D50" s="651"/>
      <c r="E50" s="651"/>
      <c r="F50" s="651"/>
      <c r="G50" s="651"/>
      <c r="H50" s="651"/>
      <c r="I50" s="651"/>
      <c r="J50" s="651"/>
      <c r="K50" s="798"/>
      <c r="L50" s="798"/>
      <c r="M50" s="1462"/>
    </row>
    <row r="51" spans="1:13" s="720" customFormat="1">
      <c r="B51" s="651"/>
      <c r="C51" s="798"/>
      <c r="D51" s="651"/>
      <c r="E51" s="651"/>
      <c r="F51" s="651"/>
      <c r="G51" s="651"/>
      <c r="H51" s="651"/>
      <c r="I51" s="651"/>
      <c r="J51" s="651"/>
      <c r="K51" s="798"/>
      <c r="L51" s="798"/>
      <c r="M51" s="1463"/>
    </row>
    <row r="52" spans="1:13" s="720" customFormat="1">
      <c r="C52" s="798"/>
      <c r="K52" s="798"/>
      <c r="L52" s="798"/>
      <c r="M52" s="1462"/>
    </row>
    <row r="53" spans="1:13" s="720" customFormat="1">
      <c r="C53" s="798"/>
      <c r="D53" s="805"/>
      <c r="E53" s="805"/>
      <c r="F53" s="805"/>
      <c r="G53" s="805"/>
      <c r="H53" s="805"/>
      <c r="I53" s="805"/>
      <c r="J53" s="805"/>
      <c r="K53" s="798"/>
      <c r="L53" s="798"/>
      <c r="M53" s="1462"/>
    </row>
    <row r="54" spans="1:13" s="720" customFormat="1">
      <c r="C54" s="798"/>
      <c r="D54" s="805"/>
      <c r="E54" s="805"/>
      <c r="F54" s="805"/>
      <c r="G54" s="805"/>
      <c r="H54" s="805"/>
      <c r="I54" s="805"/>
      <c r="J54" s="805"/>
      <c r="K54" s="798"/>
      <c r="L54" s="798"/>
      <c r="M54" s="1462"/>
    </row>
    <row r="55" spans="1:13" s="720" customFormat="1">
      <c r="B55" s="805"/>
      <c r="C55" s="798"/>
      <c r="D55" s="805"/>
      <c r="E55" s="805"/>
      <c r="F55" s="805"/>
      <c r="G55" s="805"/>
      <c r="H55" s="805"/>
      <c r="I55" s="805"/>
      <c r="J55" s="805"/>
      <c r="K55" s="798"/>
      <c r="L55" s="798"/>
      <c r="M55" s="1462"/>
    </row>
    <row r="56" spans="1:13" s="720" customFormat="1">
      <c r="C56" s="798"/>
      <c r="D56" s="805"/>
      <c r="E56" s="805"/>
      <c r="F56" s="805"/>
      <c r="G56" s="805"/>
      <c r="H56" s="805"/>
      <c r="I56" s="805"/>
      <c r="K56" s="798"/>
      <c r="L56" s="805"/>
      <c r="M56" s="1457"/>
    </row>
    <row r="57" spans="1:13" s="720" customFormat="1">
      <c r="C57" s="798"/>
      <c r="D57" s="805"/>
      <c r="E57" s="805"/>
      <c r="F57" s="805"/>
      <c r="G57" s="805"/>
      <c r="H57" s="805"/>
      <c r="I57" s="805"/>
      <c r="K57" s="798"/>
      <c r="L57" s="805"/>
      <c r="M57" s="1457"/>
    </row>
    <row r="58" spans="1:13" s="720" customFormat="1">
      <c r="C58" s="798"/>
      <c r="D58" s="805"/>
      <c r="E58" s="805"/>
      <c r="F58" s="805"/>
      <c r="G58" s="805"/>
      <c r="H58" s="805"/>
      <c r="I58" s="805"/>
      <c r="K58" s="798"/>
      <c r="L58" s="805"/>
    </row>
    <row r="59" spans="1:13" s="720" customFormat="1">
      <c r="C59" s="798"/>
      <c r="D59" s="805"/>
      <c r="E59" s="805"/>
      <c r="F59" s="805"/>
      <c r="G59" s="805"/>
      <c r="H59" s="805"/>
      <c r="I59" s="805"/>
      <c r="K59" s="798"/>
      <c r="L59" s="805"/>
    </row>
    <row r="60" spans="1:13" s="720" customFormat="1">
      <c r="C60" s="805"/>
      <c r="D60" s="805"/>
      <c r="E60" s="805"/>
      <c r="F60" s="805"/>
      <c r="G60" s="805"/>
      <c r="H60" s="805"/>
      <c r="I60" s="805"/>
      <c r="K60" s="798"/>
      <c r="L60" s="805"/>
    </row>
    <row r="61" spans="1:13">
      <c r="A61" s="720"/>
      <c r="B61" s="720"/>
      <c r="C61" s="805"/>
      <c r="D61" s="805"/>
      <c r="E61" s="805"/>
      <c r="F61" s="805"/>
      <c r="G61" s="805"/>
      <c r="H61" s="805"/>
      <c r="I61" s="805"/>
      <c r="J61" s="805"/>
      <c r="K61" s="720"/>
      <c r="L61" s="805"/>
    </row>
    <row r="62" spans="1:13">
      <c r="A62" s="720"/>
      <c r="B62" s="720"/>
      <c r="C62" s="805"/>
      <c r="D62" s="805"/>
      <c r="E62" s="805"/>
      <c r="F62" s="805"/>
      <c r="G62" s="805"/>
      <c r="H62" s="805"/>
      <c r="I62" s="805"/>
      <c r="J62" s="805"/>
      <c r="K62" s="720"/>
      <c r="L62" s="805"/>
    </row>
    <row r="63" spans="1:13">
      <c r="A63" s="720"/>
      <c r="B63" s="720"/>
      <c r="C63" s="805"/>
      <c r="D63" s="805"/>
      <c r="E63" s="805"/>
      <c r="F63" s="805"/>
      <c r="G63" s="805"/>
      <c r="H63" s="805"/>
      <c r="I63" s="805"/>
      <c r="J63" s="805"/>
      <c r="K63" s="720"/>
      <c r="L63" s="805"/>
    </row>
    <row r="64" spans="1:13">
      <c r="C64" s="805"/>
      <c r="D64" s="805"/>
      <c r="E64" s="805"/>
      <c r="F64" s="798"/>
      <c r="G64" s="805"/>
      <c r="H64" s="805"/>
      <c r="I64" s="798"/>
      <c r="J64" s="805"/>
      <c r="L64" s="805"/>
    </row>
    <row r="65" spans="2:12">
      <c r="C65" s="805"/>
      <c r="D65" s="805"/>
      <c r="E65" s="805"/>
      <c r="F65" s="798"/>
      <c r="G65" s="805"/>
      <c r="H65" s="805"/>
      <c r="I65" s="798"/>
      <c r="J65" s="805"/>
      <c r="L65" s="805"/>
    </row>
    <row r="66" spans="2:12">
      <c r="C66" s="805"/>
      <c r="D66" s="805"/>
      <c r="E66" s="805"/>
      <c r="G66" s="805"/>
      <c r="H66" s="805"/>
      <c r="J66" s="805"/>
      <c r="L66" s="805"/>
    </row>
    <row r="67" spans="2:12">
      <c r="C67" s="805"/>
      <c r="D67" s="805"/>
      <c r="E67" s="805"/>
      <c r="G67" s="805"/>
      <c r="H67" s="805"/>
      <c r="J67" s="805"/>
      <c r="L67" s="805"/>
    </row>
    <row r="68" spans="2:12">
      <c r="C68" s="805"/>
      <c r="D68" s="805"/>
      <c r="E68" s="805"/>
      <c r="G68" s="805"/>
      <c r="H68" s="805"/>
      <c r="J68" s="805"/>
      <c r="L68" s="805"/>
    </row>
    <row r="69" spans="2:12">
      <c r="C69" s="805"/>
      <c r="D69" s="805"/>
      <c r="E69" s="805"/>
      <c r="G69" s="805"/>
      <c r="H69" s="805"/>
      <c r="J69" s="805"/>
      <c r="L69" s="805"/>
    </row>
    <row r="70" spans="2:12">
      <c r="C70" s="805"/>
      <c r="D70" s="805"/>
      <c r="E70" s="805"/>
      <c r="G70" s="805"/>
      <c r="H70" s="805"/>
      <c r="J70" s="805"/>
      <c r="L70" s="805"/>
    </row>
    <row r="71" spans="2:12">
      <c r="C71" s="805"/>
      <c r="D71" s="805"/>
      <c r="E71" s="805"/>
      <c r="G71" s="805"/>
      <c r="H71" s="805"/>
      <c r="J71" s="805"/>
      <c r="L71" s="805"/>
    </row>
    <row r="72" spans="2:12">
      <c r="C72" s="805"/>
      <c r="D72" s="805"/>
      <c r="E72" s="805"/>
      <c r="G72" s="805"/>
      <c r="H72" s="805"/>
      <c r="J72" s="805"/>
    </row>
    <row r="73" spans="2:12">
      <c r="C73" s="805"/>
      <c r="D73" s="805"/>
      <c r="E73" s="805"/>
      <c r="G73" s="805"/>
      <c r="H73" s="805"/>
    </row>
    <row r="74" spans="2:12">
      <c r="B74" s="798"/>
      <c r="C74" s="798"/>
      <c r="D74" s="798"/>
      <c r="E74" s="798"/>
      <c r="F74" s="798"/>
      <c r="G74" s="798"/>
      <c r="H74" s="798"/>
      <c r="I74" s="798"/>
      <c r="J74" s="798"/>
      <c r="K74" s="798"/>
    </row>
    <row r="75" spans="2:12">
      <c r="B75" s="798"/>
      <c r="C75" s="798"/>
      <c r="D75" s="798"/>
      <c r="E75" s="798"/>
      <c r="F75" s="798"/>
      <c r="G75" s="798"/>
      <c r="H75" s="798"/>
      <c r="I75" s="798"/>
      <c r="J75" s="798"/>
      <c r="K75" s="798"/>
    </row>
    <row r="76" spans="2:12">
      <c r="B76" s="798"/>
      <c r="C76" s="798"/>
      <c r="D76" s="798"/>
      <c r="E76" s="798"/>
      <c r="F76" s="798"/>
      <c r="G76" s="798"/>
      <c r="H76" s="798"/>
      <c r="I76" s="798"/>
      <c r="J76" s="798"/>
      <c r="K76" s="798"/>
    </row>
    <row r="77" spans="2:12">
      <c r="B77" s="798"/>
      <c r="C77" s="798"/>
      <c r="D77" s="798"/>
      <c r="E77" s="798"/>
      <c r="F77" s="798"/>
      <c r="G77" s="798"/>
      <c r="H77" s="798"/>
      <c r="I77" s="798"/>
      <c r="J77" s="798"/>
      <c r="K77" s="798"/>
    </row>
    <row r="78" spans="2:12">
      <c r="B78" s="798"/>
      <c r="C78" s="798"/>
      <c r="D78" s="798"/>
      <c r="E78" s="798"/>
      <c r="F78" s="798"/>
      <c r="G78" s="798"/>
      <c r="H78" s="798"/>
      <c r="I78" s="798"/>
      <c r="J78" s="798"/>
      <c r="K78" s="798"/>
    </row>
    <row r="79" spans="2:12">
      <c r="B79" s="798"/>
      <c r="C79" s="798"/>
      <c r="D79" s="798"/>
      <c r="E79" s="798"/>
      <c r="F79" s="798"/>
      <c r="G79" s="798"/>
      <c r="H79" s="798"/>
      <c r="I79" s="798"/>
      <c r="J79" s="798"/>
      <c r="K79" s="798"/>
    </row>
    <row r="80" spans="2:12">
      <c r="B80" s="798"/>
      <c r="C80" s="798"/>
      <c r="D80" s="798"/>
      <c r="E80" s="798"/>
      <c r="F80" s="798"/>
      <c r="G80" s="798"/>
      <c r="H80" s="798"/>
      <c r="I80" s="798"/>
      <c r="J80" s="798"/>
      <c r="K80" s="798"/>
    </row>
    <row r="81" spans="2:11">
      <c r="B81" s="798"/>
      <c r="C81" s="798"/>
      <c r="D81" s="798"/>
      <c r="E81" s="798"/>
      <c r="F81" s="798"/>
      <c r="G81" s="798"/>
      <c r="H81" s="798"/>
      <c r="I81" s="798"/>
      <c r="J81" s="798"/>
      <c r="K81" s="798"/>
    </row>
    <row r="82" spans="2:11">
      <c r="B82" s="798"/>
      <c r="C82" s="798"/>
      <c r="D82" s="798"/>
      <c r="E82" s="798"/>
      <c r="F82" s="798"/>
      <c r="G82" s="798"/>
      <c r="H82" s="798"/>
      <c r="I82" s="798"/>
      <c r="J82" s="798"/>
      <c r="K82" s="798"/>
    </row>
    <row r="83" spans="2:11">
      <c r="B83" s="798"/>
      <c r="C83" s="798"/>
      <c r="D83" s="798"/>
      <c r="E83" s="798"/>
      <c r="F83" s="798"/>
      <c r="G83" s="798"/>
      <c r="H83" s="798"/>
      <c r="I83" s="798"/>
      <c r="J83" s="798"/>
      <c r="K83" s="798"/>
    </row>
    <row r="84" spans="2:11">
      <c r="B84" s="798"/>
      <c r="C84" s="798"/>
      <c r="D84" s="798"/>
      <c r="E84" s="798"/>
      <c r="F84" s="798"/>
      <c r="G84" s="798"/>
      <c r="H84" s="798"/>
      <c r="I84" s="798"/>
      <c r="J84" s="798"/>
      <c r="K84" s="798"/>
    </row>
  </sheetData>
  <mergeCells count="10">
    <mergeCell ref="K3:K4"/>
    <mergeCell ref="G3:I3"/>
    <mergeCell ref="B48:F48"/>
    <mergeCell ref="B3:B4"/>
    <mergeCell ref="A3:A5"/>
    <mergeCell ref="G1:I1"/>
    <mergeCell ref="J3:J4"/>
    <mergeCell ref="D1:F1"/>
    <mergeCell ref="C3:C4"/>
    <mergeCell ref="D3:F3"/>
  </mergeCells>
  <phoneticPr fontId="4" type="noConversion"/>
  <conditionalFormatting sqref="A29 B6:K13 A6:A16">
    <cfRule type="expression" dxfId="1" priority="20" stopIfTrue="1">
      <formula>MOD(ROW(),2)=1</formula>
    </cfRule>
  </conditionalFormatting>
  <conditionalFormatting sqref="A29 A16">
    <cfRule type="expression" dxfId="0" priority="15" stopIfTrue="1">
      <formula>MOD(ROW(),2)=1</formula>
    </cfRule>
    <cfRule type="expression" priority="16" stopIfTrue="1">
      <formula>MOD(ROW(),2)=1</formula>
    </cfRule>
  </conditionalFormatting>
  <conditionalFormatting sqref="A29 A16">
    <cfRule type="expression" priority="14" stopIfTrue="1">
      <formula>MOD(row,0)=0</formula>
    </cfRule>
  </conditionalFormatting>
  <conditionalFormatting sqref="A29 A16">
    <cfRule type="expression" priority="13" stopIfTrue="1">
      <formula>MOD((((#REF!))),0)=0</formula>
    </cfRule>
  </conditionalFormatting>
  <pageMargins left="0.62992125984252001" right="0.511811023622047" top="0.511811023622047" bottom="0.31496062992126" header="0" footer="0.31496062992126"/>
  <pageSetup paperSize="141" firstPageNumber="20" orientation="portrait" useFirstPageNumber="1" r:id="rId1"/>
  <headerFooter alignWithMargins="0">
    <oddFooter>&amp;C&amp;"Times New Roman,Regular"&amp;8&amp;P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/>
  <dimension ref="A1:BV53"/>
  <sheetViews>
    <sheetView zoomScale="120" zoomScaleNormal="120" workbookViewId="0">
      <pane xSplit="2" ySplit="8" topLeftCell="BD45" activePane="bottomRight" state="frozen"/>
      <selection pane="topRight" activeCell="C1" sqref="C1"/>
      <selection pane="bottomLeft" activeCell="A9" sqref="A9"/>
      <selection pane="bottomRight" activeCell="AX47" sqref="AX47:AX51"/>
    </sheetView>
  </sheetViews>
  <sheetFormatPr defaultColWidth="9.140625" defaultRowHeight="12.75"/>
  <cols>
    <col min="1" max="1" width="2.140625" style="877" customWidth="1"/>
    <col min="2" max="2" width="5" style="877" customWidth="1"/>
    <col min="3" max="4" width="7.7109375" style="877" customWidth="1"/>
    <col min="5" max="5" width="6.140625" style="877" customWidth="1"/>
    <col min="6" max="6" width="5.5703125" style="877" customWidth="1"/>
    <col min="7" max="7" width="7.42578125" style="877" customWidth="1"/>
    <col min="8" max="8" width="7.85546875" style="877" customWidth="1"/>
    <col min="9" max="9" width="7.42578125" style="877" customWidth="1"/>
    <col min="10" max="10" width="7.28515625" style="877" customWidth="1"/>
    <col min="11" max="11" width="6.7109375" style="877" customWidth="1"/>
    <col min="12" max="12" width="6.85546875" style="877" customWidth="1"/>
    <col min="13" max="13" width="5.85546875" style="877" customWidth="1"/>
    <col min="14" max="14" width="5.42578125" style="877" customWidth="1"/>
    <col min="15" max="15" width="7.140625" style="877" customWidth="1"/>
    <col min="16" max="16" width="5.42578125" style="877" customWidth="1"/>
    <col min="17" max="17" width="6.7109375" style="877" customWidth="1"/>
    <col min="18" max="18" width="6" style="877" customWidth="1"/>
    <col min="19" max="19" width="5.7109375" style="877" customWidth="1"/>
    <col min="20" max="20" width="5.42578125" style="877" customWidth="1"/>
    <col min="21" max="21" width="6" style="877" customWidth="1"/>
    <col min="22" max="22" width="5.140625" style="877" customWidth="1"/>
    <col min="23" max="23" width="7.42578125" style="877" customWidth="1"/>
    <col min="24" max="24" width="5.42578125" style="877" customWidth="1"/>
    <col min="25" max="25" width="7.7109375" style="877" customWidth="1"/>
    <col min="26" max="26" width="2.140625" style="939" customWidth="1"/>
    <col min="27" max="27" width="5" style="877" customWidth="1"/>
    <col min="28" max="28" width="8.42578125" style="877" customWidth="1"/>
    <col min="29" max="29" width="6.85546875" style="877" customWidth="1"/>
    <col min="30" max="30" width="5" style="877" customWidth="1"/>
    <col min="31" max="31" width="4.85546875" style="877" customWidth="1"/>
    <col min="32" max="32" width="6.85546875" style="877" customWidth="1"/>
    <col min="33" max="33" width="5.7109375" style="877" customWidth="1"/>
    <col min="34" max="34" width="6.42578125" style="877" customWidth="1"/>
    <col min="35" max="35" width="5" style="877" customWidth="1"/>
    <col min="36" max="36" width="6.7109375" style="877" customWidth="1"/>
    <col min="37" max="37" width="4.140625" style="877" customWidth="1"/>
    <col min="38" max="38" width="6.5703125" style="877" customWidth="1"/>
    <col min="39" max="39" width="6.140625" style="877" customWidth="1"/>
    <col min="40" max="40" width="9.140625" style="877" customWidth="1"/>
    <col min="41" max="41" width="8.140625" style="877" customWidth="1"/>
    <col min="42" max="42" width="8.5703125" style="877" customWidth="1"/>
    <col min="43" max="43" width="7.140625" style="877" customWidth="1"/>
    <col min="44" max="44" width="7.85546875" style="877" customWidth="1"/>
    <col min="45" max="45" width="6.5703125" style="877" customWidth="1"/>
    <col min="46" max="47" width="7.7109375" style="877" customWidth="1"/>
    <col min="48" max="48" width="8.5703125" style="877" customWidth="1"/>
    <col min="49" max="49" width="8.28515625" style="877" customWidth="1"/>
    <col min="50" max="50" width="2.140625" style="939" customWidth="1"/>
    <col min="51" max="51" width="4.7109375" style="877" customWidth="1"/>
    <col min="52" max="52" width="5.85546875" style="877" customWidth="1"/>
    <col min="53" max="53" width="4.7109375" style="877" customWidth="1"/>
    <col min="54" max="54" width="6.85546875" style="877" customWidth="1"/>
    <col min="55" max="55" width="6.140625" style="877" customWidth="1"/>
    <col min="56" max="56" width="8" style="877" customWidth="1"/>
    <col min="57" max="57" width="6.5703125" style="877" customWidth="1"/>
    <col min="58" max="58" width="6.42578125" style="877" customWidth="1"/>
    <col min="59" max="59" width="7.5703125" style="877" customWidth="1"/>
    <col min="60" max="60" width="6.85546875" style="877" customWidth="1"/>
    <col min="61" max="61" width="7" style="877" customWidth="1"/>
    <col min="62" max="62" width="8" style="877" customWidth="1"/>
    <col min="63" max="63" width="7.140625" style="877" customWidth="1"/>
    <col min="64" max="64" width="6.28515625" style="877" customWidth="1"/>
    <col min="65" max="65" width="6.5703125" style="877" customWidth="1"/>
    <col min="66" max="66" width="8.28515625" style="877" customWidth="1"/>
    <col min="67" max="67" width="6.85546875" style="877" customWidth="1"/>
    <col min="68" max="68" width="8.28515625" style="877" customWidth="1"/>
    <col min="69" max="69" width="4.85546875" style="877" customWidth="1"/>
    <col min="70" max="70" width="7.140625" style="877" customWidth="1"/>
    <col min="71" max="71" width="5.5703125" style="877" customWidth="1"/>
    <col min="72" max="72" width="6.7109375" style="877" customWidth="1"/>
    <col min="73" max="73" width="6" style="877" customWidth="1"/>
    <col min="74" max="74" width="5.85546875" style="877" customWidth="1"/>
    <col min="75" max="16384" width="9.140625" style="877"/>
  </cols>
  <sheetData>
    <row r="1" spans="1:74" s="860" customFormat="1" ht="33" customHeight="1">
      <c r="H1" s="1885" t="s">
        <v>1869</v>
      </c>
      <c r="I1" s="1885"/>
      <c r="J1" s="1885"/>
      <c r="K1" s="1885"/>
      <c r="L1" s="1885"/>
      <c r="M1" s="1885"/>
      <c r="N1" s="1885"/>
      <c r="O1" s="1885"/>
      <c r="P1" s="1885"/>
      <c r="Q1" s="1885"/>
      <c r="R1" s="1885"/>
      <c r="S1" s="1885"/>
      <c r="V1" s="1884" t="s">
        <v>1920</v>
      </c>
      <c r="W1" s="1884"/>
      <c r="X1" s="1884"/>
      <c r="Y1" s="1884"/>
      <c r="Z1" s="940"/>
      <c r="AH1" s="1885" t="s">
        <v>2582</v>
      </c>
      <c r="AI1" s="1885"/>
      <c r="AJ1" s="1885"/>
      <c r="AK1" s="1885"/>
      <c r="AL1" s="1885"/>
      <c r="AM1" s="1885"/>
      <c r="AN1" s="1885"/>
      <c r="AO1" s="1885"/>
      <c r="AP1" s="1885"/>
      <c r="AQ1" s="1885"/>
      <c r="AR1" s="1885"/>
      <c r="AT1" s="1884" t="s">
        <v>1920</v>
      </c>
      <c r="AU1" s="1884"/>
      <c r="AV1" s="1884"/>
      <c r="AW1" s="1884"/>
      <c r="AX1" s="940"/>
      <c r="BD1" s="861"/>
      <c r="BE1" s="861"/>
      <c r="BF1" s="861"/>
      <c r="BG1" s="1885" t="s">
        <v>1915</v>
      </c>
      <c r="BH1" s="1885"/>
      <c r="BI1" s="1885"/>
      <c r="BJ1" s="1885"/>
      <c r="BK1" s="1885"/>
      <c r="BL1" s="1885"/>
      <c r="BM1" s="1885"/>
      <c r="BN1" s="1885"/>
      <c r="BO1" s="1885"/>
      <c r="BP1" s="861"/>
      <c r="BQ1" s="861"/>
      <c r="BS1" s="1884" t="s">
        <v>1924</v>
      </c>
      <c r="BT1" s="1884"/>
      <c r="BU1" s="1884"/>
      <c r="BV1" s="1884"/>
    </row>
    <row r="2" spans="1:74" s="862" customFormat="1" ht="11.25" customHeight="1">
      <c r="J2" s="863"/>
      <c r="K2" s="864"/>
      <c r="L2" s="864"/>
      <c r="M2" s="864"/>
      <c r="N2" s="864"/>
      <c r="O2" s="864"/>
      <c r="P2" s="864"/>
      <c r="Q2" s="864"/>
      <c r="R2" s="864"/>
      <c r="S2" s="864"/>
      <c r="T2" s="865"/>
      <c r="U2" s="865"/>
      <c r="V2" s="866"/>
      <c r="W2" s="866"/>
      <c r="X2" s="866"/>
      <c r="Y2" s="866"/>
      <c r="Z2" s="941"/>
      <c r="AH2" s="864"/>
      <c r="AI2" s="864"/>
      <c r="AJ2" s="864"/>
      <c r="AK2" s="864"/>
      <c r="AL2" s="864"/>
      <c r="AM2" s="864"/>
      <c r="AN2" s="864"/>
      <c r="AO2" s="864"/>
      <c r="AP2" s="865"/>
      <c r="AQ2" s="865"/>
      <c r="AR2" s="865"/>
      <c r="AS2" s="865"/>
      <c r="AT2" s="866"/>
      <c r="AU2" s="866"/>
      <c r="AV2" s="866"/>
      <c r="AW2" s="866"/>
      <c r="AX2" s="941"/>
      <c r="BC2" s="864"/>
      <c r="BD2" s="864"/>
      <c r="BE2" s="864"/>
      <c r="BF2" s="864"/>
      <c r="BG2" s="864"/>
      <c r="BH2" s="864"/>
      <c r="BI2" s="864"/>
      <c r="BM2" s="863"/>
      <c r="BN2" s="863"/>
      <c r="BO2" s="863"/>
      <c r="BP2" s="863"/>
      <c r="BQ2" s="863"/>
      <c r="BR2" s="860"/>
      <c r="BT2" s="867"/>
      <c r="BU2" s="866"/>
      <c r="BV2" s="866"/>
    </row>
    <row r="3" spans="1:74" s="868" customFormat="1" ht="12.75" customHeight="1">
      <c r="A3" s="1891" t="s">
        <v>1870</v>
      </c>
      <c r="B3" s="1892"/>
      <c r="C3" s="1905" t="s">
        <v>1871</v>
      </c>
      <c r="D3" s="1905"/>
      <c r="E3" s="1905"/>
      <c r="F3" s="1905"/>
      <c r="G3" s="1905"/>
      <c r="H3" s="1905"/>
      <c r="I3" s="1887" t="s">
        <v>1872</v>
      </c>
      <c r="J3" s="1887"/>
      <c r="K3" s="1919" t="s">
        <v>1926</v>
      </c>
      <c r="L3" s="1920"/>
      <c r="M3" s="1920"/>
      <c r="N3" s="1920"/>
      <c r="O3" s="1920"/>
      <c r="P3" s="1920"/>
      <c r="Q3" s="1920"/>
      <c r="R3" s="1920"/>
      <c r="S3" s="1920"/>
      <c r="T3" s="1920"/>
      <c r="U3" s="1920"/>
      <c r="V3" s="1920"/>
      <c r="W3" s="1920"/>
      <c r="X3" s="1920"/>
      <c r="Y3" s="1921"/>
      <c r="Z3" s="1891" t="s">
        <v>1870</v>
      </c>
      <c r="AA3" s="1892"/>
      <c r="AB3" s="1905" t="s">
        <v>1921</v>
      </c>
      <c r="AC3" s="1905"/>
      <c r="AD3" s="1905"/>
      <c r="AE3" s="1905"/>
      <c r="AF3" s="1905"/>
      <c r="AG3" s="1905"/>
      <c r="AH3" s="1905"/>
      <c r="AI3" s="1905"/>
      <c r="AJ3" s="1905"/>
      <c r="AK3" s="1905"/>
      <c r="AL3" s="1905"/>
      <c r="AM3" s="1905"/>
      <c r="AN3" s="1905"/>
      <c r="AO3" s="1905"/>
      <c r="AP3" s="1905"/>
      <c r="AQ3" s="1905"/>
      <c r="AR3" s="1905"/>
      <c r="AS3" s="1905"/>
      <c r="AT3" s="1905"/>
      <c r="AU3" s="1905"/>
      <c r="AV3" s="1905"/>
      <c r="AW3" s="1905"/>
      <c r="AX3" s="1891" t="s">
        <v>1870</v>
      </c>
      <c r="AY3" s="1892"/>
      <c r="AZ3" s="1905" t="s">
        <v>1873</v>
      </c>
      <c r="BA3" s="1905"/>
      <c r="BB3" s="1905"/>
      <c r="BC3" s="1905"/>
      <c r="BD3" s="1905"/>
      <c r="BE3" s="1905"/>
      <c r="BF3" s="1905" t="s">
        <v>1993</v>
      </c>
      <c r="BG3" s="1905"/>
      <c r="BH3" s="1905"/>
      <c r="BI3" s="1905"/>
      <c r="BJ3" s="1899" t="s">
        <v>1922</v>
      </c>
      <c r="BK3" s="1900"/>
      <c r="BL3" s="1901"/>
      <c r="BM3" s="1905" t="s">
        <v>1874</v>
      </c>
      <c r="BN3" s="1905"/>
      <c r="BO3" s="1905"/>
      <c r="BP3" s="1905"/>
      <c r="BQ3" s="1905" t="s">
        <v>1875</v>
      </c>
      <c r="BR3" s="1905"/>
      <c r="BS3" s="1905"/>
      <c r="BT3" s="1905"/>
      <c r="BU3" s="1898" t="s">
        <v>1925</v>
      </c>
      <c r="BV3" s="1886" t="s">
        <v>1923</v>
      </c>
    </row>
    <row r="4" spans="1:74" s="868" customFormat="1" ht="15.75" customHeight="1">
      <c r="A4" s="1893"/>
      <c r="B4" s="1894"/>
      <c r="C4" s="1905"/>
      <c r="D4" s="1905"/>
      <c r="E4" s="1905"/>
      <c r="F4" s="1905"/>
      <c r="G4" s="1905"/>
      <c r="H4" s="1905"/>
      <c r="I4" s="1887"/>
      <c r="J4" s="1887"/>
      <c r="K4" s="1905" t="s">
        <v>1876</v>
      </c>
      <c r="L4" s="1905"/>
      <c r="M4" s="1905"/>
      <c r="N4" s="1905"/>
      <c r="O4" s="1905"/>
      <c r="P4" s="1905"/>
      <c r="Q4" s="1905"/>
      <c r="R4" s="1905"/>
      <c r="S4" s="1905"/>
      <c r="T4" s="1905"/>
      <c r="U4" s="1905"/>
      <c r="V4" s="1905"/>
      <c r="W4" s="1905"/>
      <c r="X4" s="1905"/>
      <c r="Y4" s="1905"/>
      <c r="Z4" s="1893"/>
      <c r="AA4" s="1894"/>
      <c r="AB4" s="1905" t="s">
        <v>1877</v>
      </c>
      <c r="AC4" s="1905"/>
      <c r="AD4" s="1905"/>
      <c r="AE4" s="1905"/>
      <c r="AF4" s="1905"/>
      <c r="AG4" s="1905"/>
      <c r="AH4" s="1905"/>
      <c r="AI4" s="1905"/>
      <c r="AJ4" s="1905"/>
      <c r="AK4" s="1905"/>
      <c r="AL4" s="1905"/>
      <c r="AM4" s="1905"/>
      <c r="AN4" s="1905"/>
      <c r="AO4" s="1905"/>
      <c r="AP4" s="1907" t="s">
        <v>1878</v>
      </c>
      <c r="AQ4" s="1907"/>
      <c r="AR4" s="1907"/>
      <c r="AS4" s="1907"/>
      <c r="AT4" s="1916" t="s">
        <v>1879</v>
      </c>
      <c r="AU4" s="1916"/>
      <c r="AV4" s="1916"/>
      <c r="AW4" s="1916"/>
      <c r="AX4" s="1893"/>
      <c r="AY4" s="1894"/>
      <c r="AZ4" s="1916" t="s">
        <v>1880</v>
      </c>
      <c r="BA4" s="1916"/>
      <c r="BB4" s="1916"/>
      <c r="BC4" s="1916"/>
      <c r="BD4" s="1905" t="s">
        <v>760</v>
      </c>
      <c r="BE4" s="1905"/>
      <c r="BF4" s="1905"/>
      <c r="BG4" s="1905"/>
      <c r="BH4" s="1905"/>
      <c r="BI4" s="1905"/>
      <c r="BJ4" s="1902"/>
      <c r="BK4" s="1903"/>
      <c r="BL4" s="1904"/>
      <c r="BM4" s="1905"/>
      <c r="BN4" s="1905"/>
      <c r="BO4" s="1905"/>
      <c r="BP4" s="1905"/>
      <c r="BQ4" s="1905"/>
      <c r="BR4" s="1905"/>
      <c r="BS4" s="1905"/>
      <c r="BT4" s="1905"/>
      <c r="BU4" s="1898"/>
      <c r="BV4" s="1886"/>
    </row>
    <row r="5" spans="1:74" s="869" customFormat="1" ht="12" customHeight="1">
      <c r="A5" s="1893"/>
      <c r="B5" s="1894"/>
      <c r="C5" s="1887" t="s">
        <v>1881</v>
      </c>
      <c r="D5" s="1887"/>
      <c r="E5" s="1887" t="s">
        <v>1882</v>
      </c>
      <c r="F5" s="1887"/>
      <c r="G5" s="1887" t="s">
        <v>760</v>
      </c>
      <c r="H5" s="1887"/>
      <c r="I5" s="1887"/>
      <c r="J5" s="1887"/>
      <c r="K5" s="1922" t="s">
        <v>1914</v>
      </c>
      <c r="L5" s="1923"/>
      <c r="M5" s="1923"/>
      <c r="N5" s="1924"/>
      <c r="O5" s="1888" t="s">
        <v>1883</v>
      </c>
      <c r="P5" s="1888"/>
      <c r="Q5" s="1888"/>
      <c r="R5" s="1888"/>
      <c r="S5" s="1888" t="s">
        <v>1884</v>
      </c>
      <c r="T5" s="1888"/>
      <c r="U5" s="1888"/>
      <c r="V5" s="1888"/>
      <c r="W5" s="1888" t="s">
        <v>760</v>
      </c>
      <c r="X5" s="1888"/>
      <c r="Y5" s="1906" t="s">
        <v>1885</v>
      </c>
      <c r="Z5" s="1893"/>
      <c r="AA5" s="1894"/>
      <c r="AB5" s="1888" t="s">
        <v>1886</v>
      </c>
      <c r="AC5" s="1888"/>
      <c r="AD5" s="1888"/>
      <c r="AE5" s="1888"/>
      <c r="AF5" s="1888" t="s">
        <v>1883</v>
      </c>
      <c r="AG5" s="1888"/>
      <c r="AH5" s="1888"/>
      <c r="AI5" s="1888"/>
      <c r="AJ5" s="1888" t="s">
        <v>1887</v>
      </c>
      <c r="AK5" s="1888"/>
      <c r="AL5" s="1888"/>
      <c r="AM5" s="1888"/>
      <c r="AN5" s="1887" t="s">
        <v>760</v>
      </c>
      <c r="AO5" s="1887"/>
      <c r="AP5" s="1907"/>
      <c r="AQ5" s="1907"/>
      <c r="AR5" s="1907"/>
      <c r="AS5" s="1907"/>
      <c r="AT5" s="1916"/>
      <c r="AU5" s="1916"/>
      <c r="AV5" s="1916"/>
      <c r="AW5" s="1916"/>
      <c r="AX5" s="1893"/>
      <c r="AY5" s="1894"/>
      <c r="AZ5" s="1916"/>
      <c r="BA5" s="1916"/>
      <c r="BB5" s="1916"/>
      <c r="BC5" s="1916"/>
      <c r="BD5" s="1905"/>
      <c r="BE5" s="1905"/>
      <c r="BF5" s="1886" t="s">
        <v>1876</v>
      </c>
      <c r="BG5" s="1886" t="s">
        <v>1877</v>
      </c>
      <c r="BH5" s="1886" t="s">
        <v>1888</v>
      </c>
      <c r="BI5" s="1910" t="s">
        <v>760</v>
      </c>
      <c r="BJ5" s="1886" t="s">
        <v>1889</v>
      </c>
      <c r="BK5" s="1887" t="s">
        <v>1890</v>
      </c>
      <c r="BL5" s="1887"/>
      <c r="BM5" s="1886" t="s">
        <v>1891</v>
      </c>
      <c r="BN5" s="1886" t="s">
        <v>1892</v>
      </c>
      <c r="BO5" s="1886"/>
      <c r="BP5" s="1889" t="s">
        <v>1893</v>
      </c>
      <c r="BQ5" s="1889" t="s">
        <v>1894</v>
      </c>
      <c r="BR5" s="1886" t="s">
        <v>1895</v>
      </c>
      <c r="BS5" s="1886"/>
      <c r="BT5" s="1898" t="s">
        <v>1896</v>
      </c>
      <c r="BU5" s="1898"/>
      <c r="BV5" s="1886"/>
    </row>
    <row r="6" spans="1:74" s="870" customFormat="1" ht="50.25" customHeight="1">
      <c r="A6" s="1893"/>
      <c r="B6" s="1894"/>
      <c r="C6" s="1887"/>
      <c r="D6" s="1887"/>
      <c r="E6" s="1887"/>
      <c r="F6" s="1887"/>
      <c r="G6" s="1887"/>
      <c r="H6" s="1887"/>
      <c r="I6" s="1887"/>
      <c r="J6" s="1887"/>
      <c r="K6" s="1890" t="s">
        <v>1897</v>
      </c>
      <c r="L6" s="1890"/>
      <c r="M6" s="1890" t="s">
        <v>1901</v>
      </c>
      <c r="N6" s="1890"/>
      <c r="O6" s="1890" t="s">
        <v>1899</v>
      </c>
      <c r="P6" s="1890"/>
      <c r="Q6" s="1890" t="s">
        <v>1898</v>
      </c>
      <c r="R6" s="1890"/>
      <c r="S6" s="1890" t="s">
        <v>1900</v>
      </c>
      <c r="T6" s="1890"/>
      <c r="U6" s="1890" t="s">
        <v>1898</v>
      </c>
      <c r="V6" s="1890"/>
      <c r="W6" s="1888"/>
      <c r="X6" s="1888"/>
      <c r="Y6" s="1906"/>
      <c r="Z6" s="1893"/>
      <c r="AA6" s="1894"/>
      <c r="AB6" s="1890" t="s">
        <v>1900</v>
      </c>
      <c r="AC6" s="1890"/>
      <c r="AD6" s="1890" t="s">
        <v>1898</v>
      </c>
      <c r="AE6" s="1890"/>
      <c r="AF6" s="1890" t="s">
        <v>1900</v>
      </c>
      <c r="AG6" s="1890"/>
      <c r="AH6" s="1890" t="s">
        <v>1898</v>
      </c>
      <c r="AI6" s="1890"/>
      <c r="AJ6" s="1890" t="s">
        <v>1900</v>
      </c>
      <c r="AK6" s="1890"/>
      <c r="AL6" s="1890" t="s">
        <v>1901</v>
      </c>
      <c r="AM6" s="1890"/>
      <c r="AN6" s="1887"/>
      <c r="AO6" s="1887"/>
      <c r="AP6" s="1890" t="s">
        <v>1900</v>
      </c>
      <c r="AQ6" s="1890"/>
      <c r="AR6" s="1890" t="s">
        <v>1898</v>
      </c>
      <c r="AS6" s="1890"/>
      <c r="AT6" s="1887" t="s">
        <v>1902</v>
      </c>
      <c r="AU6" s="1887"/>
      <c r="AV6" s="1887" t="s">
        <v>1903</v>
      </c>
      <c r="AW6" s="1887"/>
      <c r="AX6" s="1893"/>
      <c r="AY6" s="1894"/>
      <c r="AZ6" s="1887" t="s">
        <v>1904</v>
      </c>
      <c r="BA6" s="1887"/>
      <c r="BB6" s="1887" t="s">
        <v>760</v>
      </c>
      <c r="BC6" s="1887"/>
      <c r="BD6" s="1905"/>
      <c r="BE6" s="1905"/>
      <c r="BF6" s="1886"/>
      <c r="BG6" s="1886"/>
      <c r="BH6" s="1886"/>
      <c r="BI6" s="1911"/>
      <c r="BJ6" s="1886"/>
      <c r="BK6" s="1887"/>
      <c r="BL6" s="1887"/>
      <c r="BM6" s="1886"/>
      <c r="BN6" s="1886"/>
      <c r="BO6" s="1886"/>
      <c r="BP6" s="1889"/>
      <c r="BQ6" s="1889"/>
      <c r="BR6" s="1886"/>
      <c r="BS6" s="1886"/>
      <c r="BT6" s="1898"/>
      <c r="BU6" s="1898"/>
      <c r="BV6" s="1886"/>
    </row>
    <row r="7" spans="1:74" s="873" customFormat="1" ht="42" customHeight="1">
      <c r="A7" s="1893"/>
      <c r="B7" s="1894"/>
      <c r="C7" s="871" t="s">
        <v>1905</v>
      </c>
      <c r="D7" s="871" t="s">
        <v>2344</v>
      </c>
      <c r="E7" s="871" t="s">
        <v>1906</v>
      </c>
      <c r="F7" s="871" t="s">
        <v>2345</v>
      </c>
      <c r="G7" s="871" t="s">
        <v>1907</v>
      </c>
      <c r="H7" s="871" t="s">
        <v>2345</v>
      </c>
      <c r="I7" s="871" t="s">
        <v>1907</v>
      </c>
      <c r="J7" s="871" t="s">
        <v>2345</v>
      </c>
      <c r="K7" s="871" t="s">
        <v>1906</v>
      </c>
      <c r="L7" s="871" t="s">
        <v>2345</v>
      </c>
      <c r="M7" s="871" t="s">
        <v>1907</v>
      </c>
      <c r="N7" s="872" t="s">
        <v>2345</v>
      </c>
      <c r="O7" s="871" t="s">
        <v>1906</v>
      </c>
      <c r="P7" s="872" t="s">
        <v>2345</v>
      </c>
      <c r="Q7" s="871" t="s">
        <v>1906</v>
      </c>
      <c r="R7" s="872" t="s">
        <v>2345</v>
      </c>
      <c r="S7" s="871" t="s">
        <v>1906</v>
      </c>
      <c r="T7" s="872" t="s">
        <v>2345</v>
      </c>
      <c r="U7" s="871" t="s">
        <v>1906</v>
      </c>
      <c r="V7" s="872" t="s">
        <v>2345</v>
      </c>
      <c r="W7" s="871" t="s">
        <v>1907</v>
      </c>
      <c r="X7" s="872" t="s">
        <v>2345</v>
      </c>
      <c r="Y7" s="871" t="s">
        <v>2345</v>
      </c>
      <c r="Z7" s="1893"/>
      <c r="AA7" s="1894"/>
      <c r="AB7" s="871" t="s">
        <v>1906</v>
      </c>
      <c r="AC7" s="871" t="s">
        <v>2345</v>
      </c>
      <c r="AD7" s="871" t="s">
        <v>1929</v>
      </c>
      <c r="AE7" s="872" t="s">
        <v>2345</v>
      </c>
      <c r="AF7" s="871" t="s">
        <v>1906</v>
      </c>
      <c r="AG7" s="872" t="s">
        <v>2345</v>
      </c>
      <c r="AH7" s="871" t="s">
        <v>1906</v>
      </c>
      <c r="AI7" s="872" t="s">
        <v>2345</v>
      </c>
      <c r="AJ7" s="871" t="s">
        <v>1906</v>
      </c>
      <c r="AK7" s="872" t="s">
        <v>2345</v>
      </c>
      <c r="AL7" s="871" t="s">
        <v>1906</v>
      </c>
      <c r="AM7" s="871" t="s">
        <v>2345</v>
      </c>
      <c r="AN7" s="871" t="s">
        <v>1906</v>
      </c>
      <c r="AO7" s="871" t="s">
        <v>2345</v>
      </c>
      <c r="AP7" s="871" t="s">
        <v>1907</v>
      </c>
      <c r="AQ7" s="871" t="s">
        <v>2345</v>
      </c>
      <c r="AR7" s="871" t="s">
        <v>1906</v>
      </c>
      <c r="AS7" s="871" t="s">
        <v>2345</v>
      </c>
      <c r="AT7" s="871" t="s">
        <v>1906</v>
      </c>
      <c r="AU7" s="871" t="s">
        <v>2345</v>
      </c>
      <c r="AV7" s="871" t="s">
        <v>1906</v>
      </c>
      <c r="AW7" s="871" t="s">
        <v>2345</v>
      </c>
      <c r="AX7" s="1893"/>
      <c r="AY7" s="1894"/>
      <c r="AZ7" s="871" t="s">
        <v>1907</v>
      </c>
      <c r="BA7" s="872" t="s">
        <v>2345</v>
      </c>
      <c r="BB7" s="871" t="s">
        <v>1906</v>
      </c>
      <c r="BC7" s="872" t="s">
        <v>2345</v>
      </c>
      <c r="BD7" s="871" t="s">
        <v>1906</v>
      </c>
      <c r="BE7" s="871" t="s">
        <v>2345</v>
      </c>
      <c r="BF7" s="871" t="s">
        <v>1992</v>
      </c>
      <c r="BG7" s="871" t="s">
        <v>1992</v>
      </c>
      <c r="BH7" s="871" t="s">
        <v>1908</v>
      </c>
      <c r="BI7" s="871" t="s">
        <v>1908</v>
      </c>
      <c r="BJ7" s="871" t="s">
        <v>1908</v>
      </c>
      <c r="BK7" s="871" t="s">
        <v>1930</v>
      </c>
      <c r="BL7" s="871" t="s">
        <v>2345</v>
      </c>
      <c r="BM7" s="871" t="s">
        <v>1908</v>
      </c>
      <c r="BN7" s="871" t="s">
        <v>1907</v>
      </c>
      <c r="BO7" s="871" t="s">
        <v>2345</v>
      </c>
      <c r="BP7" s="871" t="s">
        <v>1908</v>
      </c>
      <c r="BQ7" s="871" t="s">
        <v>1908</v>
      </c>
      <c r="BR7" s="871" t="s">
        <v>1907</v>
      </c>
      <c r="BS7" s="871" t="s">
        <v>2345</v>
      </c>
      <c r="BT7" s="871" t="s">
        <v>1908</v>
      </c>
      <c r="BU7" s="871" t="s">
        <v>1908</v>
      </c>
      <c r="BV7" s="871" t="s">
        <v>1908</v>
      </c>
    </row>
    <row r="8" spans="1:74" s="876" customFormat="1" ht="15" customHeight="1">
      <c r="A8" s="1895"/>
      <c r="B8" s="1896"/>
      <c r="C8" s="1897">
        <v>1</v>
      </c>
      <c r="D8" s="1897"/>
      <c r="E8" s="1897">
        <v>2</v>
      </c>
      <c r="F8" s="1897"/>
      <c r="G8" s="1012" t="s">
        <v>1909</v>
      </c>
      <c r="H8" s="1012"/>
      <c r="I8" s="1897">
        <v>4</v>
      </c>
      <c r="J8" s="1897"/>
      <c r="K8" s="1897">
        <v>5</v>
      </c>
      <c r="L8" s="1897"/>
      <c r="M8" s="1897">
        <v>6</v>
      </c>
      <c r="N8" s="1897"/>
      <c r="O8" s="1897">
        <v>7</v>
      </c>
      <c r="P8" s="1897"/>
      <c r="Q8" s="1897">
        <v>8</v>
      </c>
      <c r="R8" s="1897"/>
      <c r="S8" s="1897">
        <v>9</v>
      </c>
      <c r="T8" s="1897"/>
      <c r="U8" s="1897">
        <v>10</v>
      </c>
      <c r="V8" s="1897"/>
      <c r="W8" s="1897" t="s">
        <v>1910</v>
      </c>
      <c r="X8" s="1897"/>
      <c r="Y8" s="874">
        <v>12</v>
      </c>
      <c r="Z8" s="1895"/>
      <c r="AA8" s="1896"/>
      <c r="AB8" s="1897">
        <v>13</v>
      </c>
      <c r="AC8" s="1897"/>
      <c r="AD8" s="1897">
        <v>14</v>
      </c>
      <c r="AE8" s="1897"/>
      <c r="AF8" s="1914">
        <v>15</v>
      </c>
      <c r="AG8" s="1915"/>
      <c r="AH8" s="1897">
        <v>16</v>
      </c>
      <c r="AI8" s="1897"/>
      <c r="AJ8" s="1914">
        <v>17</v>
      </c>
      <c r="AK8" s="1915"/>
      <c r="AL8" s="1897">
        <v>18</v>
      </c>
      <c r="AM8" s="1897"/>
      <c r="AN8" s="1897" t="s">
        <v>1911</v>
      </c>
      <c r="AO8" s="1897"/>
      <c r="AP8" s="1897">
        <v>20</v>
      </c>
      <c r="AQ8" s="1897"/>
      <c r="AR8" s="1897">
        <v>21</v>
      </c>
      <c r="AS8" s="1897"/>
      <c r="AT8" s="1897">
        <v>22</v>
      </c>
      <c r="AU8" s="1897"/>
      <c r="AV8" s="1897">
        <v>23</v>
      </c>
      <c r="AW8" s="1897"/>
      <c r="AX8" s="1895"/>
      <c r="AY8" s="1896"/>
      <c r="AZ8" s="1897">
        <v>24</v>
      </c>
      <c r="BA8" s="1897"/>
      <c r="BB8" s="1912" t="s">
        <v>1912</v>
      </c>
      <c r="BC8" s="1913"/>
      <c r="BD8" s="1912" t="s">
        <v>1913</v>
      </c>
      <c r="BE8" s="1913"/>
      <c r="BF8" s="874">
        <v>27</v>
      </c>
      <c r="BG8" s="874">
        <v>28</v>
      </c>
      <c r="BH8" s="925">
        <v>29</v>
      </c>
      <c r="BI8" s="875" t="s">
        <v>1991</v>
      </c>
      <c r="BJ8" s="874">
        <v>31</v>
      </c>
      <c r="BK8" s="874">
        <v>32</v>
      </c>
      <c r="BL8" s="874">
        <v>33</v>
      </c>
      <c r="BM8" s="874">
        <v>34</v>
      </c>
      <c r="BN8" s="1897">
        <v>35</v>
      </c>
      <c r="BO8" s="1897"/>
      <c r="BP8" s="874">
        <v>36</v>
      </c>
      <c r="BQ8" s="874">
        <v>37</v>
      </c>
      <c r="BR8" s="1897">
        <v>38</v>
      </c>
      <c r="BS8" s="1897"/>
      <c r="BT8" s="874">
        <v>39</v>
      </c>
      <c r="BU8" s="874">
        <v>40</v>
      </c>
      <c r="BV8" s="1295">
        <v>41</v>
      </c>
    </row>
    <row r="9" spans="1:74" s="883" customFormat="1" ht="9.75" customHeight="1">
      <c r="A9" s="1908" t="s">
        <v>2320</v>
      </c>
      <c r="B9" s="1909"/>
      <c r="C9" s="902"/>
      <c r="D9" s="903"/>
      <c r="E9" s="902"/>
      <c r="F9" s="903"/>
      <c r="G9" s="902"/>
      <c r="H9" s="903"/>
      <c r="I9" s="902"/>
      <c r="J9" s="903"/>
      <c r="K9" s="902"/>
      <c r="L9" s="903"/>
      <c r="M9" s="902"/>
      <c r="N9" s="903"/>
      <c r="O9" s="902"/>
      <c r="P9" s="903"/>
      <c r="Q9" s="902"/>
      <c r="R9" s="903"/>
      <c r="S9" s="902"/>
      <c r="T9" s="903"/>
      <c r="U9" s="902"/>
      <c r="V9" s="903"/>
      <c r="W9" s="902"/>
      <c r="X9" s="903"/>
      <c r="Y9" s="903"/>
      <c r="Z9" s="1908" t="s">
        <v>2320</v>
      </c>
      <c r="AA9" s="1909"/>
      <c r="AB9" s="902"/>
      <c r="AC9" s="903"/>
      <c r="AD9" s="902"/>
      <c r="AE9" s="903"/>
      <c r="AF9" s="902"/>
      <c r="AG9" s="903"/>
      <c r="AH9" s="902"/>
      <c r="AI9" s="903"/>
      <c r="AJ9" s="902"/>
      <c r="AK9" s="903"/>
      <c r="AL9" s="902"/>
      <c r="AM9" s="903"/>
      <c r="AN9" s="902"/>
      <c r="AO9" s="903"/>
      <c r="AP9" s="902"/>
      <c r="AQ9" s="926"/>
      <c r="AR9" s="902"/>
      <c r="AS9" s="903"/>
      <c r="AT9" s="902"/>
      <c r="AU9" s="903"/>
      <c r="AV9" s="902"/>
      <c r="AW9" s="903"/>
      <c r="AX9" s="1908" t="s">
        <v>2320</v>
      </c>
      <c r="AY9" s="1909"/>
      <c r="AZ9" s="902"/>
      <c r="BA9" s="903"/>
      <c r="BB9" s="902"/>
      <c r="BC9" s="903"/>
      <c r="BD9" s="902"/>
      <c r="BE9" s="903"/>
      <c r="BF9" s="902"/>
      <c r="BG9" s="902"/>
      <c r="BH9" s="902"/>
      <c r="BI9" s="902"/>
      <c r="BJ9" s="902"/>
      <c r="BK9" s="902"/>
      <c r="BL9" s="903"/>
      <c r="BM9" s="902"/>
      <c r="BN9" s="902"/>
      <c r="BO9" s="903"/>
      <c r="BP9" s="902"/>
      <c r="BQ9" s="902"/>
      <c r="BR9" s="902"/>
      <c r="BS9" s="903"/>
      <c r="BT9" s="902"/>
      <c r="BU9" s="902"/>
      <c r="BV9" s="1294"/>
    </row>
    <row r="10" spans="1:74" s="883" customFormat="1" ht="9.75" customHeight="1">
      <c r="A10" s="1925" t="s">
        <v>2263</v>
      </c>
      <c r="B10" s="878" t="s">
        <v>1917</v>
      </c>
      <c r="C10" s="956">
        <v>1093677</v>
      </c>
      <c r="D10" s="957">
        <v>104057.68</v>
      </c>
      <c r="E10" s="956">
        <v>2</v>
      </c>
      <c r="F10" s="957">
        <v>0.01</v>
      </c>
      <c r="G10" s="956">
        <v>1093679</v>
      </c>
      <c r="H10" s="957">
        <v>104057.68</v>
      </c>
      <c r="I10" s="956">
        <v>56522</v>
      </c>
      <c r="J10" s="957">
        <v>1159.58</v>
      </c>
      <c r="K10" s="956">
        <v>14081</v>
      </c>
      <c r="L10" s="957">
        <v>13.120000000000001</v>
      </c>
      <c r="M10" s="956">
        <v>2</v>
      </c>
      <c r="N10" s="957">
        <v>0</v>
      </c>
      <c r="O10" s="956">
        <v>4745</v>
      </c>
      <c r="P10" s="957">
        <v>1.56</v>
      </c>
      <c r="Q10" s="956">
        <v>146</v>
      </c>
      <c r="R10" s="957">
        <v>0.13</v>
      </c>
      <c r="S10" s="956">
        <v>1275</v>
      </c>
      <c r="T10" s="957">
        <v>0.08</v>
      </c>
      <c r="U10" s="956">
        <v>0</v>
      </c>
      <c r="V10" s="957">
        <v>0</v>
      </c>
      <c r="W10" s="956">
        <v>20249</v>
      </c>
      <c r="X10" s="957">
        <v>14.870000000000001</v>
      </c>
      <c r="Y10" s="957">
        <v>13.950000000000001</v>
      </c>
      <c r="Z10" s="1925" t="s">
        <v>2035</v>
      </c>
      <c r="AA10" s="878" t="s">
        <v>1917</v>
      </c>
      <c r="AB10" s="958">
        <v>490736</v>
      </c>
      <c r="AC10" s="959">
        <v>405.78000000000003</v>
      </c>
      <c r="AD10" s="958">
        <v>0</v>
      </c>
      <c r="AE10" s="959">
        <v>0</v>
      </c>
      <c r="AF10" s="958">
        <v>25650</v>
      </c>
      <c r="AG10" s="959">
        <v>7.3199999999999994</v>
      </c>
      <c r="AH10" s="958">
        <v>0</v>
      </c>
      <c r="AI10" s="959">
        <v>0</v>
      </c>
      <c r="AJ10" s="958">
        <v>2498</v>
      </c>
      <c r="AK10" s="959">
        <v>0.15000000000000002</v>
      </c>
      <c r="AL10" s="958">
        <v>0</v>
      </c>
      <c r="AM10" s="959">
        <v>0</v>
      </c>
      <c r="AN10" s="958">
        <v>518884</v>
      </c>
      <c r="AO10" s="959">
        <v>413.22</v>
      </c>
      <c r="AP10" s="958">
        <v>711</v>
      </c>
      <c r="AQ10" s="960">
        <v>0.94000000000000006</v>
      </c>
      <c r="AR10" s="958">
        <v>0</v>
      </c>
      <c r="AS10" s="959">
        <v>0</v>
      </c>
      <c r="AT10" s="958">
        <v>0</v>
      </c>
      <c r="AU10" s="959">
        <v>0</v>
      </c>
      <c r="AV10" s="958">
        <v>0</v>
      </c>
      <c r="AW10" s="959">
        <v>0</v>
      </c>
      <c r="AX10" s="1925" t="s">
        <v>2035</v>
      </c>
      <c r="AY10" s="878" t="s">
        <v>1917</v>
      </c>
      <c r="AZ10" s="956">
        <v>0</v>
      </c>
      <c r="BA10" s="957">
        <v>0</v>
      </c>
      <c r="BB10" s="956">
        <v>0</v>
      </c>
      <c r="BC10" s="957">
        <v>0</v>
      </c>
      <c r="BD10" s="956">
        <v>539844</v>
      </c>
      <c r="BE10" s="957">
        <v>429.03</v>
      </c>
      <c r="BF10" s="956">
        <v>3260</v>
      </c>
      <c r="BG10" s="956">
        <v>195744</v>
      </c>
      <c r="BH10" s="956">
        <v>3999</v>
      </c>
      <c r="BI10" s="956">
        <v>203003</v>
      </c>
      <c r="BJ10" s="956">
        <v>0</v>
      </c>
      <c r="BK10" s="956">
        <v>0</v>
      </c>
      <c r="BL10" s="957">
        <v>0</v>
      </c>
      <c r="BM10" s="956">
        <v>110405</v>
      </c>
      <c r="BN10" s="956">
        <v>2230404</v>
      </c>
      <c r="BO10" s="957">
        <v>277.07</v>
      </c>
      <c r="BP10" s="956">
        <v>11935230</v>
      </c>
      <c r="BQ10" s="956">
        <v>125</v>
      </c>
      <c r="BR10" s="956">
        <v>51912</v>
      </c>
      <c r="BS10" s="957">
        <v>59.47</v>
      </c>
      <c r="BT10" s="956">
        <v>12519</v>
      </c>
      <c r="BU10" s="956">
        <v>210</v>
      </c>
      <c r="BV10" s="971">
        <v>0</v>
      </c>
    </row>
    <row r="11" spans="1:74" s="254" customFormat="1" ht="9.75" customHeight="1">
      <c r="A11" s="1917"/>
      <c r="B11" s="880" t="s">
        <v>1918</v>
      </c>
      <c r="C11" s="961">
        <v>44359</v>
      </c>
      <c r="D11" s="962">
        <v>4371.7</v>
      </c>
      <c r="E11" s="961">
        <v>2713</v>
      </c>
      <c r="F11" s="962">
        <v>20.66</v>
      </c>
      <c r="G11" s="961">
        <v>47072</v>
      </c>
      <c r="H11" s="962">
        <v>4392.3499999999995</v>
      </c>
      <c r="I11" s="961">
        <v>272</v>
      </c>
      <c r="J11" s="962">
        <v>76.83</v>
      </c>
      <c r="K11" s="961">
        <v>0</v>
      </c>
      <c r="L11" s="962">
        <v>0</v>
      </c>
      <c r="M11" s="961">
        <v>0</v>
      </c>
      <c r="N11" s="962">
        <v>0</v>
      </c>
      <c r="O11" s="961">
        <v>0</v>
      </c>
      <c r="P11" s="962">
        <v>0</v>
      </c>
      <c r="Q11" s="961">
        <v>0</v>
      </c>
      <c r="R11" s="962">
        <v>0</v>
      </c>
      <c r="S11" s="961">
        <v>0</v>
      </c>
      <c r="T11" s="962">
        <v>0</v>
      </c>
      <c r="U11" s="961">
        <v>0</v>
      </c>
      <c r="V11" s="962">
        <v>0</v>
      </c>
      <c r="W11" s="961">
        <v>0</v>
      </c>
      <c r="X11" s="962">
        <v>0</v>
      </c>
      <c r="Y11" s="962">
        <v>0</v>
      </c>
      <c r="Z11" s="1917"/>
      <c r="AA11" s="880" t="s">
        <v>1918</v>
      </c>
      <c r="AB11" s="545">
        <v>14333</v>
      </c>
      <c r="AC11" s="963">
        <v>11.030000000000001</v>
      </c>
      <c r="AD11" s="545">
        <v>0</v>
      </c>
      <c r="AE11" s="963">
        <v>0</v>
      </c>
      <c r="AF11" s="545">
        <v>421</v>
      </c>
      <c r="AG11" s="963">
        <v>0.12000000000000001</v>
      </c>
      <c r="AH11" s="545">
        <v>0</v>
      </c>
      <c r="AI11" s="963">
        <v>0</v>
      </c>
      <c r="AJ11" s="545">
        <v>0</v>
      </c>
      <c r="AK11" s="963">
        <v>0</v>
      </c>
      <c r="AL11" s="545">
        <v>0</v>
      </c>
      <c r="AM11" s="963">
        <v>0</v>
      </c>
      <c r="AN11" s="545">
        <v>14754</v>
      </c>
      <c r="AO11" s="963">
        <v>11.15</v>
      </c>
      <c r="AP11" s="545">
        <v>0</v>
      </c>
      <c r="AQ11" s="964">
        <v>0</v>
      </c>
      <c r="AR11" s="545">
        <v>0</v>
      </c>
      <c r="AS11" s="963">
        <v>0</v>
      </c>
      <c r="AT11" s="545">
        <v>0</v>
      </c>
      <c r="AU11" s="963">
        <v>0</v>
      </c>
      <c r="AV11" s="545">
        <v>0</v>
      </c>
      <c r="AW11" s="963">
        <v>0</v>
      </c>
      <c r="AX11" s="1917"/>
      <c r="AY11" s="880" t="s">
        <v>1918</v>
      </c>
      <c r="AZ11" s="961">
        <v>0</v>
      </c>
      <c r="BA11" s="962">
        <v>0</v>
      </c>
      <c r="BB11" s="961">
        <v>0</v>
      </c>
      <c r="BC11" s="962">
        <v>0</v>
      </c>
      <c r="BD11" s="961">
        <v>14754</v>
      </c>
      <c r="BE11" s="962">
        <v>1</v>
      </c>
      <c r="BF11" s="961">
        <v>0</v>
      </c>
      <c r="BG11" s="961">
        <v>4177</v>
      </c>
      <c r="BH11" s="961">
        <v>0</v>
      </c>
      <c r="BI11" s="961">
        <v>4177</v>
      </c>
      <c r="BJ11" s="961">
        <v>0</v>
      </c>
      <c r="BK11" s="961">
        <v>0</v>
      </c>
      <c r="BL11" s="962">
        <v>0</v>
      </c>
      <c r="BM11" s="961">
        <v>0</v>
      </c>
      <c r="BN11" s="961">
        <v>0</v>
      </c>
      <c r="BO11" s="962">
        <v>0</v>
      </c>
      <c r="BP11" s="961">
        <v>0</v>
      </c>
      <c r="BQ11" s="961">
        <v>0</v>
      </c>
      <c r="BR11" s="961">
        <v>0</v>
      </c>
      <c r="BS11" s="962">
        <v>0</v>
      </c>
      <c r="BT11" s="961">
        <v>0</v>
      </c>
      <c r="BU11" s="961">
        <v>6</v>
      </c>
      <c r="BV11" s="965">
        <v>0</v>
      </c>
    </row>
    <row r="12" spans="1:74" s="883" customFormat="1" ht="9.75" customHeight="1">
      <c r="A12" s="1917"/>
      <c r="B12" s="881" t="s">
        <v>1919</v>
      </c>
      <c r="C12" s="966">
        <v>4057620</v>
      </c>
      <c r="D12" s="967">
        <v>370191.88</v>
      </c>
      <c r="E12" s="966">
        <v>3760</v>
      </c>
      <c r="F12" s="967">
        <v>148.69</v>
      </c>
      <c r="G12" s="966">
        <v>4061380</v>
      </c>
      <c r="H12" s="967">
        <v>370340.61999999994</v>
      </c>
      <c r="I12" s="966">
        <v>3124980</v>
      </c>
      <c r="J12" s="967">
        <v>24072.400000000001</v>
      </c>
      <c r="K12" s="966">
        <v>369525</v>
      </c>
      <c r="L12" s="967">
        <v>254.93</v>
      </c>
      <c r="M12" s="966">
        <v>10667</v>
      </c>
      <c r="N12" s="967">
        <v>17.139999999999993</v>
      </c>
      <c r="O12" s="966">
        <v>2283373</v>
      </c>
      <c r="P12" s="967">
        <v>1308.1200000000003</v>
      </c>
      <c r="Q12" s="966">
        <v>366883</v>
      </c>
      <c r="R12" s="967">
        <v>377.64000000000004</v>
      </c>
      <c r="S12" s="966">
        <v>365669</v>
      </c>
      <c r="T12" s="967">
        <v>60.029999999999987</v>
      </c>
      <c r="U12" s="966">
        <v>132694</v>
      </c>
      <c r="V12" s="967">
        <v>124.63999999999999</v>
      </c>
      <c r="W12" s="966">
        <v>3528811</v>
      </c>
      <c r="X12" s="967">
        <v>2142.4599999999996</v>
      </c>
      <c r="Y12" s="967">
        <v>3141.8600000000006</v>
      </c>
      <c r="Z12" s="1917"/>
      <c r="AA12" s="881" t="s">
        <v>1919</v>
      </c>
      <c r="AB12" s="968">
        <v>37619173</v>
      </c>
      <c r="AC12" s="969">
        <v>27452.979999999996</v>
      </c>
      <c r="AD12" s="968">
        <v>1301</v>
      </c>
      <c r="AE12" s="969">
        <v>3.13</v>
      </c>
      <c r="AF12" s="968">
        <v>1798595</v>
      </c>
      <c r="AG12" s="969">
        <v>1279.5899999999995</v>
      </c>
      <c r="AH12" s="968">
        <v>6398</v>
      </c>
      <c r="AI12" s="969">
        <v>15.65</v>
      </c>
      <c r="AJ12" s="968">
        <v>394942</v>
      </c>
      <c r="AK12" s="969">
        <v>71.330000000000013</v>
      </c>
      <c r="AL12" s="968">
        <v>2095</v>
      </c>
      <c r="AM12" s="969">
        <v>2.0099999999999998</v>
      </c>
      <c r="AN12" s="968">
        <v>39822504</v>
      </c>
      <c r="AO12" s="969">
        <v>28824.78</v>
      </c>
      <c r="AP12" s="968">
        <v>205920</v>
      </c>
      <c r="AQ12" s="970">
        <v>134.44999999999999</v>
      </c>
      <c r="AR12" s="968">
        <v>53138</v>
      </c>
      <c r="AS12" s="969">
        <v>20.43</v>
      </c>
      <c r="AT12" s="968">
        <v>82098</v>
      </c>
      <c r="AU12" s="969">
        <v>199.69</v>
      </c>
      <c r="AV12" s="968">
        <v>348996</v>
      </c>
      <c r="AW12" s="969">
        <v>333.65999999999997</v>
      </c>
      <c r="AX12" s="1917"/>
      <c r="AY12" s="881" t="s">
        <v>1919</v>
      </c>
      <c r="AZ12" s="966">
        <v>194515</v>
      </c>
      <c r="BA12" s="967">
        <v>36.659999999999997</v>
      </c>
      <c r="BB12" s="966">
        <v>625609</v>
      </c>
      <c r="BC12" s="967">
        <v>569.95000000000005</v>
      </c>
      <c r="BD12" s="966">
        <v>44229584</v>
      </c>
      <c r="BE12" s="967">
        <v>31676.450000000004</v>
      </c>
      <c r="BF12" s="966">
        <v>791645</v>
      </c>
      <c r="BG12" s="966">
        <v>11128057</v>
      </c>
      <c r="BH12" s="966">
        <v>92846</v>
      </c>
      <c r="BI12" s="966">
        <v>12012548</v>
      </c>
      <c r="BJ12" s="966">
        <v>1589667</v>
      </c>
      <c r="BK12" s="966">
        <v>1383408</v>
      </c>
      <c r="BL12" s="967">
        <v>2103.9900000000002</v>
      </c>
      <c r="BM12" s="966">
        <v>676055</v>
      </c>
      <c r="BN12" s="966">
        <v>487032893</v>
      </c>
      <c r="BO12" s="967">
        <v>83501.55</v>
      </c>
      <c r="BP12" s="966">
        <v>46852397</v>
      </c>
      <c r="BQ12" s="966">
        <v>2452</v>
      </c>
      <c r="BR12" s="966">
        <v>3160530</v>
      </c>
      <c r="BS12" s="967">
        <v>7589.16</v>
      </c>
      <c r="BT12" s="966">
        <v>1202042</v>
      </c>
      <c r="BU12" s="966">
        <v>9139</v>
      </c>
      <c r="BV12" s="971">
        <v>37379</v>
      </c>
    </row>
    <row r="13" spans="1:74" s="883" customFormat="1" ht="9.75" customHeight="1">
      <c r="A13" s="1917"/>
      <c r="B13" s="882" t="s">
        <v>1939</v>
      </c>
      <c r="C13" s="972">
        <v>446547</v>
      </c>
      <c r="D13" s="973">
        <v>38827.06</v>
      </c>
      <c r="E13" s="972">
        <v>1</v>
      </c>
      <c r="F13" s="973">
        <v>0.05</v>
      </c>
      <c r="G13" s="972">
        <v>446548</v>
      </c>
      <c r="H13" s="973">
        <v>38827.11</v>
      </c>
      <c r="I13" s="972">
        <v>965563</v>
      </c>
      <c r="J13" s="973">
        <v>8437.9500000000007</v>
      </c>
      <c r="K13" s="972">
        <v>25935</v>
      </c>
      <c r="L13" s="973">
        <v>23.909999999999997</v>
      </c>
      <c r="M13" s="972">
        <v>481</v>
      </c>
      <c r="N13" s="973">
        <v>0.65</v>
      </c>
      <c r="O13" s="972">
        <v>703006</v>
      </c>
      <c r="P13" s="973">
        <v>316.64</v>
      </c>
      <c r="Q13" s="972">
        <v>24863</v>
      </c>
      <c r="R13" s="973">
        <v>24.26</v>
      </c>
      <c r="S13" s="972">
        <v>120118</v>
      </c>
      <c r="T13" s="973">
        <v>28.559999999999995</v>
      </c>
      <c r="U13" s="972">
        <v>13479</v>
      </c>
      <c r="V13" s="973">
        <v>6.15</v>
      </c>
      <c r="W13" s="972">
        <v>887882</v>
      </c>
      <c r="X13" s="973">
        <v>400.14</v>
      </c>
      <c r="Y13" s="973">
        <v>626.81999999999994</v>
      </c>
      <c r="Z13" s="1917"/>
      <c r="AA13" s="882" t="s">
        <v>1939</v>
      </c>
      <c r="AB13" s="974">
        <v>1679979</v>
      </c>
      <c r="AC13" s="975">
        <v>1946.6699999999998</v>
      </c>
      <c r="AD13" s="974">
        <v>2799</v>
      </c>
      <c r="AE13" s="975">
        <v>7.620000000000001</v>
      </c>
      <c r="AF13" s="974">
        <v>314632</v>
      </c>
      <c r="AG13" s="975">
        <v>100.04999999999998</v>
      </c>
      <c r="AH13" s="974">
        <v>7572</v>
      </c>
      <c r="AI13" s="975">
        <v>11.24</v>
      </c>
      <c r="AJ13" s="974">
        <v>67097</v>
      </c>
      <c r="AK13" s="975">
        <v>6.38</v>
      </c>
      <c r="AL13" s="974">
        <v>6201</v>
      </c>
      <c r="AM13" s="975">
        <v>6.4399999999999995</v>
      </c>
      <c r="AN13" s="974">
        <v>2078280</v>
      </c>
      <c r="AO13" s="975">
        <v>2078.41</v>
      </c>
      <c r="AP13" s="974">
        <v>0</v>
      </c>
      <c r="AQ13" s="976">
        <v>0</v>
      </c>
      <c r="AR13" s="974">
        <v>13588</v>
      </c>
      <c r="AS13" s="975">
        <v>5.09</v>
      </c>
      <c r="AT13" s="974">
        <v>32387</v>
      </c>
      <c r="AU13" s="975">
        <v>75</v>
      </c>
      <c r="AV13" s="974">
        <v>0</v>
      </c>
      <c r="AW13" s="975">
        <v>0</v>
      </c>
      <c r="AX13" s="1917"/>
      <c r="AY13" s="882" t="s">
        <v>1939</v>
      </c>
      <c r="AZ13" s="972">
        <v>0</v>
      </c>
      <c r="BA13" s="973">
        <v>0</v>
      </c>
      <c r="BB13" s="972">
        <v>32387</v>
      </c>
      <c r="BC13" s="973">
        <v>75</v>
      </c>
      <c r="BD13" s="972">
        <v>3004565</v>
      </c>
      <c r="BE13" s="973">
        <v>2547.4199999999996</v>
      </c>
      <c r="BF13" s="972">
        <v>113602</v>
      </c>
      <c r="BG13" s="972">
        <v>325901</v>
      </c>
      <c r="BH13" s="972">
        <v>41655</v>
      </c>
      <c r="BI13" s="972">
        <v>481158</v>
      </c>
      <c r="BJ13" s="972">
        <v>152762</v>
      </c>
      <c r="BK13" s="972">
        <v>607924</v>
      </c>
      <c r="BL13" s="973">
        <v>4899.08</v>
      </c>
      <c r="BM13" s="972">
        <v>0</v>
      </c>
      <c r="BN13" s="972">
        <v>0</v>
      </c>
      <c r="BO13" s="973">
        <v>0</v>
      </c>
      <c r="BP13" s="972">
        <v>0</v>
      </c>
      <c r="BQ13" s="972">
        <v>0</v>
      </c>
      <c r="BR13" s="972">
        <v>0</v>
      </c>
      <c r="BS13" s="973">
        <v>0</v>
      </c>
      <c r="BT13" s="972">
        <v>0</v>
      </c>
      <c r="BU13" s="972">
        <v>167</v>
      </c>
      <c r="BV13" s="977">
        <v>0</v>
      </c>
    </row>
    <row r="14" spans="1:74" s="885" customFormat="1" ht="9.75" customHeight="1">
      <c r="A14" s="1918"/>
      <c r="B14" s="884" t="s">
        <v>760</v>
      </c>
      <c r="C14" s="904">
        <v>5642203</v>
      </c>
      <c r="D14" s="905">
        <v>517448.32</v>
      </c>
      <c r="E14" s="904">
        <v>6476</v>
      </c>
      <c r="F14" s="905">
        <v>169.41000000000003</v>
      </c>
      <c r="G14" s="904">
        <v>5648679</v>
      </c>
      <c r="H14" s="905">
        <v>517617.75999999989</v>
      </c>
      <c r="I14" s="904">
        <v>4147337</v>
      </c>
      <c r="J14" s="905">
        <v>33746.76</v>
      </c>
      <c r="K14" s="904">
        <v>409541</v>
      </c>
      <c r="L14" s="905">
        <v>291.96000000000004</v>
      </c>
      <c r="M14" s="904">
        <v>11150</v>
      </c>
      <c r="N14" s="905">
        <v>17.789999999999992</v>
      </c>
      <c r="O14" s="904">
        <v>2991124</v>
      </c>
      <c r="P14" s="905">
        <v>1626.3200000000002</v>
      </c>
      <c r="Q14" s="904">
        <v>391892</v>
      </c>
      <c r="R14" s="905">
        <v>402.03000000000003</v>
      </c>
      <c r="S14" s="904">
        <v>487062</v>
      </c>
      <c r="T14" s="905">
        <v>88.669999999999987</v>
      </c>
      <c r="U14" s="904">
        <v>146173</v>
      </c>
      <c r="V14" s="905">
        <v>130.79</v>
      </c>
      <c r="W14" s="904">
        <v>4436942</v>
      </c>
      <c r="X14" s="905">
        <v>2557.4699999999993</v>
      </c>
      <c r="Y14" s="905">
        <v>3782.63</v>
      </c>
      <c r="Z14" s="1918"/>
      <c r="AA14" s="884" t="s">
        <v>760</v>
      </c>
      <c r="AB14" s="904">
        <v>39804221</v>
      </c>
      <c r="AC14" s="905">
        <v>29816.459999999995</v>
      </c>
      <c r="AD14" s="904">
        <v>4100</v>
      </c>
      <c r="AE14" s="905">
        <v>10.75</v>
      </c>
      <c r="AF14" s="904">
        <v>2139298</v>
      </c>
      <c r="AG14" s="905">
        <v>1387.0799999999995</v>
      </c>
      <c r="AH14" s="904">
        <v>13970</v>
      </c>
      <c r="AI14" s="905">
        <v>26.89</v>
      </c>
      <c r="AJ14" s="904">
        <v>464537</v>
      </c>
      <c r="AK14" s="905">
        <v>77.860000000000014</v>
      </c>
      <c r="AL14" s="904">
        <v>8296</v>
      </c>
      <c r="AM14" s="905">
        <v>8.4499999999999993</v>
      </c>
      <c r="AN14" s="904">
        <v>42434422</v>
      </c>
      <c r="AO14" s="905">
        <v>31327.559999999998</v>
      </c>
      <c r="AP14" s="904">
        <v>206631</v>
      </c>
      <c r="AQ14" s="927">
        <v>135.38999999999999</v>
      </c>
      <c r="AR14" s="904">
        <v>66726</v>
      </c>
      <c r="AS14" s="905">
        <v>25.52</v>
      </c>
      <c r="AT14" s="904">
        <v>114485</v>
      </c>
      <c r="AU14" s="905">
        <v>274.69</v>
      </c>
      <c r="AV14" s="904">
        <v>348996</v>
      </c>
      <c r="AW14" s="905">
        <v>333.65999999999997</v>
      </c>
      <c r="AX14" s="1918"/>
      <c r="AY14" s="884" t="s">
        <v>760</v>
      </c>
      <c r="AZ14" s="1429">
        <v>194515</v>
      </c>
      <c r="BA14" s="905">
        <v>36.659999999999997</v>
      </c>
      <c r="BB14" s="904">
        <v>657996</v>
      </c>
      <c r="BC14" s="905">
        <v>644.95000000000005</v>
      </c>
      <c r="BD14" s="904">
        <v>47788747</v>
      </c>
      <c r="BE14" s="905">
        <v>34653.9</v>
      </c>
      <c r="BF14" s="904">
        <v>908507</v>
      </c>
      <c r="BG14" s="904">
        <v>11653879</v>
      </c>
      <c r="BH14" s="904">
        <v>138500</v>
      </c>
      <c r="BI14" s="904">
        <v>12700886</v>
      </c>
      <c r="BJ14" s="904">
        <v>1742429</v>
      </c>
      <c r="BK14" s="904">
        <v>1991332</v>
      </c>
      <c r="BL14" s="905">
        <v>7003.07</v>
      </c>
      <c r="BM14" s="904">
        <v>786460</v>
      </c>
      <c r="BN14" s="904">
        <v>489263297</v>
      </c>
      <c r="BO14" s="905">
        <v>83778.62000000001</v>
      </c>
      <c r="BP14" s="904">
        <v>58787627</v>
      </c>
      <c r="BQ14" s="904">
        <v>2577</v>
      </c>
      <c r="BR14" s="904">
        <v>3212442</v>
      </c>
      <c r="BS14" s="905">
        <v>7648.63</v>
      </c>
      <c r="BT14" s="904">
        <v>1214561</v>
      </c>
      <c r="BU14" s="904">
        <v>9522</v>
      </c>
      <c r="BV14" s="906">
        <v>37379</v>
      </c>
    </row>
    <row r="15" spans="1:74" s="885" customFormat="1" ht="9.75" customHeight="1">
      <c r="A15" s="1917" t="s">
        <v>2035</v>
      </c>
      <c r="B15" s="1190" t="s">
        <v>1917</v>
      </c>
      <c r="C15" s="952">
        <v>1131499</v>
      </c>
      <c r="D15" s="953">
        <v>123651.13999999998</v>
      </c>
      <c r="E15" s="952">
        <v>0</v>
      </c>
      <c r="F15" s="953">
        <v>0</v>
      </c>
      <c r="G15" s="952">
        <v>1131499</v>
      </c>
      <c r="H15" s="953">
        <v>123651.13999999998</v>
      </c>
      <c r="I15" s="952">
        <v>63276</v>
      </c>
      <c r="J15" s="953">
        <v>1550.97</v>
      </c>
      <c r="K15" s="952">
        <v>11277</v>
      </c>
      <c r="L15" s="953">
        <v>9.73</v>
      </c>
      <c r="M15" s="952">
        <v>0</v>
      </c>
      <c r="N15" s="953">
        <v>0</v>
      </c>
      <c r="O15" s="952">
        <v>6555</v>
      </c>
      <c r="P15" s="953">
        <v>2.5299999999999998</v>
      </c>
      <c r="Q15" s="952">
        <v>126</v>
      </c>
      <c r="R15" s="953">
        <v>0.18000000000000002</v>
      </c>
      <c r="S15" s="952">
        <v>462</v>
      </c>
      <c r="T15" s="953">
        <v>0.04</v>
      </c>
      <c r="U15" s="952">
        <v>0</v>
      </c>
      <c r="V15" s="953">
        <v>0</v>
      </c>
      <c r="W15" s="952">
        <v>18420</v>
      </c>
      <c r="X15" s="953">
        <v>12.46</v>
      </c>
      <c r="Y15" s="953">
        <v>14.09</v>
      </c>
      <c r="Z15" s="1925" t="s">
        <v>2036</v>
      </c>
      <c r="AA15" s="1058" t="s">
        <v>1917</v>
      </c>
      <c r="AB15" s="952">
        <v>542500</v>
      </c>
      <c r="AC15" s="953">
        <v>455.53</v>
      </c>
      <c r="AD15" s="952">
        <v>0</v>
      </c>
      <c r="AE15" s="953">
        <v>0</v>
      </c>
      <c r="AF15" s="952">
        <v>26748</v>
      </c>
      <c r="AG15" s="953">
        <v>8.11</v>
      </c>
      <c r="AH15" s="952">
        <v>0</v>
      </c>
      <c r="AI15" s="953">
        <v>0</v>
      </c>
      <c r="AJ15" s="952">
        <v>1416</v>
      </c>
      <c r="AK15" s="953">
        <v>7.0000000000000007E-2</v>
      </c>
      <c r="AL15" s="952">
        <v>0</v>
      </c>
      <c r="AM15" s="953">
        <v>0</v>
      </c>
      <c r="AN15" s="952">
        <v>570664</v>
      </c>
      <c r="AO15" s="953">
        <v>463.71000000000004</v>
      </c>
      <c r="AP15" s="952">
        <v>14</v>
      </c>
      <c r="AQ15" s="955">
        <v>0</v>
      </c>
      <c r="AR15" s="952">
        <v>0</v>
      </c>
      <c r="AS15" s="953">
        <v>0</v>
      </c>
      <c r="AT15" s="952">
        <v>0</v>
      </c>
      <c r="AU15" s="953">
        <v>0</v>
      </c>
      <c r="AV15" s="952">
        <v>0</v>
      </c>
      <c r="AW15" s="953">
        <v>0</v>
      </c>
      <c r="AX15" s="1925" t="s">
        <v>2036</v>
      </c>
      <c r="AY15" s="1058" t="s">
        <v>1917</v>
      </c>
      <c r="AZ15" s="952">
        <v>0</v>
      </c>
      <c r="BA15" s="953">
        <v>0</v>
      </c>
      <c r="BB15" s="952">
        <v>0</v>
      </c>
      <c r="BC15" s="953">
        <v>0</v>
      </c>
      <c r="BD15" s="952">
        <v>589098</v>
      </c>
      <c r="BE15" s="953">
        <v>476.17</v>
      </c>
      <c r="BF15" s="952">
        <v>3366</v>
      </c>
      <c r="BG15" s="952">
        <v>221897</v>
      </c>
      <c r="BH15" s="952">
        <v>5517</v>
      </c>
      <c r="BI15" s="952">
        <v>230780</v>
      </c>
      <c r="BJ15" s="952">
        <v>0</v>
      </c>
      <c r="BK15" s="952">
        <v>0</v>
      </c>
      <c r="BL15" s="953">
        <v>0</v>
      </c>
      <c r="BM15" s="952">
        <v>114930</v>
      </c>
      <c r="BN15" s="952">
        <v>1292664</v>
      </c>
      <c r="BO15" s="953">
        <v>492.38</v>
      </c>
      <c r="BP15" s="952">
        <v>11955491</v>
      </c>
      <c r="BQ15" s="952">
        <v>199</v>
      </c>
      <c r="BR15" s="952">
        <v>110126</v>
      </c>
      <c r="BS15" s="953">
        <v>134.44</v>
      </c>
      <c r="BT15" s="952">
        <v>21783</v>
      </c>
      <c r="BU15" s="952">
        <v>214</v>
      </c>
      <c r="BV15" s="944">
        <v>0</v>
      </c>
    </row>
    <row r="16" spans="1:74" s="885" customFormat="1" ht="9.75" customHeight="1">
      <c r="A16" s="1917"/>
      <c r="B16" s="879" t="s">
        <v>1918</v>
      </c>
      <c r="C16" s="930">
        <v>45494</v>
      </c>
      <c r="D16" s="931">
        <v>4409.29</v>
      </c>
      <c r="E16" s="930">
        <v>2880</v>
      </c>
      <c r="F16" s="931">
        <v>63.309999999999995</v>
      </c>
      <c r="G16" s="930">
        <v>48374</v>
      </c>
      <c r="H16" s="931">
        <v>4472.6000000000004</v>
      </c>
      <c r="I16" s="930">
        <v>445</v>
      </c>
      <c r="J16" s="931">
        <v>191.06</v>
      </c>
      <c r="K16" s="930">
        <v>0</v>
      </c>
      <c r="L16" s="931">
        <v>0</v>
      </c>
      <c r="M16" s="930">
        <v>0</v>
      </c>
      <c r="N16" s="931">
        <v>0</v>
      </c>
      <c r="O16" s="930">
        <v>0</v>
      </c>
      <c r="P16" s="931">
        <v>0</v>
      </c>
      <c r="Q16" s="930">
        <v>0</v>
      </c>
      <c r="R16" s="931">
        <v>0</v>
      </c>
      <c r="S16" s="930">
        <v>0</v>
      </c>
      <c r="T16" s="931">
        <v>0</v>
      </c>
      <c r="U16" s="930">
        <v>0</v>
      </c>
      <c r="V16" s="931">
        <v>0</v>
      </c>
      <c r="W16" s="930">
        <v>0</v>
      </c>
      <c r="X16" s="931">
        <v>0</v>
      </c>
      <c r="Y16" s="931">
        <v>0</v>
      </c>
      <c r="Z16" s="1917"/>
      <c r="AA16" s="879" t="s">
        <v>1918</v>
      </c>
      <c r="AB16" s="930">
        <v>13031</v>
      </c>
      <c r="AC16" s="931">
        <v>9.86</v>
      </c>
      <c r="AD16" s="930">
        <v>0</v>
      </c>
      <c r="AE16" s="931">
        <v>0</v>
      </c>
      <c r="AF16" s="930">
        <v>382</v>
      </c>
      <c r="AG16" s="931">
        <v>0.08</v>
      </c>
      <c r="AH16" s="930">
        <v>0</v>
      </c>
      <c r="AI16" s="931">
        <v>0</v>
      </c>
      <c r="AJ16" s="930">
        <v>0</v>
      </c>
      <c r="AK16" s="931">
        <v>0</v>
      </c>
      <c r="AL16" s="930">
        <v>0</v>
      </c>
      <c r="AM16" s="931">
        <v>0</v>
      </c>
      <c r="AN16" s="930">
        <v>13413</v>
      </c>
      <c r="AO16" s="931">
        <v>9.94</v>
      </c>
      <c r="AP16" s="930">
        <v>0</v>
      </c>
      <c r="AQ16" s="932">
        <v>0</v>
      </c>
      <c r="AR16" s="930">
        <v>0</v>
      </c>
      <c r="AS16" s="931">
        <v>0</v>
      </c>
      <c r="AT16" s="930">
        <v>0</v>
      </c>
      <c r="AU16" s="931">
        <v>0</v>
      </c>
      <c r="AV16" s="930">
        <v>0</v>
      </c>
      <c r="AW16" s="931">
        <v>0</v>
      </c>
      <c r="AX16" s="1917"/>
      <c r="AY16" s="879" t="s">
        <v>1918</v>
      </c>
      <c r="AZ16" s="930">
        <v>0</v>
      </c>
      <c r="BA16" s="931">
        <v>0</v>
      </c>
      <c r="BB16" s="930">
        <v>0</v>
      </c>
      <c r="BC16" s="931">
        <v>0</v>
      </c>
      <c r="BD16" s="930">
        <v>13413</v>
      </c>
      <c r="BE16" s="931">
        <v>1</v>
      </c>
      <c r="BF16" s="930">
        <v>0</v>
      </c>
      <c r="BG16" s="930">
        <v>4354</v>
      </c>
      <c r="BH16" s="930">
        <v>0</v>
      </c>
      <c r="BI16" s="930">
        <v>4354</v>
      </c>
      <c r="BJ16" s="930">
        <v>0</v>
      </c>
      <c r="BK16" s="930">
        <v>0</v>
      </c>
      <c r="BL16" s="931">
        <v>0</v>
      </c>
      <c r="BM16" s="930">
        <v>0</v>
      </c>
      <c r="BN16" s="930">
        <v>0</v>
      </c>
      <c r="BO16" s="931">
        <v>0</v>
      </c>
      <c r="BP16" s="930">
        <v>0</v>
      </c>
      <c r="BQ16" s="930">
        <v>0</v>
      </c>
      <c r="BR16" s="930">
        <v>0</v>
      </c>
      <c r="BS16" s="931">
        <v>0</v>
      </c>
      <c r="BT16" s="930">
        <v>0</v>
      </c>
      <c r="BU16" s="930">
        <v>6</v>
      </c>
      <c r="BV16" s="943">
        <v>0</v>
      </c>
    </row>
    <row r="17" spans="1:74" s="885" customFormat="1" ht="9.75" customHeight="1">
      <c r="A17" s="1917"/>
      <c r="B17" s="938" t="s">
        <v>1919</v>
      </c>
      <c r="C17" s="935">
        <v>4260359</v>
      </c>
      <c r="D17" s="936">
        <v>383005.86</v>
      </c>
      <c r="E17" s="935">
        <v>2797</v>
      </c>
      <c r="F17" s="936">
        <v>147</v>
      </c>
      <c r="G17" s="935">
        <v>4263156</v>
      </c>
      <c r="H17" s="936">
        <v>383152.85</v>
      </c>
      <c r="I17" s="935">
        <v>3629926</v>
      </c>
      <c r="J17" s="936">
        <v>26569.580000000005</v>
      </c>
      <c r="K17" s="935">
        <v>373514</v>
      </c>
      <c r="L17" s="936">
        <v>249.49999999999997</v>
      </c>
      <c r="M17" s="935">
        <v>11157</v>
      </c>
      <c r="N17" s="936">
        <v>17.759999999999998</v>
      </c>
      <c r="O17" s="935">
        <v>2382442</v>
      </c>
      <c r="P17" s="936">
        <v>1394.8400000000001</v>
      </c>
      <c r="Q17" s="935">
        <v>351898</v>
      </c>
      <c r="R17" s="936">
        <v>356.28</v>
      </c>
      <c r="S17" s="935">
        <v>412241</v>
      </c>
      <c r="T17" s="936">
        <v>56.039999999999978</v>
      </c>
      <c r="U17" s="935">
        <v>134295</v>
      </c>
      <c r="V17" s="936">
        <v>138.66000000000003</v>
      </c>
      <c r="W17" s="935">
        <v>3665547</v>
      </c>
      <c r="X17" s="936">
        <v>2212.9899999999998</v>
      </c>
      <c r="Y17" s="936">
        <v>3259.83</v>
      </c>
      <c r="Z17" s="1917"/>
      <c r="AA17" s="938" t="s">
        <v>1919</v>
      </c>
      <c r="AB17" s="935">
        <v>38931222</v>
      </c>
      <c r="AC17" s="936">
        <v>29010.289999999997</v>
      </c>
      <c r="AD17" s="935">
        <v>815</v>
      </c>
      <c r="AE17" s="936">
        <v>2.0099999999999998</v>
      </c>
      <c r="AF17" s="935">
        <v>1820743</v>
      </c>
      <c r="AG17" s="936">
        <v>1298.1499999999999</v>
      </c>
      <c r="AH17" s="935">
        <v>6635</v>
      </c>
      <c r="AI17" s="936">
        <v>15.13</v>
      </c>
      <c r="AJ17" s="935">
        <v>669227</v>
      </c>
      <c r="AK17" s="936">
        <v>70.960000000000008</v>
      </c>
      <c r="AL17" s="935">
        <v>2155</v>
      </c>
      <c r="AM17" s="936">
        <v>2.36</v>
      </c>
      <c r="AN17" s="935">
        <v>41430797</v>
      </c>
      <c r="AO17" s="936">
        <v>30398.890000000003</v>
      </c>
      <c r="AP17" s="935">
        <v>237634</v>
      </c>
      <c r="AQ17" s="937">
        <v>164.61999999999998</v>
      </c>
      <c r="AR17" s="935">
        <v>67947</v>
      </c>
      <c r="AS17" s="936">
        <v>24.560000000000002</v>
      </c>
      <c r="AT17" s="935">
        <v>96380</v>
      </c>
      <c r="AU17" s="936">
        <v>204.87000000000003</v>
      </c>
      <c r="AV17" s="935">
        <v>369192</v>
      </c>
      <c r="AW17" s="936">
        <v>352.11</v>
      </c>
      <c r="AX17" s="1917"/>
      <c r="AY17" s="938" t="s">
        <v>1919</v>
      </c>
      <c r="AZ17" s="935">
        <v>219674</v>
      </c>
      <c r="BA17" s="936">
        <v>39.61</v>
      </c>
      <c r="BB17" s="935">
        <v>685246</v>
      </c>
      <c r="BC17" s="936">
        <v>596.64</v>
      </c>
      <c r="BD17" s="935">
        <v>46080536</v>
      </c>
      <c r="BE17" s="936">
        <v>33382.479999999996</v>
      </c>
      <c r="BF17" s="935">
        <v>847120</v>
      </c>
      <c r="BG17" s="935">
        <v>11376389</v>
      </c>
      <c r="BH17" s="935">
        <v>100957</v>
      </c>
      <c r="BI17" s="935">
        <v>12324466</v>
      </c>
      <c r="BJ17" s="935">
        <v>1640301</v>
      </c>
      <c r="BK17" s="935">
        <v>1475386</v>
      </c>
      <c r="BL17" s="936">
        <v>2263.36</v>
      </c>
      <c r="BM17" s="935">
        <v>689680</v>
      </c>
      <c r="BN17" s="935">
        <v>513073284</v>
      </c>
      <c r="BO17" s="936">
        <v>89688.03</v>
      </c>
      <c r="BP17" s="935">
        <v>48196547</v>
      </c>
      <c r="BQ17" s="935">
        <v>3017</v>
      </c>
      <c r="BR17" s="935">
        <v>4166545</v>
      </c>
      <c r="BS17" s="936">
        <v>9588.48</v>
      </c>
      <c r="BT17" s="935">
        <v>1410817</v>
      </c>
      <c r="BU17" s="935">
        <v>9233</v>
      </c>
      <c r="BV17" s="944">
        <v>38682</v>
      </c>
    </row>
    <row r="18" spans="1:74" s="885" customFormat="1" ht="9.75" customHeight="1">
      <c r="A18" s="1917"/>
      <c r="B18" s="879" t="s">
        <v>1939</v>
      </c>
      <c r="C18" s="930">
        <v>451881</v>
      </c>
      <c r="D18" s="931">
        <v>44134.37</v>
      </c>
      <c r="E18" s="930">
        <v>0</v>
      </c>
      <c r="F18" s="931">
        <v>0</v>
      </c>
      <c r="G18" s="930">
        <v>451881</v>
      </c>
      <c r="H18" s="931">
        <v>44134.37</v>
      </c>
      <c r="I18" s="930">
        <v>1010397</v>
      </c>
      <c r="J18" s="931">
        <v>10500.69</v>
      </c>
      <c r="K18" s="930">
        <v>27791</v>
      </c>
      <c r="L18" s="931">
        <v>24.590000000000003</v>
      </c>
      <c r="M18" s="930">
        <v>615</v>
      </c>
      <c r="N18" s="931">
        <v>0.77</v>
      </c>
      <c r="O18" s="930">
        <v>717446</v>
      </c>
      <c r="P18" s="931">
        <v>327.90999999999997</v>
      </c>
      <c r="Q18" s="930">
        <v>26146</v>
      </c>
      <c r="R18" s="931">
        <v>25.32</v>
      </c>
      <c r="S18" s="930">
        <v>118395</v>
      </c>
      <c r="T18" s="931">
        <v>26.24</v>
      </c>
      <c r="U18" s="930">
        <v>12518</v>
      </c>
      <c r="V18" s="931">
        <v>6.76</v>
      </c>
      <c r="W18" s="930">
        <v>902911</v>
      </c>
      <c r="X18" s="931">
        <v>411.61</v>
      </c>
      <c r="Y18" s="931">
        <v>634.86</v>
      </c>
      <c r="Z18" s="1917"/>
      <c r="AA18" s="879" t="s">
        <v>1939</v>
      </c>
      <c r="AB18" s="930">
        <v>1717865</v>
      </c>
      <c r="AC18" s="931">
        <v>1991.44</v>
      </c>
      <c r="AD18" s="930">
        <v>3027</v>
      </c>
      <c r="AE18" s="931">
        <v>8.1300000000000008</v>
      </c>
      <c r="AF18" s="930">
        <v>318671</v>
      </c>
      <c r="AG18" s="931">
        <v>101.71</v>
      </c>
      <c r="AH18" s="930">
        <v>6660</v>
      </c>
      <c r="AI18" s="931">
        <v>10.26</v>
      </c>
      <c r="AJ18" s="930">
        <v>68415</v>
      </c>
      <c r="AK18" s="931">
        <v>6.08</v>
      </c>
      <c r="AL18" s="930">
        <v>6287</v>
      </c>
      <c r="AM18" s="931">
        <v>6.26</v>
      </c>
      <c r="AN18" s="930">
        <v>2120925</v>
      </c>
      <c r="AO18" s="931">
        <v>2123.83</v>
      </c>
      <c r="AP18" s="930">
        <v>0</v>
      </c>
      <c r="AQ18" s="932">
        <v>0</v>
      </c>
      <c r="AR18" s="930">
        <v>15170</v>
      </c>
      <c r="AS18" s="931">
        <v>6.23</v>
      </c>
      <c r="AT18" s="930">
        <v>34069</v>
      </c>
      <c r="AU18" s="931">
        <v>80.25</v>
      </c>
      <c r="AV18" s="930">
        <v>0</v>
      </c>
      <c r="AW18" s="931">
        <v>0</v>
      </c>
      <c r="AX18" s="1917"/>
      <c r="AY18" s="879" t="s">
        <v>1939</v>
      </c>
      <c r="AZ18" s="930">
        <v>0</v>
      </c>
      <c r="BA18" s="931">
        <v>0</v>
      </c>
      <c r="BB18" s="930">
        <v>34069</v>
      </c>
      <c r="BC18" s="931">
        <v>80.25</v>
      </c>
      <c r="BD18" s="930">
        <v>3066415</v>
      </c>
      <c r="BE18" s="931">
        <v>2611.67</v>
      </c>
      <c r="BF18" s="930">
        <v>116187</v>
      </c>
      <c r="BG18" s="930">
        <v>302523</v>
      </c>
      <c r="BH18" s="930">
        <v>45459</v>
      </c>
      <c r="BI18" s="930">
        <v>464169</v>
      </c>
      <c r="BJ18" s="930">
        <v>157291</v>
      </c>
      <c r="BK18" s="930">
        <v>693768</v>
      </c>
      <c r="BL18" s="931">
        <v>5110.33</v>
      </c>
      <c r="BM18" s="930">
        <v>0</v>
      </c>
      <c r="BN18" s="930">
        <v>0</v>
      </c>
      <c r="BO18" s="931">
        <v>0</v>
      </c>
      <c r="BP18" s="930">
        <v>0</v>
      </c>
      <c r="BQ18" s="930">
        <v>0</v>
      </c>
      <c r="BR18" s="930">
        <v>0</v>
      </c>
      <c r="BS18" s="931">
        <v>0</v>
      </c>
      <c r="BT18" s="930">
        <v>0</v>
      </c>
      <c r="BU18" s="930">
        <v>159</v>
      </c>
      <c r="BV18" s="943">
        <v>0</v>
      </c>
    </row>
    <row r="19" spans="1:74" s="885" customFormat="1" ht="9.75" customHeight="1">
      <c r="A19" s="1918"/>
      <c r="B19" s="1010" t="s">
        <v>760</v>
      </c>
      <c r="C19" s="933">
        <v>5889233</v>
      </c>
      <c r="D19" s="934">
        <v>555200.66</v>
      </c>
      <c r="E19" s="933">
        <v>5677</v>
      </c>
      <c r="F19" s="934">
        <v>210.31</v>
      </c>
      <c r="G19" s="933">
        <v>5894910</v>
      </c>
      <c r="H19" s="934">
        <v>555410.96</v>
      </c>
      <c r="I19" s="933">
        <v>4704044</v>
      </c>
      <c r="J19" s="934">
        <v>38812.300000000003</v>
      </c>
      <c r="K19" s="933">
        <v>412582</v>
      </c>
      <c r="L19" s="934">
        <v>283.81999999999994</v>
      </c>
      <c r="M19" s="933">
        <v>11772</v>
      </c>
      <c r="N19" s="934">
        <v>18.529999999999998</v>
      </c>
      <c r="O19" s="933">
        <v>3106443</v>
      </c>
      <c r="P19" s="934">
        <v>1725.2800000000002</v>
      </c>
      <c r="Q19" s="933">
        <v>378170</v>
      </c>
      <c r="R19" s="934">
        <v>381.78</v>
      </c>
      <c r="S19" s="933">
        <v>531098</v>
      </c>
      <c r="T19" s="934">
        <v>82.319999999999979</v>
      </c>
      <c r="U19" s="933">
        <v>146813</v>
      </c>
      <c r="V19" s="934">
        <v>145.42000000000002</v>
      </c>
      <c r="W19" s="933">
        <v>4586878</v>
      </c>
      <c r="X19" s="934">
        <v>2637.06</v>
      </c>
      <c r="Y19" s="1637">
        <v>3908.78</v>
      </c>
      <c r="Z19" s="1918"/>
      <c r="AA19" s="1010" t="s">
        <v>760</v>
      </c>
      <c r="AB19" s="933">
        <v>41204618</v>
      </c>
      <c r="AC19" s="934">
        <v>31467.119999999995</v>
      </c>
      <c r="AD19" s="933">
        <v>3842</v>
      </c>
      <c r="AE19" s="934">
        <v>10.14</v>
      </c>
      <c r="AF19" s="933">
        <v>2166544</v>
      </c>
      <c r="AG19" s="934">
        <v>1408.05</v>
      </c>
      <c r="AH19" s="933">
        <v>13295</v>
      </c>
      <c r="AI19" s="934">
        <v>25.39</v>
      </c>
      <c r="AJ19" s="933">
        <v>739058</v>
      </c>
      <c r="AK19" s="934">
        <v>77.11</v>
      </c>
      <c r="AL19" s="933">
        <v>8442</v>
      </c>
      <c r="AM19" s="934">
        <v>8.6199999999999992</v>
      </c>
      <c r="AN19" s="933">
        <v>44135799</v>
      </c>
      <c r="AO19" s="934">
        <v>32996.370000000003</v>
      </c>
      <c r="AP19" s="933">
        <v>237648</v>
      </c>
      <c r="AQ19" s="946">
        <v>164.61999999999998</v>
      </c>
      <c r="AR19" s="933">
        <v>83117</v>
      </c>
      <c r="AS19" s="934">
        <v>30.790000000000003</v>
      </c>
      <c r="AT19" s="933">
        <v>130449</v>
      </c>
      <c r="AU19" s="934">
        <v>285.12</v>
      </c>
      <c r="AV19" s="933">
        <v>369192</v>
      </c>
      <c r="AW19" s="1637">
        <v>352.11</v>
      </c>
      <c r="AX19" s="1918"/>
      <c r="AY19" s="1010" t="s">
        <v>760</v>
      </c>
      <c r="AZ19" s="1423">
        <v>219674</v>
      </c>
      <c r="BA19" s="934">
        <v>39.61</v>
      </c>
      <c r="BB19" s="933">
        <v>719315</v>
      </c>
      <c r="BC19" s="934">
        <v>676.89</v>
      </c>
      <c r="BD19" s="933">
        <v>49749462</v>
      </c>
      <c r="BE19" s="934">
        <v>36471.319999999992</v>
      </c>
      <c r="BF19" s="933">
        <v>966673</v>
      </c>
      <c r="BG19" s="933">
        <v>11905163</v>
      </c>
      <c r="BH19" s="933">
        <v>151933</v>
      </c>
      <c r="BI19" s="933">
        <v>13023769</v>
      </c>
      <c r="BJ19" s="933">
        <v>1797592</v>
      </c>
      <c r="BK19" s="933">
        <v>2169154</v>
      </c>
      <c r="BL19" s="934">
        <v>7373.6900000000005</v>
      </c>
      <c r="BM19" s="933">
        <v>804610</v>
      </c>
      <c r="BN19" s="933">
        <v>514365948</v>
      </c>
      <c r="BO19" s="934">
        <v>90180.41</v>
      </c>
      <c r="BP19" s="933">
        <v>60152038</v>
      </c>
      <c r="BQ19" s="933">
        <v>3216</v>
      </c>
      <c r="BR19" s="1423">
        <v>4276671</v>
      </c>
      <c r="BS19" s="934">
        <v>9722.92</v>
      </c>
      <c r="BT19" s="933">
        <v>1432600</v>
      </c>
      <c r="BU19" s="933">
        <v>9612</v>
      </c>
      <c r="BV19" s="945">
        <v>38682</v>
      </c>
    </row>
    <row r="20" spans="1:74" s="885" customFormat="1" ht="9.75" customHeight="1">
      <c r="A20" s="1931" t="s">
        <v>2036</v>
      </c>
      <c r="B20" s="1033" t="s">
        <v>1917</v>
      </c>
      <c r="C20" s="1616">
        <v>1137748</v>
      </c>
      <c r="D20" s="1617">
        <v>142136.18</v>
      </c>
      <c r="E20" s="1616">
        <v>0</v>
      </c>
      <c r="F20" s="1617">
        <v>0</v>
      </c>
      <c r="G20" s="1616">
        <v>1137748</v>
      </c>
      <c r="H20" s="1617">
        <v>142136.18</v>
      </c>
      <c r="I20" s="1616">
        <v>78415</v>
      </c>
      <c r="J20" s="1617">
        <v>1525.71</v>
      </c>
      <c r="K20" s="1616">
        <v>9544</v>
      </c>
      <c r="L20" s="1617">
        <v>8.4</v>
      </c>
      <c r="M20" s="1616">
        <v>1</v>
      </c>
      <c r="N20" s="1617">
        <v>0</v>
      </c>
      <c r="O20" s="1616">
        <v>7430</v>
      </c>
      <c r="P20" s="1617">
        <v>2.77</v>
      </c>
      <c r="Q20" s="1616">
        <v>92</v>
      </c>
      <c r="R20" s="1617">
        <v>0.05</v>
      </c>
      <c r="S20" s="1616">
        <v>565</v>
      </c>
      <c r="T20" s="1617">
        <v>0.03</v>
      </c>
      <c r="U20" s="1616">
        <v>0</v>
      </c>
      <c r="V20" s="1617">
        <v>0</v>
      </c>
      <c r="W20" s="1616">
        <v>17632</v>
      </c>
      <c r="X20" s="1617">
        <v>11.26</v>
      </c>
      <c r="Y20" s="1617">
        <v>13.12</v>
      </c>
      <c r="Z20" s="1932" t="s">
        <v>2036</v>
      </c>
      <c r="AA20" s="1620" t="s">
        <v>1917</v>
      </c>
      <c r="AB20" s="1616">
        <v>665072</v>
      </c>
      <c r="AC20" s="1617">
        <v>586.95000000000005</v>
      </c>
      <c r="AD20" s="1616">
        <v>0</v>
      </c>
      <c r="AE20" s="1617">
        <v>0</v>
      </c>
      <c r="AF20" s="1616">
        <v>37350</v>
      </c>
      <c r="AG20" s="1617">
        <v>11.8</v>
      </c>
      <c r="AH20" s="1616">
        <v>0</v>
      </c>
      <c r="AI20" s="1617">
        <v>0</v>
      </c>
      <c r="AJ20" s="1616">
        <v>1806</v>
      </c>
      <c r="AK20" s="1617">
        <v>0.05</v>
      </c>
      <c r="AL20" s="1616">
        <v>0</v>
      </c>
      <c r="AM20" s="1617">
        <v>0</v>
      </c>
      <c r="AN20" s="1616">
        <v>704228</v>
      </c>
      <c r="AO20" s="1617">
        <v>598.84</v>
      </c>
      <c r="AP20" s="1616">
        <v>23</v>
      </c>
      <c r="AQ20" s="1621">
        <v>0.01</v>
      </c>
      <c r="AR20" s="1616">
        <v>0</v>
      </c>
      <c r="AS20" s="1617">
        <v>0</v>
      </c>
      <c r="AT20" s="1616">
        <v>0</v>
      </c>
      <c r="AU20" s="1617">
        <v>0</v>
      </c>
      <c r="AV20" s="1616">
        <v>0</v>
      </c>
      <c r="AW20" s="1617">
        <v>0</v>
      </c>
      <c r="AX20" s="1931" t="s">
        <v>2036</v>
      </c>
      <c r="AY20" s="1033" t="s">
        <v>1917</v>
      </c>
      <c r="AZ20" s="930">
        <v>0</v>
      </c>
      <c r="BA20" s="931">
        <v>0</v>
      </c>
      <c r="BB20" s="930">
        <v>0</v>
      </c>
      <c r="BC20" s="931">
        <v>0</v>
      </c>
      <c r="BD20" s="930">
        <v>721883</v>
      </c>
      <c r="BE20" s="931">
        <v>610.11</v>
      </c>
      <c r="BF20" s="930">
        <v>3613</v>
      </c>
      <c r="BG20" s="930">
        <v>260269</v>
      </c>
      <c r="BH20" s="930">
        <v>7065</v>
      </c>
      <c r="BI20" s="930">
        <v>270947</v>
      </c>
      <c r="BJ20" s="930">
        <v>0</v>
      </c>
      <c r="BK20" s="930">
        <v>0</v>
      </c>
      <c r="BL20" s="931">
        <v>0</v>
      </c>
      <c r="BM20" s="930">
        <v>118340</v>
      </c>
      <c r="BN20" s="930">
        <v>10905787</v>
      </c>
      <c r="BO20" s="931">
        <v>881.33999999999992</v>
      </c>
      <c r="BP20" s="930">
        <v>12282399</v>
      </c>
      <c r="BQ20" s="930">
        <v>200</v>
      </c>
      <c r="BR20" s="1163">
        <v>189938</v>
      </c>
      <c r="BS20" s="931">
        <v>255.43999999999997</v>
      </c>
      <c r="BT20" s="930">
        <v>34358</v>
      </c>
      <c r="BU20" s="930">
        <v>218</v>
      </c>
      <c r="BV20" s="943">
        <v>0</v>
      </c>
    </row>
    <row r="21" spans="1:74" s="885" customFormat="1" ht="9.75" customHeight="1">
      <c r="A21" s="1931"/>
      <c r="B21" s="938" t="s">
        <v>1918</v>
      </c>
      <c r="C21" s="935">
        <v>43632</v>
      </c>
      <c r="D21" s="936">
        <v>4040.6000000000004</v>
      </c>
      <c r="E21" s="935">
        <v>1597</v>
      </c>
      <c r="F21" s="936">
        <v>22.54</v>
      </c>
      <c r="G21" s="935">
        <v>45229</v>
      </c>
      <c r="H21" s="936">
        <v>4063.14</v>
      </c>
      <c r="I21" s="935">
        <v>381</v>
      </c>
      <c r="J21" s="936">
        <v>154.29</v>
      </c>
      <c r="K21" s="935">
        <v>0</v>
      </c>
      <c r="L21" s="936">
        <v>0</v>
      </c>
      <c r="M21" s="935">
        <v>0</v>
      </c>
      <c r="N21" s="936">
        <v>0</v>
      </c>
      <c r="O21" s="935">
        <v>0</v>
      </c>
      <c r="P21" s="936">
        <v>0</v>
      </c>
      <c r="Q21" s="935">
        <v>0</v>
      </c>
      <c r="R21" s="936">
        <v>0</v>
      </c>
      <c r="S21" s="935">
        <v>0</v>
      </c>
      <c r="T21" s="936">
        <v>0</v>
      </c>
      <c r="U21" s="935">
        <v>0</v>
      </c>
      <c r="V21" s="936">
        <v>0</v>
      </c>
      <c r="W21" s="935">
        <v>0</v>
      </c>
      <c r="X21" s="936">
        <v>0</v>
      </c>
      <c r="Y21" s="936">
        <v>0</v>
      </c>
      <c r="Z21" s="1932"/>
      <c r="AA21" s="938" t="s">
        <v>1918</v>
      </c>
      <c r="AB21" s="935">
        <v>14667</v>
      </c>
      <c r="AC21" s="936">
        <v>11.67</v>
      </c>
      <c r="AD21" s="935">
        <v>0</v>
      </c>
      <c r="AE21" s="936">
        <v>0</v>
      </c>
      <c r="AF21" s="935">
        <v>578</v>
      </c>
      <c r="AG21" s="936">
        <v>0.15000000000000002</v>
      </c>
      <c r="AH21" s="935">
        <v>0</v>
      </c>
      <c r="AI21" s="936">
        <v>0</v>
      </c>
      <c r="AJ21" s="935">
        <v>0</v>
      </c>
      <c r="AK21" s="936">
        <v>0</v>
      </c>
      <c r="AL21" s="935">
        <v>0</v>
      </c>
      <c r="AM21" s="936">
        <v>0</v>
      </c>
      <c r="AN21" s="935">
        <v>15245</v>
      </c>
      <c r="AO21" s="936">
        <v>11.81</v>
      </c>
      <c r="AP21" s="935">
        <v>0</v>
      </c>
      <c r="AQ21" s="937">
        <v>0</v>
      </c>
      <c r="AR21" s="935">
        <v>0</v>
      </c>
      <c r="AS21" s="936">
        <v>0</v>
      </c>
      <c r="AT21" s="935">
        <v>0</v>
      </c>
      <c r="AU21" s="936">
        <v>0</v>
      </c>
      <c r="AV21" s="935">
        <v>0</v>
      </c>
      <c r="AW21" s="936">
        <v>0</v>
      </c>
      <c r="AX21" s="1931"/>
      <c r="AY21" s="938" t="s">
        <v>1918</v>
      </c>
      <c r="AZ21" s="935">
        <v>0</v>
      </c>
      <c r="BA21" s="936">
        <v>0</v>
      </c>
      <c r="BB21" s="935">
        <v>0</v>
      </c>
      <c r="BC21" s="936">
        <v>0</v>
      </c>
      <c r="BD21" s="935">
        <v>15245</v>
      </c>
      <c r="BE21" s="936">
        <v>1</v>
      </c>
      <c r="BF21" s="935">
        <v>0</v>
      </c>
      <c r="BG21" s="935">
        <v>4553</v>
      </c>
      <c r="BH21" s="935">
        <v>0</v>
      </c>
      <c r="BI21" s="935">
        <v>4553</v>
      </c>
      <c r="BJ21" s="935">
        <v>0</v>
      </c>
      <c r="BK21" s="935">
        <v>0</v>
      </c>
      <c r="BL21" s="936">
        <v>0</v>
      </c>
      <c r="BM21" s="935">
        <v>0</v>
      </c>
      <c r="BN21" s="935">
        <v>0</v>
      </c>
      <c r="BO21" s="936">
        <v>0</v>
      </c>
      <c r="BP21" s="935">
        <v>0</v>
      </c>
      <c r="BQ21" s="935">
        <v>0</v>
      </c>
      <c r="BR21" s="1162">
        <v>0</v>
      </c>
      <c r="BS21" s="936">
        <v>0</v>
      </c>
      <c r="BT21" s="935">
        <v>0</v>
      </c>
      <c r="BU21" s="935">
        <v>6</v>
      </c>
      <c r="BV21" s="944">
        <v>0</v>
      </c>
    </row>
    <row r="22" spans="1:74" s="885" customFormat="1" ht="9.75" customHeight="1">
      <c r="A22" s="1931"/>
      <c r="B22" s="879" t="s">
        <v>1919</v>
      </c>
      <c r="C22" s="930">
        <v>4130179</v>
      </c>
      <c r="D22" s="931">
        <v>399433.9</v>
      </c>
      <c r="E22" s="930">
        <v>3576</v>
      </c>
      <c r="F22" s="931">
        <v>234.76</v>
      </c>
      <c r="G22" s="930">
        <v>4133755</v>
      </c>
      <c r="H22" s="931">
        <v>399668.63000000006</v>
      </c>
      <c r="I22" s="930">
        <v>3766140</v>
      </c>
      <c r="J22" s="931">
        <v>29473.759999999998</v>
      </c>
      <c r="K22" s="930">
        <v>365641</v>
      </c>
      <c r="L22" s="931">
        <v>256.09999999999997</v>
      </c>
      <c r="M22" s="930">
        <v>11259</v>
      </c>
      <c r="N22" s="931">
        <v>20.459999999999994</v>
      </c>
      <c r="O22" s="930">
        <v>2857501</v>
      </c>
      <c r="P22" s="931">
        <v>1666.3600000000001</v>
      </c>
      <c r="Q22" s="930">
        <v>404054</v>
      </c>
      <c r="R22" s="931">
        <v>390.55000000000007</v>
      </c>
      <c r="S22" s="930">
        <v>461780</v>
      </c>
      <c r="T22" s="931">
        <v>71.27</v>
      </c>
      <c r="U22" s="930">
        <v>154687</v>
      </c>
      <c r="V22" s="931">
        <v>197.36</v>
      </c>
      <c r="W22" s="930">
        <v>4254922</v>
      </c>
      <c r="X22" s="931">
        <v>2602.1000000000004</v>
      </c>
      <c r="Y22" s="931">
        <v>3570.5800000000008</v>
      </c>
      <c r="Z22" s="1932"/>
      <c r="AA22" s="879" t="s">
        <v>1919</v>
      </c>
      <c r="AB22" s="930">
        <v>40982009</v>
      </c>
      <c r="AC22" s="931">
        <v>31232.609999999993</v>
      </c>
      <c r="AD22" s="930">
        <v>1062</v>
      </c>
      <c r="AE22" s="931">
        <v>2.95</v>
      </c>
      <c r="AF22" s="930">
        <v>2279982</v>
      </c>
      <c r="AG22" s="931">
        <v>1335.4899999999998</v>
      </c>
      <c r="AH22" s="930">
        <v>6673</v>
      </c>
      <c r="AI22" s="931">
        <v>19.68</v>
      </c>
      <c r="AJ22" s="930">
        <v>1387553</v>
      </c>
      <c r="AK22" s="931">
        <v>72.850000000000009</v>
      </c>
      <c r="AL22" s="930">
        <v>2334</v>
      </c>
      <c r="AM22" s="931">
        <v>2.85</v>
      </c>
      <c r="AN22" s="930">
        <v>44659613</v>
      </c>
      <c r="AO22" s="931">
        <v>32666.479999999985</v>
      </c>
      <c r="AP22" s="930">
        <v>253520</v>
      </c>
      <c r="AQ22" s="932">
        <v>175.46000000000004</v>
      </c>
      <c r="AR22" s="930">
        <v>79510</v>
      </c>
      <c r="AS22" s="931">
        <v>33.42</v>
      </c>
      <c r="AT22" s="930">
        <v>86014</v>
      </c>
      <c r="AU22" s="931">
        <v>330.75</v>
      </c>
      <c r="AV22" s="930">
        <v>374993</v>
      </c>
      <c r="AW22" s="931">
        <v>358.28000000000003</v>
      </c>
      <c r="AX22" s="1931"/>
      <c r="AY22" s="879" t="s">
        <v>1919</v>
      </c>
      <c r="AZ22" s="930">
        <v>231812</v>
      </c>
      <c r="BA22" s="931">
        <v>46.24</v>
      </c>
      <c r="BB22" s="930">
        <v>692819</v>
      </c>
      <c r="BC22" s="931">
        <v>735.29</v>
      </c>
      <c r="BD22" s="930">
        <v>49933711</v>
      </c>
      <c r="BE22" s="931">
        <v>36193.079999999994</v>
      </c>
      <c r="BF22" s="930">
        <v>882066</v>
      </c>
      <c r="BG22" s="930">
        <v>12005422</v>
      </c>
      <c r="BH22" s="930">
        <v>103227</v>
      </c>
      <c r="BI22" s="930">
        <v>12990715</v>
      </c>
      <c r="BJ22" s="930">
        <v>1694637</v>
      </c>
      <c r="BK22" s="930">
        <v>1623545</v>
      </c>
      <c r="BL22" s="931">
        <v>2556.9400000000005</v>
      </c>
      <c r="BM22" s="930">
        <v>711443</v>
      </c>
      <c r="BN22" s="930">
        <v>545592015</v>
      </c>
      <c r="BO22" s="931">
        <v>96353.1</v>
      </c>
      <c r="BP22" s="930">
        <v>49580583</v>
      </c>
      <c r="BQ22" s="930">
        <v>3398</v>
      </c>
      <c r="BR22" s="1163">
        <v>5104026</v>
      </c>
      <c r="BS22" s="931">
        <v>11637.029999999999</v>
      </c>
      <c r="BT22" s="930">
        <v>1748798</v>
      </c>
      <c r="BU22" s="930">
        <v>9356</v>
      </c>
      <c r="BV22" s="943">
        <v>41130</v>
      </c>
    </row>
    <row r="23" spans="1:74" s="885" customFormat="1" ht="9.75" customHeight="1">
      <c r="A23" s="1931"/>
      <c r="B23" s="938" t="s">
        <v>1939</v>
      </c>
      <c r="C23" s="935">
        <v>427680</v>
      </c>
      <c r="D23" s="936">
        <v>45310.399999999994</v>
      </c>
      <c r="E23" s="935">
        <v>0</v>
      </c>
      <c r="F23" s="936">
        <v>0</v>
      </c>
      <c r="G23" s="935">
        <v>427680</v>
      </c>
      <c r="H23" s="936">
        <v>45310.399999999994</v>
      </c>
      <c r="I23" s="935">
        <v>1257757</v>
      </c>
      <c r="J23" s="936">
        <v>11355.7</v>
      </c>
      <c r="K23" s="935">
        <v>27569</v>
      </c>
      <c r="L23" s="936">
        <v>24.8</v>
      </c>
      <c r="M23" s="935">
        <v>498</v>
      </c>
      <c r="N23" s="936">
        <v>0.65</v>
      </c>
      <c r="O23" s="935">
        <v>812257</v>
      </c>
      <c r="P23" s="936">
        <v>372.9</v>
      </c>
      <c r="Q23" s="935">
        <v>29072</v>
      </c>
      <c r="R23" s="936">
        <v>25.91</v>
      </c>
      <c r="S23" s="935">
        <v>138430</v>
      </c>
      <c r="T23" s="936">
        <v>32.19</v>
      </c>
      <c r="U23" s="935">
        <v>15530</v>
      </c>
      <c r="V23" s="936">
        <v>7.67</v>
      </c>
      <c r="W23" s="935">
        <v>1023356</v>
      </c>
      <c r="X23" s="936">
        <v>464.14</v>
      </c>
      <c r="Y23" s="936">
        <v>674.25</v>
      </c>
      <c r="Z23" s="1932"/>
      <c r="AA23" s="938" t="s">
        <v>1939</v>
      </c>
      <c r="AB23" s="935">
        <v>1857921</v>
      </c>
      <c r="AC23" s="936">
        <v>2241.42</v>
      </c>
      <c r="AD23" s="935">
        <v>3516</v>
      </c>
      <c r="AE23" s="936">
        <v>9.4600000000000009</v>
      </c>
      <c r="AF23" s="935">
        <v>365814</v>
      </c>
      <c r="AG23" s="936">
        <v>122.86999999999999</v>
      </c>
      <c r="AH23" s="935">
        <v>8635</v>
      </c>
      <c r="AI23" s="936">
        <v>12.129999999999999</v>
      </c>
      <c r="AJ23" s="935">
        <v>80025</v>
      </c>
      <c r="AK23" s="936">
        <v>7.08</v>
      </c>
      <c r="AL23" s="935">
        <v>6929</v>
      </c>
      <c r="AM23" s="936">
        <v>7.58</v>
      </c>
      <c r="AN23" s="935">
        <v>2322840</v>
      </c>
      <c r="AO23" s="936">
        <v>2400.5499999999997</v>
      </c>
      <c r="AP23" s="935">
        <v>0</v>
      </c>
      <c r="AQ23" s="937">
        <v>0</v>
      </c>
      <c r="AR23" s="935">
        <v>12937</v>
      </c>
      <c r="AS23" s="936">
        <v>5.15</v>
      </c>
      <c r="AT23" s="935">
        <v>30352</v>
      </c>
      <c r="AU23" s="936">
        <v>72.680000000000007</v>
      </c>
      <c r="AV23" s="935">
        <v>0</v>
      </c>
      <c r="AW23" s="936">
        <v>0</v>
      </c>
      <c r="AX23" s="1931"/>
      <c r="AY23" s="938" t="s">
        <v>1939</v>
      </c>
      <c r="AZ23" s="935">
        <v>0</v>
      </c>
      <c r="BA23" s="936">
        <v>0</v>
      </c>
      <c r="BB23" s="935">
        <v>30352</v>
      </c>
      <c r="BC23" s="936">
        <v>72.680000000000007</v>
      </c>
      <c r="BD23" s="935">
        <v>3380850</v>
      </c>
      <c r="BE23" s="936">
        <v>2930.41</v>
      </c>
      <c r="BF23" s="935">
        <v>114795</v>
      </c>
      <c r="BG23" s="935">
        <v>305361</v>
      </c>
      <c r="BH23" s="935">
        <v>48234</v>
      </c>
      <c r="BI23" s="935">
        <v>468390</v>
      </c>
      <c r="BJ23" s="935">
        <v>162229</v>
      </c>
      <c r="BK23" s="935">
        <v>716940</v>
      </c>
      <c r="BL23" s="936">
        <v>5512.59</v>
      </c>
      <c r="BM23" s="935">
        <v>0</v>
      </c>
      <c r="BN23" s="935">
        <v>0</v>
      </c>
      <c r="BO23" s="936">
        <v>0</v>
      </c>
      <c r="BP23" s="935">
        <v>0</v>
      </c>
      <c r="BQ23" s="935">
        <v>0</v>
      </c>
      <c r="BR23" s="1162">
        <v>0</v>
      </c>
      <c r="BS23" s="936">
        <v>0</v>
      </c>
      <c r="BT23" s="935">
        <v>0</v>
      </c>
      <c r="BU23" s="935">
        <v>167</v>
      </c>
      <c r="BV23" s="944">
        <v>0</v>
      </c>
    </row>
    <row r="24" spans="1:74" s="885" customFormat="1" ht="9.75" customHeight="1">
      <c r="A24" s="1925"/>
      <c r="B24" s="1424" t="s">
        <v>760</v>
      </c>
      <c r="C24" s="1618">
        <v>5739239</v>
      </c>
      <c r="D24" s="1619">
        <v>590921.08000000007</v>
      </c>
      <c r="E24" s="1618">
        <v>5173</v>
      </c>
      <c r="F24" s="1619">
        <v>257.3</v>
      </c>
      <c r="G24" s="1618">
        <v>5744412</v>
      </c>
      <c r="H24" s="1619">
        <v>591178.35000000009</v>
      </c>
      <c r="I24" s="1618">
        <v>5102693</v>
      </c>
      <c r="J24" s="1619">
        <v>42509.46</v>
      </c>
      <c r="K24" s="1618">
        <v>402754</v>
      </c>
      <c r="L24" s="1619">
        <v>289.29999999999995</v>
      </c>
      <c r="M24" s="1618">
        <v>11758</v>
      </c>
      <c r="N24" s="1619">
        <v>21.109999999999992</v>
      </c>
      <c r="O24" s="1618">
        <v>3677188</v>
      </c>
      <c r="P24" s="1619">
        <v>2042.0300000000002</v>
      </c>
      <c r="Q24" s="1618">
        <v>433218</v>
      </c>
      <c r="R24" s="1619">
        <v>416.5100000000001</v>
      </c>
      <c r="S24" s="1618">
        <v>600775</v>
      </c>
      <c r="T24" s="1619">
        <v>103.49</v>
      </c>
      <c r="U24" s="1618">
        <v>170217</v>
      </c>
      <c r="V24" s="1619">
        <v>205.03</v>
      </c>
      <c r="W24" s="1618">
        <v>5295910</v>
      </c>
      <c r="X24" s="1619">
        <v>3077.5000000000005</v>
      </c>
      <c r="Y24" s="1619">
        <v>4257.9500000000007</v>
      </c>
      <c r="Z24" s="1932"/>
      <c r="AA24" s="1622" t="s">
        <v>760</v>
      </c>
      <c r="AB24" s="1618">
        <v>43519669</v>
      </c>
      <c r="AC24" s="1619">
        <v>34072.649999999994</v>
      </c>
      <c r="AD24" s="1618">
        <v>4578</v>
      </c>
      <c r="AE24" s="1619">
        <v>12.41</v>
      </c>
      <c r="AF24" s="1618">
        <v>2683724</v>
      </c>
      <c r="AG24" s="1619">
        <v>1470.3099999999997</v>
      </c>
      <c r="AH24" s="1618">
        <v>15308</v>
      </c>
      <c r="AI24" s="1619">
        <v>31.81</v>
      </c>
      <c r="AJ24" s="1618">
        <v>1469384</v>
      </c>
      <c r="AK24" s="1619">
        <v>79.98</v>
      </c>
      <c r="AL24" s="1618">
        <v>9263</v>
      </c>
      <c r="AM24" s="1619">
        <v>10.43</v>
      </c>
      <c r="AN24" s="1618">
        <v>47701926</v>
      </c>
      <c r="AO24" s="1619">
        <v>35677.679999999986</v>
      </c>
      <c r="AP24" s="1618">
        <v>253543</v>
      </c>
      <c r="AQ24" s="1623">
        <v>175.47000000000003</v>
      </c>
      <c r="AR24" s="1618">
        <v>92447</v>
      </c>
      <c r="AS24" s="1619">
        <v>38.57</v>
      </c>
      <c r="AT24" s="1618">
        <v>116366</v>
      </c>
      <c r="AU24" s="1619">
        <v>403.43</v>
      </c>
      <c r="AV24" s="1618">
        <v>374993</v>
      </c>
      <c r="AW24" s="1619">
        <v>358.28000000000003</v>
      </c>
      <c r="AX24" s="1931"/>
      <c r="AY24" s="1424" t="s">
        <v>760</v>
      </c>
      <c r="AZ24" s="1625">
        <v>231812</v>
      </c>
      <c r="BA24" s="1626">
        <v>46.24</v>
      </c>
      <c r="BB24" s="1627">
        <v>723171</v>
      </c>
      <c r="BC24" s="1626">
        <v>807.97</v>
      </c>
      <c r="BD24" s="1627">
        <v>54051689</v>
      </c>
      <c r="BE24" s="1626">
        <v>39734.599999999991</v>
      </c>
      <c r="BF24" s="1627">
        <v>1000474</v>
      </c>
      <c r="BG24" s="1627">
        <v>12575605</v>
      </c>
      <c r="BH24" s="1627">
        <v>158526</v>
      </c>
      <c r="BI24" s="1627">
        <v>13734605</v>
      </c>
      <c r="BJ24" s="1627">
        <v>1856866</v>
      </c>
      <c r="BK24" s="1627">
        <v>2340485</v>
      </c>
      <c r="BL24" s="1626">
        <v>8069.5300000000007</v>
      </c>
      <c r="BM24" s="1627">
        <v>829783</v>
      </c>
      <c r="BN24" s="1627">
        <v>556497802</v>
      </c>
      <c r="BO24" s="1626">
        <v>97234.44</v>
      </c>
      <c r="BP24" s="1627">
        <v>61862982</v>
      </c>
      <c r="BQ24" s="1627">
        <v>3598</v>
      </c>
      <c r="BR24" s="1625">
        <v>5293964</v>
      </c>
      <c r="BS24" s="1626">
        <v>11892.47</v>
      </c>
      <c r="BT24" s="1627">
        <v>1783156</v>
      </c>
      <c r="BU24" s="1627">
        <v>9747</v>
      </c>
      <c r="BV24" s="1628">
        <v>41130</v>
      </c>
    </row>
    <row r="25" spans="1:74" s="883" customFormat="1" ht="9.75" customHeight="1">
      <c r="A25" s="1908" t="s">
        <v>2585</v>
      </c>
      <c r="B25" s="1909"/>
      <c r="C25" s="902"/>
      <c r="D25" s="903"/>
      <c r="E25" s="902"/>
      <c r="F25" s="903"/>
      <c r="G25" s="902"/>
      <c r="H25" s="903"/>
      <c r="I25" s="902"/>
      <c r="J25" s="903"/>
      <c r="K25" s="902"/>
      <c r="L25" s="903"/>
      <c r="M25" s="902"/>
      <c r="N25" s="903"/>
      <c r="O25" s="902"/>
      <c r="P25" s="903"/>
      <c r="Q25" s="902"/>
      <c r="R25" s="903"/>
      <c r="S25" s="902"/>
      <c r="T25" s="903"/>
      <c r="U25" s="902"/>
      <c r="V25" s="903"/>
      <c r="W25" s="902"/>
      <c r="X25" s="903"/>
      <c r="Y25" s="903"/>
      <c r="Z25" s="1908" t="s">
        <v>2320</v>
      </c>
      <c r="AA25" s="1927"/>
      <c r="AB25" s="902"/>
      <c r="AC25" s="903"/>
      <c r="AD25" s="902"/>
      <c r="AE25" s="903"/>
      <c r="AF25" s="902"/>
      <c r="AG25" s="903"/>
      <c r="AH25" s="902"/>
      <c r="AI25" s="903"/>
      <c r="AJ25" s="902"/>
      <c r="AK25" s="903"/>
      <c r="AL25" s="902"/>
      <c r="AM25" s="903"/>
      <c r="AN25" s="902"/>
      <c r="AO25" s="903"/>
      <c r="AP25" s="902"/>
      <c r="AQ25" s="926"/>
      <c r="AR25" s="902"/>
      <c r="AS25" s="903"/>
      <c r="AT25" s="902"/>
      <c r="AU25" s="903"/>
      <c r="AV25" s="902"/>
      <c r="AW25" s="903"/>
      <c r="AX25" s="1908" t="s">
        <v>2320</v>
      </c>
      <c r="AY25" s="1909"/>
      <c r="AZ25" s="902"/>
      <c r="BA25" s="903"/>
      <c r="BB25" s="902"/>
      <c r="BC25" s="903"/>
      <c r="BD25" s="902"/>
      <c r="BE25" s="903"/>
      <c r="BF25" s="902"/>
      <c r="BG25" s="902"/>
      <c r="BH25" s="902"/>
      <c r="BI25" s="902"/>
      <c r="BJ25" s="902"/>
      <c r="BK25" s="902"/>
      <c r="BL25" s="903"/>
      <c r="BM25" s="902"/>
      <c r="BN25" s="902"/>
      <c r="BO25" s="903"/>
      <c r="BP25" s="902"/>
      <c r="BQ25" s="902"/>
      <c r="BR25" s="902"/>
      <c r="BS25" s="903"/>
      <c r="BT25" s="902"/>
      <c r="BU25" s="902"/>
      <c r="BV25" s="1624"/>
    </row>
    <row r="26" spans="1:74" s="885" customFormat="1" ht="9.75" customHeight="1">
      <c r="A26" s="1925" t="s">
        <v>2037</v>
      </c>
      <c r="B26" s="951" t="s">
        <v>1917</v>
      </c>
      <c r="C26" s="952">
        <v>1083143</v>
      </c>
      <c r="D26" s="953">
        <v>131911.32999999999</v>
      </c>
      <c r="E26" s="952">
        <v>15397</v>
      </c>
      <c r="F26" s="953">
        <v>610.84</v>
      </c>
      <c r="G26" s="952">
        <v>1098540</v>
      </c>
      <c r="H26" s="953">
        <v>132522.21</v>
      </c>
      <c r="I26" s="952">
        <v>90015</v>
      </c>
      <c r="J26" s="953">
        <v>1754.87</v>
      </c>
      <c r="K26" s="952">
        <v>9789</v>
      </c>
      <c r="L26" s="953">
        <v>8.73</v>
      </c>
      <c r="M26" s="952">
        <v>12</v>
      </c>
      <c r="N26" s="953">
        <v>0.02</v>
      </c>
      <c r="O26" s="952">
        <v>7407</v>
      </c>
      <c r="P26" s="953">
        <v>2.99</v>
      </c>
      <c r="Q26" s="952">
        <v>219</v>
      </c>
      <c r="R26" s="953">
        <v>0.16999999999999998</v>
      </c>
      <c r="S26" s="952">
        <v>828</v>
      </c>
      <c r="T26" s="953">
        <v>0.04</v>
      </c>
      <c r="U26" s="952">
        <v>0</v>
      </c>
      <c r="V26" s="953">
        <v>0</v>
      </c>
      <c r="W26" s="952">
        <v>18255</v>
      </c>
      <c r="X26" s="953">
        <v>11.94</v>
      </c>
      <c r="Y26" s="953">
        <v>13.33</v>
      </c>
      <c r="Z26" s="1932" t="s">
        <v>2037</v>
      </c>
      <c r="AA26" s="951" t="s">
        <v>1917</v>
      </c>
      <c r="AB26" s="952">
        <v>735520</v>
      </c>
      <c r="AC26" s="953">
        <v>672.69</v>
      </c>
      <c r="AD26" s="952">
        <v>0</v>
      </c>
      <c r="AE26" s="953">
        <v>0</v>
      </c>
      <c r="AF26" s="952">
        <v>47234</v>
      </c>
      <c r="AG26" s="953">
        <v>15.809999999999999</v>
      </c>
      <c r="AH26" s="952">
        <v>0</v>
      </c>
      <c r="AI26" s="953">
        <v>0</v>
      </c>
      <c r="AJ26" s="952">
        <v>2886</v>
      </c>
      <c r="AK26" s="953">
        <v>0.15</v>
      </c>
      <c r="AL26" s="952">
        <v>0</v>
      </c>
      <c r="AM26" s="953">
        <v>0</v>
      </c>
      <c r="AN26" s="952">
        <v>785640</v>
      </c>
      <c r="AO26" s="953">
        <v>688.6400000000001</v>
      </c>
      <c r="AP26" s="952">
        <v>53</v>
      </c>
      <c r="AQ26" s="955">
        <v>0.01</v>
      </c>
      <c r="AR26" s="952">
        <v>0</v>
      </c>
      <c r="AS26" s="953">
        <v>0</v>
      </c>
      <c r="AT26" s="952">
        <v>0</v>
      </c>
      <c r="AU26" s="953">
        <v>0</v>
      </c>
      <c r="AV26" s="952">
        <v>0</v>
      </c>
      <c r="AW26" s="953">
        <v>0</v>
      </c>
      <c r="AX26" s="1925" t="s">
        <v>2037</v>
      </c>
      <c r="AY26" s="951" t="s">
        <v>1917</v>
      </c>
      <c r="AZ26" s="952">
        <v>0</v>
      </c>
      <c r="BA26" s="953">
        <v>0</v>
      </c>
      <c r="BB26" s="952">
        <v>0</v>
      </c>
      <c r="BC26" s="953">
        <v>0</v>
      </c>
      <c r="BD26" s="952">
        <v>803948</v>
      </c>
      <c r="BE26" s="953">
        <v>700.59</v>
      </c>
      <c r="BF26" s="952">
        <v>3725</v>
      </c>
      <c r="BG26" s="952">
        <v>284338</v>
      </c>
      <c r="BH26" s="952">
        <v>9468</v>
      </c>
      <c r="BI26" s="952">
        <v>297531</v>
      </c>
      <c r="BJ26" s="952">
        <v>0</v>
      </c>
      <c r="BK26" s="952">
        <v>0</v>
      </c>
      <c r="BL26" s="953">
        <v>0</v>
      </c>
      <c r="BM26" s="952">
        <v>121905</v>
      </c>
      <c r="BN26" s="952">
        <v>27317394</v>
      </c>
      <c r="BO26" s="953">
        <v>2059.06</v>
      </c>
      <c r="BP26" s="952">
        <v>15674264</v>
      </c>
      <c r="BQ26" s="952">
        <v>200</v>
      </c>
      <c r="BR26" s="952">
        <v>256070</v>
      </c>
      <c r="BS26" s="953">
        <v>356.82</v>
      </c>
      <c r="BT26" s="952">
        <v>48693</v>
      </c>
      <c r="BU26" s="952">
        <v>231</v>
      </c>
      <c r="BV26" s="942">
        <v>0</v>
      </c>
    </row>
    <row r="27" spans="1:74" s="885" customFormat="1" ht="9.75" customHeight="1">
      <c r="A27" s="1917"/>
      <c r="B27" s="879" t="s">
        <v>1918</v>
      </c>
      <c r="C27" s="930">
        <v>43602</v>
      </c>
      <c r="D27" s="931">
        <v>4291.93</v>
      </c>
      <c r="E27" s="930">
        <v>1427</v>
      </c>
      <c r="F27" s="931">
        <v>19.39</v>
      </c>
      <c r="G27" s="930">
        <v>45029</v>
      </c>
      <c r="H27" s="931">
        <v>4311.32</v>
      </c>
      <c r="I27" s="930">
        <v>465</v>
      </c>
      <c r="J27" s="931">
        <v>219.96</v>
      </c>
      <c r="K27" s="930">
        <v>0</v>
      </c>
      <c r="L27" s="931">
        <v>0</v>
      </c>
      <c r="M27" s="930">
        <v>0</v>
      </c>
      <c r="N27" s="931">
        <v>0</v>
      </c>
      <c r="O27" s="930">
        <v>0</v>
      </c>
      <c r="P27" s="931">
        <v>0</v>
      </c>
      <c r="Q27" s="930">
        <v>0</v>
      </c>
      <c r="R27" s="931">
        <v>0</v>
      </c>
      <c r="S27" s="930">
        <v>0</v>
      </c>
      <c r="T27" s="931">
        <v>0</v>
      </c>
      <c r="U27" s="930">
        <v>0</v>
      </c>
      <c r="V27" s="931">
        <v>0</v>
      </c>
      <c r="W27" s="930">
        <v>0</v>
      </c>
      <c r="X27" s="931">
        <v>0</v>
      </c>
      <c r="Y27" s="931">
        <v>0</v>
      </c>
      <c r="Z27" s="1932"/>
      <c r="AA27" s="879" t="s">
        <v>1918</v>
      </c>
      <c r="AB27" s="930">
        <v>14846</v>
      </c>
      <c r="AC27" s="931">
        <v>11.97</v>
      </c>
      <c r="AD27" s="930">
        <v>0</v>
      </c>
      <c r="AE27" s="931">
        <v>0</v>
      </c>
      <c r="AF27" s="930">
        <v>543</v>
      </c>
      <c r="AG27" s="931">
        <v>0.2</v>
      </c>
      <c r="AH27" s="930">
        <v>0</v>
      </c>
      <c r="AI27" s="931">
        <v>0</v>
      </c>
      <c r="AJ27" s="930">
        <v>0</v>
      </c>
      <c r="AK27" s="931">
        <v>0</v>
      </c>
      <c r="AL27" s="930">
        <v>0</v>
      </c>
      <c r="AM27" s="931">
        <v>0</v>
      </c>
      <c r="AN27" s="930">
        <v>15389</v>
      </c>
      <c r="AO27" s="931">
        <v>12.17</v>
      </c>
      <c r="AP27" s="930">
        <v>0</v>
      </c>
      <c r="AQ27" s="932">
        <v>0</v>
      </c>
      <c r="AR27" s="930">
        <v>0</v>
      </c>
      <c r="AS27" s="931">
        <v>0</v>
      </c>
      <c r="AT27" s="930">
        <v>0</v>
      </c>
      <c r="AU27" s="931">
        <v>0</v>
      </c>
      <c r="AV27" s="930">
        <v>0</v>
      </c>
      <c r="AW27" s="931">
        <v>0</v>
      </c>
      <c r="AX27" s="1917"/>
      <c r="AY27" s="879" t="s">
        <v>1918</v>
      </c>
      <c r="AZ27" s="930">
        <v>0</v>
      </c>
      <c r="BA27" s="931">
        <v>0</v>
      </c>
      <c r="BB27" s="930">
        <v>0</v>
      </c>
      <c r="BC27" s="931">
        <v>0</v>
      </c>
      <c r="BD27" s="930">
        <v>15389</v>
      </c>
      <c r="BE27" s="931">
        <v>1</v>
      </c>
      <c r="BF27" s="930">
        <v>0</v>
      </c>
      <c r="BG27" s="930">
        <v>4918</v>
      </c>
      <c r="BH27" s="930">
        <v>0</v>
      </c>
      <c r="BI27" s="930">
        <v>4918</v>
      </c>
      <c r="BJ27" s="930">
        <v>0</v>
      </c>
      <c r="BK27" s="930">
        <v>0</v>
      </c>
      <c r="BL27" s="931">
        <v>0</v>
      </c>
      <c r="BM27" s="930">
        <v>0</v>
      </c>
      <c r="BN27" s="930">
        <v>0</v>
      </c>
      <c r="BO27" s="931">
        <v>0</v>
      </c>
      <c r="BP27" s="930">
        <v>0</v>
      </c>
      <c r="BQ27" s="930">
        <v>0</v>
      </c>
      <c r="BR27" s="930">
        <v>0</v>
      </c>
      <c r="BS27" s="931">
        <v>0</v>
      </c>
      <c r="BT27" s="930">
        <v>0</v>
      </c>
      <c r="BU27" s="930">
        <v>6</v>
      </c>
      <c r="BV27" s="943">
        <v>0</v>
      </c>
    </row>
    <row r="28" spans="1:74" s="885" customFormat="1" ht="9.75" customHeight="1">
      <c r="A28" s="1917"/>
      <c r="B28" s="938" t="s">
        <v>1919</v>
      </c>
      <c r="C28" s="935">
        <v>4003470</v>
      </c>
      <c r="D28" s="936">
        <v>379524.05</v>
      </c>
      <c r="E28" s="935">
        <v>2568</v>
      </c>
      <c r="F28" s="936">
        <v>258.33</v>
      </c>
      <c r="G28" s="935">
        <v>4006038</v>
      </c>
      <c r="H28" s="936">
        <v>379782.35999999993</v>
      </c>
      <c r="I28" s="935">
        <v>3869492</v>
      </c>
      <c r="J28" s="936">
        <v>27828.630000000005</v>
      </c>
      <c r="K28" s="935">
        <v>384127</v>
      </c>
      <c r="L28" s="936">
        <v>264.91999999999996</v>
      </c>
      <c r="M28" s="935">
        <v>12612</v>
      </c>
      <c r="N28" s="936">
        <v>32.389999999999993</v>
      </c>
      <c r="O28" s="935">
        <v>2592852</v>
      </c>
      <c r="P28" s="936">
        <v>1550.92</v>
      </c>
      <c r="Q28" s="935">
        <v>422921</v>
      </c>
      <c r="R28" s="936">
        <v>404.80999999999995</v>
      </c>
      <c r="S28" s="935">
        <v>503207</v>
      </c>
      <c r="T28" s="936">
        <v>101.27000000000004</v>
      </c>
      <c r="U28" s="935">
        <v>188149</v>
      </c>
      <c r="V28" s="936">
        <v>228.28000000000003</v>
      </c>
      <c r="W28" s="935">
        <v>4103868</v>
      </c>
      <c r="X28" s="936">
        <v>2582.5299999999997</v>
      </c>
      <c r="Y28" s="936">
        <v>3683.8900000000003</v>
      </c>
      <c r="Z28" s="1932"/>
      <c r="AA28" s="938" t="s">
        <v>1919</v>
      </c>
      <c r="AB28" s="935">
        <v>43217240</v>
      </c>
      <c r="AC28" s="936">
        <v>32286.899999999998</v>
      </c>
      <c r="AD28" s="935">
        <v>1050</v>
      </c>
      <c r="AE28" s="936">
        <v>2.76</v>
      </c>
      <c r="AF28" s="935">
        <v>2374130</v>
      </c>
      <c r="AG28" s="936">
        <v>1285.49</v>
      </c>
      <c r="AH28" s="935">
        <v>7822</v>
      </c>
      <c r="AI28" s="936">
        <v>23.72</v>
      </c>
      <c r="AJ28" s="935">
        <v>2356427</v>
      </c>
      <c r="AK28" s="936">
        <v>109.64000000000004</v>
      </c>
      <c r="AL28" s="935">
        <v>3321</v>
      </c>
      <c r="AM28" s="936">
        <v>3.53</v>
      </c>
      <c r="AN28" s="935">
        <v>47959990</v>
      </c>
      <c r="AO28" s="936">
        <v>33712.050000000003</v>
      </c>
      <c r="AP28" s="935">
        <v>295306</v>
      </c>
      <c r="AQ28" s="937">
        <v>196.02</v>
      </c>
      <c r="AR28" s="935">
        <v>110805</v>
      </c>
      <c r="AS28" s="936">
        <v>78.97</v>
      </c>
      <c r="AT28" s="935">
        <v>98321</v>
      </c>
      <c r="AU28" s="936">
        <v>348.27</v>
      </c>
      <c r="AV28" s="935">
        <v>431685</v>
      </c>
      <c r="AW28" s="936">
        <v>389.26</v>
      </c>
      <c r="AX28" s="1917"/>
      <c r="AY28" s="938" t="s">
        <v>1919</v>
      </c>
      <c r="AZ28" s="935">
        <v>282228</v>
      </c>
      <c r="BA28" s="936">
        <v>53.14</v>
      </c>
      <c r="BB28" s="935">
        <v>812234</v>
      </c>
      <c r="BC28" s="936">
        <v>790.66</v>
      </c>
      <c r="BD28" s="935">
        <v>53274381</v>
      </c>
      <c r="BE28" s="936">
        <v>37336.559999999998</v>
      </c>
      <c r="BF28" s="935">
        <v>920071</v>
      </c>
      <c r="BG28" s="935">
        <v>12674895</v>
      </c>
      <c r="BH28" s="935">
        <v>120566</v>
      </c>
      <c r="BI28" s="935">
        <v>13715532</v>
      </c>
      <c r="BJ28" s="935">
        <v>1762308</v>
      </c>
      <c r="BK28" s="935">
        <v>1705362</v>
      </c>
      <c r="BL28" s="936">
        <v>2783.95</v>
      </c>
      <c r="BM28" s="935">
        <v>740197</v>
      </c>
      <c r="BN28" s="935">
        <v>566459521</v>
      </c>
      <c r="BO28" s="936">
        <v>93305.42</v>
      </c>
      <c r="BP28" s="935">
        <v>51068179</v>
      </c>
      <c r="BQ28" s="935">
        <v>3712</v>
      </c>
      <c r="BR28" s="935">
        <v>5729822</v>
      </c>
      <c r="BS28" s="936">
        <v>13806.660000000002</v>
      </c>
      <c r="BT28" s="935">
        <v>1983651</v>
      </c>
      <c r="BU28" s="935">
        <v>9549</v>
      </c>
      <c r="BV28" s="944">
        <v>43162</v>
      </c>
    </row>
    <row r="29" spans="1:74" s="885" customFormat="1" ht="9.75" customHeight="1">
      <c r="A29" s="1917"/>
      <c r="B29" s="879" t="s">
        <v>1939</v>
      </c>
      <c r="C29" s="930">
        <v>434910</v>
      </c>
      <c r="D29" s="931">
        <v>43254.82</v>
      </c>
      <c r="E29" s="930">
        <v>0</v>
      </c>
      <c r="F29" s="931">
        <v>0</v>
      </c>
      <c r="G29" s="930">
        <v>434910</v>
      </c>
      <c r="H29" s="931">
        <v>43254.82</v>
      </c>
      <c r="I29" s="930">
        <v>1174045</v>
      </c>
      <c r="J29" s="931">
        <v>10204.200000000001</v>
      </c>
      <c r="K29" s="930">
        <v>28422</v>
      </c>
      <c r="L29" s="931">
        <v>25.39</v>
      </c>
      <c r="M29" s="930">
        <v>569</v>
      </c>
      <c r="N29" s="931">
        <v>0.89</v>
      </c>
      <c r="O29" s="930">
        <v>769156</v>
      </c>
      <c r="P29" s="931">
        <v>345.22</v>
      </c>
      <c r="Q29" s="930">
        <v>29694</v>
      </c>
      <c r="R29" s="931">
        <v>24.8</v>
      </c>
      <c r="S29" s="930">
        <v>156129</v>
      </c>
      <c r="T29" s="931">
        <v>37.25</v>
      </c>
      <c r="U29" s="930">
        <v>19270</v>
      </c>
      <c r="V29" s="931">
        <v>8.36</v>
      </c>
      <c r="W29" s="930">
        <v>1003240</v>
      </c>
      <c r="X29" s="931">
        <v>441.95000000000005</v>
      </c>
      <c r="Y29" s="931">
        <v>679.20999999999992</v>
      </c>
      <c r="Z29" s="1932"/>
      <c r="AA29" s="879" t="s">
        <v>1939</v>
      </c>
      <c r="AB29" s="930">
        <v>1893818</v>
      </c>
      <c r="AC29" s="931">
        <v>2163.59</v>
      </c>
      <c r="AD29" s="930">
        <v>3946</v>
      </c>
      <c r="AE29" s="931">
        <v>10.82</v>
      </c>
      <c r="AF29" s="930">
        <v>357938</v>
      </c>
      <c r="AG29" s="931">
        <v>111.80000000000001</v>
      </c>
      <c r="AH29" s="930">
        <v>9055</v>
      </c>
      <c r="AI29" s="931">
        <v>11.629999999999999</v>
      </c>
      <c r="AJ29" s="930">
        <v>96695</v>
      </c>
      <c r="AK29" s="931">
        <v>10.050000000000001</v>
      </c>
      <c r="AL29" s="930">
        <v>7557</v>
      </c>
      <c r="AM29" s="931">
        <v>7.82</v>
      </c>
      <c r="AN29" s="930">
        <v>2369009</v>
      </c>
      <c r="AO29" s="931">
        <v>2315.6999999999998</v>
      </c>
      <c r="AP29" s="930">
        <v>0</v>
      </c>
      <c r="AQ29" s="932">
        <v>0</v>
      </c>
      <c r="AR29" s="930">
        <v>12060</v>
      </c>
      <c r="AS29" s="931">
        <v>5.0599999999999996</v>
      </c>
      <c r="AT29" s="930">
        <v>31471</v>
      </c>
      <c r="AU29" s="931">
        <v>73.2</v>
      </c>
      <c r="AV29" s="930">
        <v>0</v>
      </c>
      <c r="AW29" s="931">
        <v>0</v>
      </c>
      <c r="AX29" s="1917"/>
      <c r="AY29" s="879" t="s">
        <v>1939</v>
      </c>
      <c r="AZ29" s="930">
        <v>0</v>
      </c>
      <c r="BA29" s="931">
        <v>0</v>
      </c>
      <c r="BB29" s="930">
        <v>31471</v>
      </c>
      <c r="BC29" s="931">
        <v>73.2</v>
      </c>
      <c r="BD29" s="930">
        <v>3406725</v>
      </c>
      <c r="BE29" s="931">
        <v>2824.2799999999997</v>
      </c>
      <c r="BF29" s="930">
        <v>122678</v>
      </c>
      <c r="BG29" s="930">
        <v>316848</v>
      </c>
      <c r="BH29" s="930">
        <v>50794</v>
      </c>
      <c r="BI29" s="930">
        <v>490320</v>
      </c>
      <c r="BJ29" s="930">
        <v>166980</v>
      </c>
      <c r="BK29" s="930">
        <v>739281</v>
      </c>
      <c r="BL29" s="931">
        <v>6169.41</v>
      </c>
      <c r="BM29" s="930">
        <v>0</v>
      </c>
      <c r="BN29" s="930">
        <v>0</v>
      </c>
      <c r="BO29" s="931">
        <v>0</v>
      </c>
      <c r="BP29" s="930">
        <v>0</v>
      </c>
      <c r="BQ29" s="930">
        <v>0</v>
      </c>
      <c r="BR29" s="930">
        <v>0</v>
      </c>
      <c r="BS29" s="931">
        <v>0</v>
      </c>
      <c r="BT29" s="930">
        <v>0</v>
      </c>
      <c r="BU29" s="930">
        <v>168</v>
      </c>
      <c r="BV29" s="943">
        <v>0</v>
      </c>
    </row>
    <row r="30" spans="1:74" s="885" customFormat="1" ht="9.75" customHeight="1">
      <c r="A30" s="1917"/>
      <c r="B30" s="1382" t="s">
        <v>760</v>
      </c>
      <c r="C30" s="933">
        <v>5565125</v>
      </c>
      <c r="D30" s="934">
        <v>558982.12999999989</v>
      </c>
      <c r="E30" s="933">
        <v>19392</v>
      </c>
      <c r="F30" s="934">
        <v>888.56</v>
      </c>
      <c r="G30" s="933">
        <v>5584517</v>
      </c>
      <c r="H30" s="934">
        <v>559870.70999999985</v>
      </c>
      <c r="I30" s="933">
        <v>5134017</v>
      </c>
      <c r="J30" s="934">
        <v>40007.660000000003</v>
      </c>
      <c r="K30" s="933">
        <v>422338</v>
      </c>
      <c r="L30" s="934">
        <v>299.03999999999996</v>
      </c>
      <c r="M30" s="933">
        <v>13193</v>
      </c>
      <c r="N30" s="934">
        <v>33.299999999999997</v>
      </c>
      <c r="O30" s="933">
        <v>3369415</v>
      </c>
      <c r="P30" s="934">
        <v>1899.13</v>
      </c>
      <c r="Q30" s="933">
        <v>452834</v>
      </c>
      <c r="R30" s="934">
        <v>429.78</v>
      </c>
      <c r="S30" s="933">
        <v>660164</v>
      </c>
      <c r="T30" s="934">
        <v>138.56000000000006</v>
      </c>
      <c r="U30" s="933">
        <v>207419</v>
      </c>
      <c r="V30" s="934">
        <v>236.64000000000004</v>
      </c>
      <c r="W30" s="933">
        <v>5125363</v>
      </c>
      <c r="X30" s="934">
        <v>3036.42</v>
      </c>
      <c r="Y30" s="934">
        <v>4376.43</v>
      </c>
      <c r="Z30" s="1932"/>
      <c r="AA30" s="954" t="s">
        <v>760</v>
      </c>
      <c r="AB30" s="933">
        <v>45861424</v>
      </c>
      <c r="AC30" s="934">
        <v>35135.149999999994</v>
      </c>
      <c r="AD30" s="933">
        <v>4996</v>
      </c>
      <c r="AE30" s="934">
        <v>13.58</v>
      </c>
      <c r="AF30" s="933">
        <v>2779845</v>
      </c>
      <c r="AG30" s="934">
        <v>1413.3</v>
      </c>
      <c r="AH30" s="933">
        <v>16877</v>
      </c>
      <c r="AI30" s="934">
        <v>35.349999999999994</v>
      </c>
      <c r="AJ30" s="933">
        <v>2456008</v>
      </c>
      <c r="AK30" s="934">
        <v>119.84000000000005</v>
      </c>
      <c r="AL30" s="933">
        <v>10878</v>
      </c>
      <c r="AM30" s="934">
        <v>11.35</v>
      </c>
      <c r="AN30" s="933">
        <v>51130028</v>
      </c>
      <c r="AO30" s="934">
        <v>36728.559999999998</v>
      </c>
      <c r="AP30" s="933">
        <v>295359</v>
      </c>
      <c r="AQ30" s="946">
        <v>196.03</v>
      </c>
      <c r="AR30" s="933">
        <v>122865</v>
      </c>
      <c r="AS30" s="934">
        <v>84.03</v>
      </c>
      <c r="AT30" s="933">
        <v>129792</v>
      </c>
      <c r="AU30" s="934">
        <v>421.46999999999997</v>
      </c>
      <c r="AV30" s="933">
        <v>431685</v>
      </c>
      <c r="AW30" s="934">
        <v>389.26</v>
      </c>
      <c r="AX30" s="1918"/>
      <c r="AY30" s="954" t="s">
        <v>760</v>
      </c>
      <c r="AZ30" s="1423">
        <v>282228</v>
      </c>
      <c r="BA30" s="934">
        <v>53.14</v>
      </c>
      <c r="BB30" s="933">
        <v>843705</v>
      </c>
      <c r="BC30" s="934">
        <v>863.86</v>
      </c>
      <c r="BD30" s="933">
        <v>57500443</v>
      </c>
      <c r="BE30" s="934">
        <v>40862.429999999993</v>
      </c>
      <c r="BF30" s="933">
        <v>1046474</v>
      </c>
      <c r="BG30" s="933">
        <v>13280999</v>
      </c>
      <c r="BH30" s="933">
        <v>180828</v>
      </c>
      <c r="BI30" s="933">
        <v>14508301</v>
      </c>
      <c r="BJ30" s="933">
        <v>1929288</v>
      </c>
      <c r="BK30" s="933">
        <v>2444643</v>
      </c>
      <c r="BL30" s="934">
        <v>8953.36</v>
      </c>
      <c r="BM30" s="933">
        <v>862102</v>
      </c>
      <c r="BN30" s="933">
        <v>593776915</v>
      </c>
      <c r="BO30" s="934">
        <v>95364.479999999996</v>
      </c>
      <c r="BP30" s="933">
        <v>66742443</v>
      </c>
      <c r="BQ30" s="933">
        <v>3912</v>
      </c>
      <c r="BR30" s="933">
        <v>5985892</v>
      </c>
      <c r="BS30" s="934">
        <v>14163.480000000001</v>
      </c>
      <c r="BT30" s="933">
        <v>2032344</v>
      </c>
      <c r="BU30" s="933">
        <v>9954</v>
      </c>
      <c r="BV30" s="945">
        <v>43162</v>
      </c>
    </row>
    <row r="31" spans="1:74" s="885" customFormat="1" ht="9.75" customHeight="1">
      <c r="A31" s="1908" t="s">
        <v>2585</v>
      </c>
      <c r="B31" s="1909"/>
      <c r="C31" s="902"/>
      <c r="D31" s="903"/>
      <c r="E31" s="902"/>
      <c r="F31" s="903"/>
      <c r="G31" s="902"/>
      <c r="H31" s="903"/>
      <c r="I31" s="902"/>
      <c r="J31" s="903"/>
      <c r="K31" s="902"/>
      <c r="L31" s="903"/>
      <c r="M31" s="902"/>
      <c r="N31" s="903"/>
      <c r="O31" s="902"/>
      <c r="P31" s="903"/>
      <c r="Q31" s="902"/>
      <c r="R31" s="903"/>
      <c r="S31" s="902"/>
      <c r="T31" s="903"/>
      <c r="U31" s="902"/>
      <c r="V31" s="903"/>
      <c r="W31" s="902"/>
      <c r="X31" s="903"/>
      <c r="Y31" s="903"/>
      <c r="Z31" s="1908" t="s">
        <v>2585</v>
      </c>
      <c r="AA31" s="1909"/>
      <c r="AB31" s="902"/>
      <c r="AC31" s="903"/>
      <c r="AD31" s="902"/>
      <c r="AE31" s="903"/>
      <c r="AF31" s="902"/>
      <c r="AG31" s="903"/>
      <c r="AH31" s="902"/>
      <c r="AI31" s="903"/>
      <c r="AJ31" s="902"/>
      <c r="AK31" s="903"/>
      <c r="AL31" s="902"/>
      <c r="AM31" s="903"/>
      <c r="AN31" s="902"/>
      <c r="AO31" s="903"/>
      <c r="AP31" s="902"/>
      <c r="AQ31" s="926"/>
      <c r="AR31" s="902"/>
      <c r="AS31" s="903"/>
      <c r="AT31" s="902"/>
      <c r="AU31" s="903"/>
      <c r="AV31" s="902"/>
      <c r="AW31" s="903"/>
      <c r="AX31" s="1908" t="s">
        <v>2585</v>
      </c>
      <c r="AY31" s="1928"/>
      <c r="AZ31" s="902"/>
      <c r="BA31" s="903"/>
      <c r="BB31" s="902"/>
      <c r="BC31" s="903"/>
      <c r="BD31" s="902"/>
      <c r="BE31" s="903"/>
      <c r="BF31" s="902"/>
      <c r="BG31" s="902"/>
      <c r="BH31" s="902"/>
      <c r="BI31" s="902"/>
      <c r="BJ31" s="902"/>
      <c r="BK31" s="902"/>
      <c r="BL31" s="903"/>
      <c r="BM31" s="902"/>
      <c r="BN31" s="902"/>
      <c r="BO31" s="903"/>
      <c r="BP31" s="902"/>
      <c r="BQ31" s="902"/>
      <c r="BR31" s="902"/>
      <c r="BS31" s="903"/>
      <c r="BT31" s="902"/>
      <c r="BU31" s="902"/>
      <c r="BV31" s="1294"/>
    </row>
    <row r="32" spans="1:74" s="885" customFormat="1" ht="9.75" customHeight="1">
      <c r="A32" s="1926" t="s">
        <v>843</v>
      </c>
      <c r="B32" s="1033" t="s">
        <v>1917</v>
      </c>
      <c r="C32" s="1034">
        <v>414039</v>
      </c>
      <c r="D32" s="1035">
        <v>49499.239999999991</v>
      </c>
      <c r="E32" s="1034">
        <v>0</v>
      </c>
      <c r="F32" s="1035">
        <v>0</v>
      </c>
      <c r="G32" s="1034">
        <v>414039</v>
      </c>
      <c r="H32" s="1035">
        <v>49499.239999999991</v>
      </c>
      <c r="I32" s="1034">
        <v>24504</v>
      </c>
      <c r="J32" s="1035">
        <v>313.5</v>
      </c>
      <c r="K32" s="1034">
        <v>3040</v>
      </c>
      <c r="L32" s="1035">
        <v>2.71</v>
      </c>
      <c r="M32" s="1034">
        <v>8</v>
      </c>
      <c r="N32" s="1035">
        <v>0.01</v>
      </c>
      <c r="O32" s="1034">
        <v>2466</v>
      </c>
      <c r="P32" s="1035">
        <v>1.04</v>
      </c>
      <c r="Q32" s="1034">
        <v>23</v>
      </c>
      <c r="R32" s="1035">
        <v>0.02</v>
      </c>
      <c r="S32" s="1034">
        <v>254</v>
      </c>
      <c r="T32" s="1035">
        <v>0.01</v>
      </c>
      <c r="U32" s="1034">
        <v>0</v>
      </c>
      <c r="V32" s="1035">
        <v>0</v>
      </c>
      <c r="W32" s="1034">
        <v>5791</v>
      </c>
      <c r="X32" s="1035">
        <v>3.78</v>
      </c>
      <c r="Y32" s="1617">
        <v>14.56</v>
      </c>
      <c r="Z32" s="1926" t="s">
        <v>843</v>
      </c>
      <c r="AA32" s="1033" t="s">
        <v>1917</v>
      </c>
      <c r="AB32" s="1034">
        <v>241489</v>
      </c>
      <c r="AC32" s="1035">
        <v>215.02</v>
      </c>
      <c r="AD32" s="1034">
        <v>0</v>
      </c>
      <c r="AE32" s="1035">
        <v>0</v>
      </c>
      <c r="AF32" s="1034">
        <v>15773</v>
      </c>
      <c r="AG32" s="1035">
        <v>5.63</v>
      </c>
      <c r="AH32" s="1034">
        <v>0</v>
      </c>
      <c r="AI32" s="1035">
        <v>0</v>
      </c>
      <c r="AJ32" s="1034">
        <v>640</v>
      </c>
      <c r="AK32" s="1035">
        <v>0.03</v>
      </c>
      <c r="AL32" s="1034">
        <v>0</v>
      </c>
      <c r="AM32" s="1035">
        <v>0</v>
      </c>
      <c r="AN32" s="1034">
        <v>257902</v>
      </c>
      <c r="AO32" s="1035">
        <v>220.69</v>
      </c>
      <c r="AP32" s="1034">
        <v>0</v>
      </c>
      <c r="AQ32" s="1036">
        <v>0</v>
      </c>
      <c r="AR32" s="1034">
        <v>0</v>
      </c>
      <c r="AS32" s="1035">
        <v>0</v>
      </c>
      <c r="AT32" s="1034">
        <v>0</v>
      </c>
      <c r="AU32" s="1035">
        <v>0</v>
      </c>
      <c r="AV32" s="1034">
        <v>0</v>
      </c>
      <c r="AW32" s="1035">
        <v>0</v>
      </c>
      <c r="AX32" s="1926" t="s">
        <v>843</v>
      </c>
      <c r="AY32" s="1033" t="s">
        <v>1917</v>
      </c>
      <c r="AZ32" s="1034">
        <v>0</v>
      </c>
      <c r="BA32" s="1035">
        <v>0</v>
      </c>
      <c r="BB32" s="1034">
        <v>0</v>
      </c>
      <c r="BC32" s="1035">
        <v>0</v>
      </c>
      <c r="BD32" s="1034">
        <v>263693</v>
      </c>
      <c r="BE32" s="1035">
        <v>224.47</v>
      </c>
      <c r="BF32" s="1034">
        <v>3657</v>
      </c>
      <c r="BG32" s="1034">
        <v>270771</v>
      </c>
      <c r="BH32" s="1034">
        <v>7797</v>
      </c>
      <c r="BI32" s="1034">
        <v>282225</v>
      </c>
      <c r="BJ32" s="1034">
        <v>0</v>
      </c>
      <c r="BK32" s="1034">
        <v>0</v>
      </c>
      <c r="BL32" s="1035">
        <v>0</v>
      </c>
      <c r="BM32" s="1034">
        <v>119744</v>
      </c>
      <c r="BN32" s="1034">
        <v>7571372</v>
      </c>
      <c r="BO32" s="1035">
        <v>564.07000000000005</v>
      </c>
      <c r="BP32" s="1034">
        <v>13463507</v>
      </c>
      <c r="BQ32" s="1034">
        <v>200</v>
      </c>
      <c r="BR32" s="1034">
        <v>81823</v>
      </c>
      <c r="BS32" s="1035">
        <v>112.76</v>
      </c>
      <c r="BT32" s="1034">
        <v>40508</v>
      </c>
      <c r="BU32" s="1034">
        <v>221</v>
      </c>
      <c r="BV32" s="943">
        <v>0</v>
      </c>
    </row>
    <row r="33" spans="1:74" s="885" customFormat="1" ht="9.75" customHeight="1">
      <c r="A33" s="1917"/>
      <c r="B33" s="938" t="s">
        <v>1918</v>
      </c>
      <c r="C33" s="935">
        <v>15627</v>
      </c>
      <c r="D33" s="936">
        <v>1575.7</v>
      </c>
      <c r="E33" s="935">
        <v>219</v>
      </c>
      <c r="F33" s="936">
        <v>1.34</v>
      </c>
      <c r="G33" s="935">
        <v>15846</v>
      </c>
      <c r="H33" s="936">
        <v>1577.04</v>
      </c>
      <c r="I33" s="935">
        <v>108</v>
      </c>
      <c r="J33" s="936">
        <v>37.25</v>
      </c>
      <c r="K33" s="935">
        <v>0</v>
      </c>
      <c r="L33" s="936">
        <v>0</v>
      </c>
      <c r="M33" s="935">
        <v>0</v>
      </c>
      <c r="N33" s="936">
        <v>0</v>
      </c>
      <c r="O33" s="935">
        <v>0</v>
      </c>
      <c r="P33" s="936">
        <v>0</v>
      </c>
      <c r="Q33" s="935">
        <v>0</v>
      </c>
      <c r="R33" s="936">
        <v>0</v>
      </c>
      <c r="S33" s="935">
        <v>0</v>
      </c>
      <c r="T33" s="936">
        <v>0</v>
      </c>
      <c r="U33" s="935">
        <v>0</v>
      </c>
      <c r="V33" s="936">
        <v>0</v>
      </c>
      <c r="W33" s="935">
        <v>0</v>
      </c>
      <c r="X33" s="936">
        <v>0</v>
      </c>
      <c r="Y33" s="936">
        <v>0</v>
      </c>
      <c r="Z33" s="1917"/>
      <c r="AA33" s="938" t="s">
        <v>1918</v>
      </c>
      <c r="AB33" s="935">
        <v>4352</v>
      </c>
      <c r="AC33" s="936">
        <v>3.06</v>
      </c>
      <c r="AD33" s="935">
        <v>0</v>
      </c>
      <c r="AE33" s="936">
        <v>0</v>
      </c>
      <c r="AF33" s="935">
        <v>152</v>
      </c>
      <c r="AG33" s="936">
        <v>0.1</v>
      </c>
      <c r="AH33" s="935">
        <v>0</v>
      </c>
      <c r="AI33" s="936">
        <v>0</v>
      </c>
      <c r="AJ33" s="935">
        <v>0</v>
      </c>
      <c r="AK33" s="936">
        <v>0</v>
      </c>
      <c r="AL33" s="935">
        <v>0</v>
      </c>
      <c r="AM33" s="936">
        <v>0</v>
      </c>
      <c r="AN33" s="935">
        <v>4504</v>
      </c>
      <c r="AO33" s="936">
        <v>3.16</v>
      </c>
      <c r="AP33" s="935">
        <v>0</v>
      </c>
      <c r="AQ33" s="937">
        <v>0</v>
      </c>
      <c r="AR33" s="935">
        <v>0</v>
      </c>
      <c r="AS33" s="936">
        <v>0</v>
      </c>
      <c r="AT33" s="935">
        <v>0</v>
      </c>
      <c r="AU33" s="936">
        <v>0</v>
      </c>
      <c r="AV33" s="935">
        <v>0</v>
      </c>
      <c r="AW33" s="936">
        <v>0</v>
      </c>
      <c r="AX33" s="1917"/>
      <c r="AY33" s="938" t="s">
        <v>1918</v>
      </c>
      <c r="AZ33" s="935">
        <v>0</v>
      </c>
      <c r="BA33" s="936">
        <v>0</v>
      </c>
      <c r="BB33" s="935">
        <v>0</v>
      </c>
      <c r="BC33" s="936">
        <v>0</v>
      </c>
      <c r="BD33" s="935">
        <v>4504</v>
      </c>
      <c r="BE33" s="936">
        <v>3.16</v>
      </c>
      <c r="BF33" s="935">
        <v>0</v>
      </c>
      <c r="BG33" s="935">
        <v>4646</v>
      </c>
      <c r="BH33" s="935">
        <v>0</v>
      </c>
      <c r="BI33" s="935">
        <v>4646</v>
      </c>
      <c r="BJ33" s="935">
        <v>0</v>
      </c>
      <c r="BK33" s="935">
        <v>0</v>
      </c>
      <c r="BL33" s="936">
        <v>0</v>
      </c>
      <c r="BM33" s="935">
        <v>0</v>
      </c>
      <c r="BN33" s="935">
        <v>0</v>
      </c>
      <c r="BO33" s="936">
        <v>0</v>
      </c>
      <c r="BP33" s="935">
        <v>0</v>
      </c>
      <c r="BQ33" s="935">
        <v>0</v>
      </c>
      <c r="BR33" s="935">
        <v>0</v>
      </c>
      <c r="BS33" s="936">
        <v>0</v>
      </c>
      <c r="BT33" s="935">
        <v>0</v>
      </c>
      <c r="BU33" s="935">
        <v>6</v>
      </c>
      <c r="BV33" s="944">
        <v>0</v>
      </c>
    </row>
    <row r="34" spans="1:74" s="885" customFormat="1" ht="9.75" customHeight="1">
      <c r="A34" s="1917"/>
      <c r="B34" s="879" t="s">
        <v>1919</v>
      </c>
      <c r="C34" s="930">
        <v>1461575</v>
      </c>
      <c r="D34" s="931">
        <v>143072.96000000002</v>
      </c>
      <c r="E34" s="930">
        <v>1200</v>
      </c>
      <c r="F34" s="931">
        <v>118.75999999999999</v>
      </c>
      <c r="G34" s="930">
        <v>1462775</v>
      </c>
      <c r="H34" s="931">
        <v>143191.69</v>
      </c>
      <c r="I34" s="930">
        <v>1448895</v>
      </c>
      <c r="J34" s="931">
        <v>10007.560000000003</v>
      </c>
      <c r="K34" s="930">
        <v>136518</v>
      </c>
      <c r="L34" s="931">
        <v>90.999999999999986</v>
      </c>
      <c r="M34" s="930">
        <v>3640</v>
      </c>
      <c r="N34" s="931">
        <v>12.369999999999997</v>
      </c>
      <c r="O34" s="930">
        <v>868060</v>
      </c>
      <c r="P34" s="931">
        <v>510.71</v>
      </c>
      <c r="Q34" s="930">
        <v>136307</v>
      </c>
      <c r="R34" s="931">
        <v>126.56999999999998</v>
      </c>
      <c r="S34" s="930">
        <v>158673</v>
      </c>
      <c r="T34" s="931">
        <v>29.180000000000014</v>
      </c>
      <c r="U34" s="930">
        <v>59678</v>
      </c>
      <c r="V34" s="931">
        <v>74.11</v>
      </c>
      <c r="W34" s="930">
        <v>1362876</v>
      </c>
      <c r="X34" s="931">
        <v>843.8900000000001</v>
      </c>
      <c r="Y34" s="931">
        <v>3546.0899999999997</v>
      </c>
      <c r="Z34" s="1917"/>
      <c r="AA34" s="879" t="s">
        <v>1919</v>
      </c>
      <c r="AB34" s="930">
        <v>13713249</v>
      </c>
      <c r="AC34" s="931">
        <v>10136.120000000004</v>
      </c>
      <c r="AD34" s="930">
        <v>322</v>
      </c>
      <c r="AE34" s="931">
        <v>0.90999999999999992</v>
      </c>
      <c r="AF34" s="930">
        <v>743490</v>
      </c>
      <c r="AG34" s="931">
        <v>434.76999999999987</v>
      </c>
      <c r="AH34" s="930">
        <v>2207</v>
      </c>
      <c r="AI34" s="931">
        <v>5.35</v>
      </c>
      <c r="AJ34" s="930">
        <v>613356</v>
      </c>
      <c r="AK34" s="931">
        <v>32.010000000000005</v>
      </c>
      <c r="AL34" s="930">
        <v>1012</v>
      </c>
      <c r="AM34" s="931">
        <v>1.22</v>
      </c>
      <c r="AN34" s="930">
        <v>15073636</v>
      </c>
      <c r="AO34" s="931">
        <v>10610.39</v>
      </c>
      <c r="AP34" s="930">
        <v>92595</v>
      </c>
      <c r="AQ34" s="932">
        <v>63.11999999999999</v>
      </c>
      <c r="AR34" s="930">
        <v>34446</v>
      </c>
      <c r="AS34" s="931">
        <v>39.200000000000003</v>
      </c>
      <c r="AT34" s="930">
        <v>30015</v>
      </c>
      <c r="AU34" s="931">
        <v>112.98</v>
      </c>
      <c r="AV34" s="930">
        <v>146615</v>
      </c>
      <c r="AW34" s="931">
        <v>133.83999999999997</v>
      </c>
      <c r="AX34" s="1917"/>
      <c r="AY34" s="879" t="s">
        <v>1919</v>
      </c>
      <c r="AZ34" s="930">
        <v>92224</v>
      </c>
      <c r="BA34" s="931">
        <v>19.71</v>
      </c>
      <c r="BB34" s="930">
        <v>268854</v>
      </c>
      <c r="BC34" s="931">
        <v>266.52999999999997</v>
      </c>
      <c r="BD34" s="930">
        <v>16830200</v>
      </c>
      <c r="BE34" s="931">
        <v>11817.759999999997</v>
      </c>
      <c r="BF34" s="930">
        <v>899476</v>
      </c>
      <c r="BG34" s="930">
        <v>12246383</v>
      </c>
      <c r="BH34" s="930">
        <v>110118</v>
      </c>
      <c r="BI34" s="930">
        <v>13255977</v>
      </c>
      <c r="BJ34" s="930">
        <v>1717810</v>
      </c>
      <c r="BK34" s="930">
        <v>580088</v>
      </c>
      <c r="BL34" s="931">
        <v>949.28</v>
      </c>
      <c r="BM34" s="930">
        <v>720451</v>
      </c>
      <c r="BN34" s="930">
        <v>184893206</v>
      </c>
      <c r="BO34" s="931">
        <v>30235.949999999993</v>
      </c>
      <c r="BP34" s="930">
        <v>50584994</v>
      </c>
      <c r="BQ34" s="930">
        <v>3550</v>
      </c>
      <c r="BR34" s="930">
        <v>1927180</v>
      </c>
      <c r="BS34" s="931">
        <v>4664.7300000000005</v>
      </c>
      <c r="BT34" s="930">
        <v>1837411</v>
      </c>
      <c r="BU34" s="930">
        <v>9416</v>
      </c>
      <c r="BV34" s="943">
        <v>41897</v>
      </c>
    </row>
    <row r="35" spans="1:74" s="885" customFormat="1" ht="9.75" customHeight="1">
      <c r="A35" s="1917"/>
      <c r="B35" s="938" t="s">
        <v>1939</v>
      </c>
      <c r="C35" s="935">
        <v>159276</v>
      </c>
      <c r="D35" s="936">
        <v>15921.46</v>
      </c>
      <c r="E35" s="935">
        <v>0</v>
      </c>
      <c r="F35" s="936">
        <v>0</v>
      </c>
      <c r="G35" s="935">
        <v>159276</v>
      </c>
      <c r="H35" s="936">
        <v>15921.46</v>
      </c>
      <c r="I35" s="935">
        <v>412638</v>
      </c>
      <c r="J35" s="936">
        <v>3417.37</v>
      </c>
      <c r="K35" s="935">
        <v>9484</v>
      </c>
      <c r="L35" s="936">
        <v>8.2299999999999986</v>
      </c>
      <c r="M35" s="935">
        <v>163</v>
      </c>
      <c r="N35" s="936">
        <v>0.27</v>
      </c>
      <c r="O35" s="935">
        <v>262895</v>
      </c>
      <c r="P35" s="936">
        <v>116.55</v>
      </c>
      <c r="Q35" s="935">
        <v>9865</v>
      </c>
      <c r="R35" s="936">
        <v>8.4</v>
      </c>
      <c r="S35" s="935">
        <v>51421</v>
      </c>
      <c r="T35" s="936">
        <v>12.19</v>
      </c>
      <c r="U35" s="935">
        <v>6338</v>
      </c>
      <c r="V35" s="936">
        <v>2.6999999999999997</v>
      </c>
      <c r="W35" s="935">
        <v>340166</v>
      </c>
      <c r="X35" s="936">
        <v>148.36000000000001</v>
      </c>
      <c r="Y35" s="936">
        <v>668.39</v>
      </c>
      <c r="Z35" s="1917"/>
      <c r="AA35" s="938" t="s">
        <v>1939</v>
      </c>
      <c r="AB35" s="935">
        <v>601384</v>
      </c>
      <c r="AC35" s="936">
        <v>671.79000000000008</v>
      </c>
      <c r="AD35" s="935">
        <v>1207</v>
      </c>
      <c r="AE35" s="936">
        <v>3.44</v>
      </c>
      <c r="AF35" s="935">
        <v>121742</v>
      </c>
      <c r="AG35" s="936">
        <v>37.200000000000003</v>
      </c>
      <c r="AH35" s="935">
        <v>3031</v>
      </c>
      <c r="AI35" s="936">
        <v>3.5</v>
      </c>
      <c r="AJ35" s="935">
        <v>28699</v>
      </c>
      <c r="AK35" s="936">
        <v>2.91</v>
      </c>
      <c r="AL35" s="935">
        <v>2509</v>
      </c>
      <c r="AM35" s="936">
        <v>2.6</v>
      </c>
      <c r="AN35" s="935">
        <v>758572</v>
      </c>
      <c r="AO35" s="936">
        <v>721.43000000000006</v>
      </c>
      <c r="AP35" s="935">
        <v>0</v>
      </c>
      <c r="AQ35" s="937">
        <v>0</v>
      </c>
      <c r="AR35" s="935">
        <v>3911</v>
      </c>
      <c r="AS35" s="936">
        <v>1.55</v>
      </c>
      <c r="AT35" s="935">
        <v>10316</v>
      </c>
      <c r="AU35" s="936">
        <v>23.700000000000003</v>
      </c>
      <c r="AV35" s="935">
        <v>0</v>
      </c>
      <c r="AW35" s="936">
        <v>0</v>
      </c>
      <c r="AX35" s="1917"/>
      <c r="AY35" s="938" t="s">
        <v>1939</v>
      </c>
      <c r="AZ35" s="935">
        <v>0</v>
      </c>
      <c r="BA35" s="936">
        <v>0</v>
      </c>
      <c r="BB35" s="935">
        <v>10316</v>
      </c>
      <c r="BC35" s="936">
        <v>23.700000000000003</v>
      </c>
      <c r="BD35" s="935">
        <v>1109934</v>
      </c>
      <c r="BE35" s="936">
        <v>891.54</v>
      </c>
      <c r="BF35" s="935">
        <v>120587</v>
      </c>
      <c r="BG35" s="935">
        <v>308929</v>
      </c>
      <c r="BH35" s="935">
        <v>48923</v>
      </c>
      <c r="BI35" s="935">
        <v>478439</v>
      </c>
      <c r="BJ35" s="935">
        <v>163976</v>
      </c>
      <c r="BK35" s="935">
        <v>250330</v>
      </c>
      <c r="BL35" s="936">
        <v>1879.0499999999997</v>
      </c>
      <c r="BM35" s="935">
        <v>0</v>
      </c>
      <c r="BN35" s="935">
        <v>0</v>
      </c>
      <c r="BO35" s="936">
        <v>0</v>
      </c>
      <c r="BP35" s="935">
        <v>0</v>
      </c>
      <c r="BQ35" s="935">
        <v>0</v>
      </c>
      <c r="BR35" s="935">
        <v>0</v>
      </c>
      <c r="BS35" s="936">
        <v>0</v>
      </c>
      <c r="BT35" s="935">
        <v>0</v>
      </c>
      <c r="BU35" s="935">
        <v>167</v>
      </c>
      <c r="BV35" s="944">
        <v>0</v>
      </c>
    </row>
    <row r="36" spans="1:74" s="885" customFormat="1" ht="9.75" customHeight="1">
      <c r="A36" s="1918"/>
      <c r="B36" s="884" t="s">
        <v>760</v>
      </c>
      <c r="C36" s="904">
        <v>2050517</v>
      </c>
      <c r="D36" s="905">
        <v>210069.36000000002</v>
      </c>
      <c r="E36" s="904">
        <v>1419</v>
      </c>
      <c r="F36" s="905">
        <v>120.1</v>
      </c>
      <c r="G36" s="904">
        <v>2051936</v>
      </c>
      <c r="H36" s="905">
        <v>210189.43</v>
      </c>
      <c r="I36" s="904">
        <v>1886145</v>
      </c>
      <c r="J36" s="905">
        <v>13775.680000000004</v>
      </c>
      <c r="K36" s="904">
        <v>149042</v>
      </c>
      <c r="L36" s="905">
        <v>101.93999999999998</v>
      </c>
      <c r="M36" s="904">
        <v>3811</v>
      </c>
      <c r="N36" s="905">
        <v>12.649999999999997</v>
      </c>
      <c r="O36" s="904">
        <v>1133421</v>
      </c>
      <c r="P36" s="905">
        <v>628.29999999999995</v>
      </c>
      <c r="Q36" s="904">
        <v>146195</v>
      </c>
      <c r="R36" s="905">
        <v>134.98999999999998</v>
      </c>
      <c r="S36" s="904">
        <v>210348</v>
      </c>
      <c r="T36" s="905">
        <v>41.380000000000017</v>
      </c>
      <c r="U36" s="904">
        <v>66016</v>
      </c>
      <c r="V36" s="905">
        <v>76.81</v>
      </c>
      <c r="W36" s="904">
        <v>1708833</v>
      </c>
      <c r="X36" s="905">
        <v>996.03000000000009</v>
      </c>
      <c r="Y36" s="1619">
        <v>4229.04</v>
      </c>
      <c r="Z36" s="1918"/>
      <c r="AA36" s="884" t="s">
        <v>760</v>
      </c>
      <c r="AB36" s="904">
        <v>14560474</v>
      </c>
      <c r="AC36" s="905">
        <v>11025.990000000005</v>
      </c>
      <c r="AD36" s="904">
        <v>1529</v>
      </c>
      <c r="AE36" s="905">
        <v>4.3499999999999996</v>
      </c>
      <c r="AF36" s="904">
        <v>881157</v>
      </c>
      <c r="AG36" s="905">
        <v>477.69999999999987</v>
      </c>
      <c r="AH36" s="904">
        <v>5238</v>
      </c>
      <c r="AI36" s="905">
        <v>8.85</v>
      </c>
      <c r="AJ36" s="904">
        <v>642695</v>
      </c>
      <c r="AK36" s="905">
        <v>34.950000000000003</v>
      </c>
      <c r="AL36" s="904">
        <v>3521</v>
      </c>
      <c r="AM36" s="905">
        <v>3.8200000000000003</v>
      </c>
      <c r="AN36" s="904">
        <v>16094614</v>
      </c>
      <c r="AO36" s="905">
        <v>11555.67</v>
      </c>
      <c r="AP36" s="904">
        <v>92595</v>
      </c>
      <c r="AQ36" s="927">
        <v>63.11999999999999</v>
      </c>
      <c r="AR36" s="904">
        <v>38357</v>
      </c>
      <c r="AS36" s="905">
        <v>40.75</v>
      </c>
      <c r="AT36" s="904">
        <v>40331</v>
      </c>
      <c r="AU36" s="905">
        <v>136.68</v>
      </c>
      <c r="AV36" s="904">
        <v>146615</v>
      </c>
      <c r="AW36" s="905">
        <v>133.83999999999997</v>
      </c>
      <c r="AX36" s="1918"/>
      <c r="AY36" s="884" t="s">
        <v>760</v>
      </c>
      <c r="AZ36" s="904">
        <v>92224</v>
      </c>
      <c r="BA36" s="905">
        <v>19.71</v>
      </c>
      <c r="BB36" s="904">
        <v>279170</v>
      </c>
      <c r="BC36" s="905">
        <v>290.22999999999996</v>
      </c>
      <c r="BD36" s="904">
        <v>18213569</v>
      </c>
      <c r="BE36" s="905">
        <v>12945.800000000001</v>
      </c>
      <c r="BF36" s="904">
        <v>1023720</v>
      </c>
      <c r="BG36" s="904">
        <v>12830729</v>
      </c>
      <c r="BH36" s="904">
        <v>166838</v>
      </c>
      <c r="BI36" s="904">
        <v>14021287</v>
      </c>
      <c r="BJ36" s="904">
        <v>1881786</v>
      </c>
      <c r="BK36" s="904">
        <v>830418</v>
      </c>
      <c r="BL36" s="905">
        <v>2828.33</v>
      </c>
      <c r="BM36" s="904">
        <v>840195</v>
      </c>
      <c r="BN36" s="904">
        <v>192464578</v>
      </c>
      <c r="BO36" s="905">
        <v>30800.019999999993</v>
      </c>
      <c r="BP36" s="904">
        <v>64048501</v>
      </c>
      <c r="BQ36" s="904">
        <v>3750</v>
      </c>
      <c r="BR36" s="904">
        <v>2009003</v>
      </c>
      <c r="BS36" s="905">
        <v>4777.4900000000007</v>
      </c>
      <c r="BT36" s="904">
        <v>1877919</v>
      </c>
      <c r="BU36" s="904">
        <v>9810</v>
      </c>
      <c r="BV36" s="906">
        <v>41897</v>
      </c>
    </row>
    <row r="37" spans="1:74" s="885" customFormat="1" ht="9.75" customHeight="1">
      <c r="A37" s="1926" t="s">
        <v>844</v>
      </c>
      <c r="B37" s="1629" t="s">
        <v>1917</v>
      </c>
      <c r="C37" s="1630">
        <v>322466</v>
      </c>
      <c r="D37" s="1631">
        <v>39713.08</v>
      </c>
      <c r="E37" s="1630">
        <v>7791</v>
      </c>
      <c r="F37" s="1631">
        <v>372.1</v>
      </c>
      <c r="G37" s="1630">
        <v>330257</v>
      </c>
      <c r="H37" s="1631">
        <v>40085.19</v>
      </c>
      <c r="I37" s="1630">
        <v>27395</v>
      </c>
      <c r="J37" s="1631">
        <v>1080.72</v>
      </c>
      <c r="K37" s="1630">
        <v>2958</v>
      </c>
      <c r="L37" s="1631">
        <v>2.61</v>
      </c>
      <c r="M37" s="1630">
        <v>3</v>
      </c>
      <c r="N37" s="1631">
        <v>0.01</v>
      </c>
      <c r="O37" s="1630">
        <v>2817</v>
      </c>
      <c r="P37" s="1631">
        <v>1.1599999999999999</v>
      </c>
      <c r="Q37" s="1630">
        <v>62</v>
      </c>
      <c r="R37" s="1631">
        <v>0.06</v>
      </c>
      <c r="S37" s="1630">
        <v>268</v>
      </c>
      <c r="T37" s="1631">
        <v>0.01</v>
      </c>
      <c r="U37" s="1630">
        <v>0</v>
      </c>
      <c r="V37" s="1631">
        <v>0</v>
      </c>
      <c r="W37" s="1630">
        <v>6108</v>
      </c>
      <c r="X37" s="1631">
        <v>3.8499999999999996</v>
      </c>
      <c r="Y37" s="1631">
        <v>14.919999999999998</v>
      </c>
      <c r="Z37" s="1926" t="s">
        <v>844</v>
      </c>
      <c r="AA37" s="1629" t="s">
        <v>1917</v>
      </c>
      <c r="AB37" s="1630">
        <v>254376</v>
      </c>
      <c r="AC37" s="1631">
        <v>241.10999999999999</v>
      </c>
      <c r="AD37" s="1630">
        <v>0</v>
      </c>
      <c r="AE37" s="1631">
        <v>0</v>
      </c>
      <c r="AF37" s="1630">
        <v>17061</v>
      </c>
      <c r="AG37" s="1631">
        <v>5.54</v>
      </c>
      <c r="AH37" s="1630">
        <v>0</v>
      </c>
      <c r="AI37" s="1631">
        <v>0</v>
      </c>
      <c r="AJ37" s="1630">
        <v>654</v>
      </c>
      <c r="AK37" s="1631">
        <v>0.03</v>
      </c>
      <c r="AL37" s="1630">
        <v>0</v>
      </c>
      <c r="AM37" s="1631">
        <v>0</v>
      </c>
      <c r="AN37" s="1630">
        <v>272091</v>
      </c>
      <c r="AO37" s="1631">
        <v>246.67000000000002</v>
      </c>
      <c r="AP37" s="1630">
        <v>0</v>
      </c>
      <c r="AQ37" s="1634">
        <v>0</v>
      </c>
      <c r="AR37" s="1630">
        <v>0</v>
      </c>
      <c r="AS37" s="1631">
        <v>0</v>
      </c>
      <c r="AT37" s="1630">
        <v>0</v>
      </c>
      <c r="AU37" s="1631">
        <v>0</v>
      </c>
      <c r="AV37" s="1630">
        <v>0</v>
      </c>
      <c r="AW37" s="1631">
        <v>0</v>
      </c>
      <c r="AX37" s="1926" t="s">
        <v>844</v>
      </c>
      <c r="AY37" s="1629" t="s">
        <v>1917</v>
      </c>
      <c r="AZ37" s="1630">
        <v>0</v>
      </c>
      <c r="BA37" s="1631">
        <v>0</v>
      </c>
      <c r="BB37" s="1630">
        <v>0</v>
      </c>
      <c r="BC37" s="1631">
        <v>0</v>
      </c>
      <c r="BD37" s="1630">
        <v>278199</v>
      </c>
      <c r="BE37" s="1631">
        <v>250.52</v>
      </c>
      <c r="BF37" s="1630">
        <v>3686</v>
      </c>
      <c r="BG37" s="1630">
        <v>277883</v>
      </c>
      <c r="BH37" s="1630">
        <v>8791</v>
      </c>
      <c r="BI37" s="1630">
        <v>290360</v>
      </c>
      <c r="BJ37" s="1630">
        <v>0</v>
      </c>
      <c r="BK37" s="1630">
        <v>0</v>
      </c>
      <c r="BL37" s="1631">
        <v>0</v>
      </c>
      <c r="BM37" s="1630">
        <v>120375</v>
      </c>
      <c r="BN37" s="1630">
        <v>1480369</v>
      </c>
      <c r="BO37" s="1631">
        <v>197.47</v>
      </c>
      <c r="BP37" s="1630">
        <v>13616325</v>
      </c>
      <c r="BQ37" s="1630">
        <v>200</v>
      </c>
      <c r="BR37" s="1630">
        <v>81452</v>
      </c>
      <c r="BS37" s="1631">
        <v>117.3</v>
      </c>
      <c r="BT37" s="1630">
        <v>44187</v>
      </c>
      <c r="BU37" s="1630">
        <v>224</v>
      </c>
      <c r="BV37" s="1636">
        <v>0</v>
      </c>
    </row>
    <row r="38" spans="1:74" s="885" customFormat="1" ht="9.75" customHeight="1">
      <c r="A38" s="1917"/>
      <c r="B38" s="1191" t="s">
        <v>1918</v>
      </c>
      <c r="C38" s="930">
        <v>13153</v>
      </c>
      <c r="D38" s="931">
        <v>1195.68</v>
      </c>
      <c r="E38" s="930">
        <v>194</v>
      </c>
      <c r="F38" s="931">
        <v>1.41</v>
      </c>
      <c r="G38" s="930">
        <v>13347</v>
      </c>
      <c r="H38" s="931">
        <v>1197.0900000000001</v>
      </c>
      <c r="I38" s="930">
        <v>255</v>
      </c>
      <c r="J38" s="931">
        <v>168.15</v>
      </c>
      <c r="K38" s="930">
        <v>0</v>
      </c>
      <c r="L38" s="931">
        <v>0</v>
      </c>
      <c r="M38" s="930">
        <v>0</v>
      </c>
      <c r="N38" s="931">
        <v>0</v>
      </c>
      <c r="O38" s="930">
        <v>0</v>
      </c>
      <c r="P38" s="931">
        <v>0</v>
      </c>
      <c r="Q38" s="930">
        <v>0</v>
      </c>
      <c r="R38" s="931">
        <v>0</v>
      </c>
      <c r="S38" s="930">
        <v>0</v>
      </c>
      <c r="T38" s="931">
        <v>0</v>
      </c>
      <c r="U38" s="930">
        <v>0</v>
      </c>
      <c r="V38" s="931">
        <v>0</v>
      </c>
      <c r="W38" s="930">
        <v>0</v>
      </c>
      <c r="X38" s="931">
        <v>0</v>
      </c>
      <c r="Y38" s="931">
        <v>0</v>
      </c>
      <c r="Z38" s="1917"/>
      <c r="AA38" s="1191" t="s">
        <v>1918</v>
      </c>
      <c r="AB38" s="930">
        <v>5916</v>
      </c>
      <c r="AC38" s="931">
        <v>5.26</v>
      </c>
      <c r="AD38" s="930">
        <v>0</v>
      </c>
      <c r="AE38" s="931">
        <v>0</v>
      </c>
      <c r="AF38" s="930">
        <v>218</v>
      </c>
      <c r="AG38" s="931">
        <v>0.06</v>
      </c>
      <c r="AH38" s="930">
        <v>0</v>
      </c>
      <c r="AI38" s="931">
        <v>0</v>
      </c>
      <c r="AJ38" s="930">
        <v>0</v>
      </c>
      <c r="AK38" s="931">
        <v>0</v>
      </c>
      <c r="AL38" s="930">
        <v>0</v>
      </c>
      <c r="AM38" s="931">
        <v>0</v>
      </c>
      <c r="AN38" s="930">
        <v>6134</v>
      </c>
      <c r="AO38" s="931">
        <v>5.32</v>
      </c>
      <c r="AP38" s="930">
        <v>0</v>
      </c>
      <c r="AQ38" s="932">
        <v>0</v>
      </c>
      <c r="AR38" s="930">
        <v>0</v>
      </c>
      <c r="AS38" s="931">
        <v>0</v>
      </c>
      <c r="AT38" s="930">
        <v>0</v>
      </c>
      <c r="AU38" s="931">
        <v>0</v>
      </c>
      <c r="AV38" s="930">
        <v>0</v>
      </c>
      <c r="AW38" s="931">
        <v>0</v>
      </c>
      <c r="AX38" s="1917"/>
      <c r="AY38" s="1191" t="s">
        <v>1918</v>
      </c>
      <c r="AZ38" s="930">
        <v>0</v>
      </c>
      <c r="BA38" s="931">
        <v>0</v>
      </c>
      <c r="BB38" s="930">
        <v>0</v>
      </c>
      <c r="BC38" s="931">
        <v>0</v>
      </c>
      <c r="BD38" s="930">
        <v>6134</v>
      </c>
      <c r="BE38" s="931">
        <v>5.32</v>
      </c>
      <c r="BF38" s="930">
        <v>0</v>
      </c>
      <c r="BG38" s="930">
        <v>4745</v>
      </c>
      <c r="BH38" s="930">
        <v>0</v>
      </c>
      <c r="BI38" s="930">
        <v>4745</v>
      </c>
      <c r="BJ38" s="930">
        <v>0</v>
      </c>
      <c r="BK38" s="930">
        <v>0</v>
      </c>
      <c r="BL38" s="931">
        <v>0</v>
      </c>
      <c r="BM38" s="930">
        <v>0</v>
      </c>
      <c r="BN38" s="930">
        <v>0</v>
      </c>
      <c r="BO38" s="931">
        <v>0</v>
      </c>
      <c r="BP38" s="930">
        <v>0</v>
      </c>
      <c r="BQ38" s="930">
        <v>0</v>
      </c>
      <c r="BR38" s="930">
        <v>0</v>
      </c>
      <c r="BS38" s="931">
        <v>0</v>
      </c>
      <c r="BT38" s="930">
        <v>0</v>
      </c>
      <c r="BU38" s="930">
        <v>6</v>
      </c>
      <c r="BV38" s="943">
        <v>0</v>
      </c>
    </row>
    <row r="39" spans="1:74" s="885" customFormat="1" ht="9.75" customHeight="1">
      <c r="A39" s="1917"/>
      <c r="B39" s="1190" t="s">
        <v>1919</v>
      </c>
      <c r="C39" s="935">
        <v>1267083</v>
      </c>
      <c r="D39" s="936">
        <v>117653.17999999998</v>
      </c>
      <c r="E39" s="935">
        <v>668</v>
      </c>
      <c r="F39" s="936">
        <v>96.63000000000001</v>
      </c>
      <c r="G39" s="935">
        <v>1267751</v>
      </c>
      <c r="H39" s="936">
        <v>117749.82999999997</v>
      </c>
      <c r="I39" s="935">
        <v>1192389</v>
      </c>
      <c r="J39" s="936">
        <v>9478.2099999999991</v>
      </c>
      <c r="K39" s="935">
        <v>113200</v>
      </c>
      <c r="L39" s="936">
        <v>84.419999999999987</v>
      </c>
      <c r="M39" s="935">
        <v>4549</v>
      </c>
      <c r="N39" s="936">
        <v>10.489999999999998</v>
      </c>
      <c r="O39" s="935">
        <v>892141</v>
      </c>
      <c r="P39" s="936">
        <v>541.07000000000005</v>
      </c>
      <c r="Q39" s="935">
        <v>138366</v>
      </c>
      <c r="R39" s="936">
        <v>134.73999999999998</v>
      </c>
      <c r="S39" s="935">
        <v>162476</v>
      </c>
      <c r="T39" s="936">
        <v>34.160000000000011</v>
      </c>
      <c r="U39" s="935">
        <v>61317</v>
      </c>
      <c r="V39" s="936">
        <v>71.870000000000019</v>
      </c>
      <c r="W39" s="935">
        <v>1372049</v>
      </c>
      <c r="X39" s="936">
        <v>876.72999999999979</v>
      </c>
      <c r="Y39" s="936">
        <v>3647.7800000000007</v>
      </c>
      <c r="Z39" s="1917"/>
      <c r="AA39" s="1190" t="s">
        <v>1919</v>
      </c>
      <c r="AB39" s="935">
        <v>16249588</v>
      </c>
      <c r="AC39" s="936">
        <v>12681.049999999994</v>
      </c>
      <c r="AD39" s="935">
        <v>330</v>
      </c>
      <c r="AE39" s="936">
        <v>0.79</v>
      </c>
      <c r="AF39" s="935">
        <v>851782</v>
      </c>
      <c r="AG39" s="936">
        <v>447.53999999999996</v>
      </c>
      <c r="AH39" s="935">
        <v>2701</v>
      </c>
      <c r="AI39" s="936">
        <v>9.5</v>
      </c>
      <c r="AJ39" s="935">
        <v>758486</v>
      </c>
      <c r="AK39" s="936">
        <v>39.250000000000007</v>
      </c>
      <c r="AL39" s="935">
        <v>1010</v>
      </c>
      <c r="AM39" s="936">
        <v>1.1200000000000001</v>
      </c>
      <c r="AN39" s="935">
        <v>17863897</v>
      </c>
      <c r="AO39" s="936">
        <v>13179.220000000003</v>
      </c>
      <c r="AP39" s="935">
        <v>113041</v>
      </c>
      <c r="AQ39" s="937">
        <v>76.13000000000001</v>
      </c>
      <c r="AR39" s="935">
        <v>33688</v>
      </c>
      <c r="AS39" s="936">
        <v>21.38</v>
      </c>
      <c r="AT39" s="935">
        <v>35759</v>
      </c>
      <c r="AU39" s="936">
        <v>119.79999999999998</v>
      </c>
      <c r="AV39" s="935">
        <v>136278</v>
      </c>
      <c r="AW39" s="936">
        <v>115.45</v>
      </c>
      <c r="AX39" s="1917"/>
      <c r="AY39" s="1190" t="s">
        <v>1919</v>
      </c>
      <c r="AZ39" s="935">
        <v>105124</v>
      </c>
      <c r="BA39" s="936">
        <v>17.97</v>
      </c>
      <c r="BB39" s="935">
        <v>277161</v>
      </c>
      <c r="BC39" s="936">
        <v>253.21</v>
      </c>
      <c r="BD39" s="935">
        <v>19657135</v>
      </c>
      <c r="BE39" s="936">
        <v>14397.259999999998</v>
      </c>
      <c r="BF39" s="935">
        <v>906893</v>
      </c>
      <c r="BG39" s="935">
        <v>12458595</v>
      </c>
      <c r="BH39" s="935">
        <v>115528</v>
      </c>
      <c r="BI39" s="935">
        <v>13481016</v>
      </c>
      <c r="BJ39" s="935">
        <v>1734210</v>
      </c>
      <c r="BK39" s="935">
        <v>575686</v>
      </c>
      <c r="BL39" s="936">
        <v>930.02</v>
      </c>
      <c r="BM39" s="935">
        <v>729987</v>
      </c>
      <c r="BN39" s="935">
        <v>193863621</v>
      </c>
      <c r="BO39" s="936">
        <v>34201.83</v>
      </c>
      <c r="BP39" s="935">
        <v>51062463</v>
      </c>
      <c r="BQ39" s="935">
        <v>3615</v>
      </c>
      <c r="BR39" s="935">
        <v>1923171</v>
      </c>
      <c r="BS39" s="936">
        <v>4572.6900000000005</v>
      </c>
      <c r="BT39" s="935">
        <v>1897813</v>
      </c>
      <c r="BU39" s="935">
        <v>9485</v>
      </c>
      <c r="BV39" s="944">
        <v>42531</v>
      </c>
    </row>
    <row r="40" spans="1:74" s="885" customFormat="1" ht="9.75" customHeight="1">
      <c r="A40" s="1917"/>
      <c r="B40" s="1191" t="s">
        <v>1939</v>
      </c>
      <c r="C40" s="930">
        <v>131297</v>
      </c>
      <c r="D40" s="931">
        <v>12947.169999999998</v>
      </c>
      <c r="E40" s="930">
        <v>0</v>
      </c>
      <c r="F40" s="931">
        <v>0</v>
      </c>
      <c r="G40" s="930">
        <v>131297</v>
      </c>
      <c r="H40" s="931">
        <v>12947.169999999998</v>
      </c>
      <c r="I40" s="930">
        <v>377606</v>
      </c>
      <c r="J40" s="931">
        <v>3438.19</v>
      </c>
      <c r="K40" s="930">
        <v>8926</v>
      </c>
      <c r="L40" s="931">
        <v>8.6800000000000015</v>
      </c>
      <c r="M40" s="930">
        <v>234</v>
      </c>
      <c r="N40" s="931">
        <v>0.36</v>
      </c>
      <c r="O40" s="930">
        <v>259124</v>
      </c>
      <c r="P40" s="931">
        <v>119.18</v>
      </c>
      <c r="Q40" s="930">
        <v>10327</v>
      </c>
      <c r="R40" s="931">
        <v>8.7099999999999991</v>
      </c>
      <c r="S40" s="930">
        <v>50298</v>
      </c>
      <c r="T40" s="931">
        <v>12.870000000000001</v>
      </c>
      <c r="U40" s="930">
        <v>6232</v>
      </c>
      <c r="V40" s="931">
        <v>2.88</v>
      </c>
      <c r="W40" s="930">
        <v>335141</v>
      </c>
      <c r="X40" s="931">
        <v>152.68</v>
      </c>
      <c r="Y40" s="931">
        <v>677.56000000000006</v>
      </c>
      <c r="Z40" s="1917"/>
      <c r="AA40" s="1191" t="s">
        <v>1939</v>
      </c>
      <c r="AB40" s="930">
        <v>689553</v>
      </c>
      <c r="AC40" s="931">
        <v>832.13</v>
      </c>
      <c r="AD40" s="930">
        <v>1622</v>
      </c>
      <c r="AE40" s="931">
        <v>4.2200000000000006</v>
      </c>
      <c r="AF40" s="930">
        <v>121680</v>
      </c>
      <c r="AG40" s="931">
        <v>38.700000000000003</v>
      </c>
      <c r="AH40" s="930">
        <v>3035</v>
      </c>
      <c r="AI40" s="931">
        <v>3.9499999999999997</v>
      </c>
      <c r="AJ40" s="930">
        <v>33374</v>
      </c>
      <c r="AK40" s="931">
        <v>3.52</v>
      </c>
      <c r="AL40" s="930">
        <v>2680</v>
      </c>
      <c r="AM40" s="931">
        <v>2.71</v>
      </c>
      <c r="AN40" s="930">
        <v>851944</v>
      </c>
      <c r="AO40" s="931">
        <v>885.24999999999989</v>
      </c>
      <c r="AP40" s="930">
        <v>0</v>
      </c>
      <c r="AQ40" s="932">
        <v>0</v>
      </c>
      <c r="AR40" s="930">
        <v>4209</v>
      </c>
      <c r="AS40" s="931">
        <v>1.71</v>
      </c>
      <c r="AT40" s="930">
        <v>11168</v>
      </c>
      <c r="AU40" s="931">
        <v>26.33</v>
      </c>
      <c r="AV40" s="930">
        <v>0</v>
      </c>
      <c r="AW40" s="931">
        <v>0</v>
      </c>
      <c r="AX40" s="1917"/>
      <c r="AY40" s="1191" t="s">
        <v>1939</v>
      </c>
      <c r="AZ40" s="930">
        <v>0</v>
      </c>
      <c r="BA40" s="931">
        <v>0</v>
      </c>
      <c r="BB40" s="930">
        <v>11168</v>
      </c>
      <c r="BC40" s="931">
        <v>26.33</v>
      </c>
      <c r="BD40" s="930">
        <v>1199427</v>
      </c>
      <c r="BE40" s="931">
        <v>1062.01</v>
      </c>
      <c r="BF40" s="930">
        <v>121224</v>
      </c>
      <c r="BG40" s="930">
        <v>313330</v>
      </c>
      <c r="BH40" s="930">
        <v>49892</v>
      </c>
      <c r="BI40" s="930">
        <v>484446</v>
      </c>
      <c r="BJ40" s="930">
        <v>164620</v>
      </c>
      <c r="BK40" s="930">
        <v>243385</v>
      </c>
      <c r="BL40" s="931">
        <v>1616.74</v>
      </c>
      <c r="BM40" s="930">
        <v>0</v>
      </c>
      <c r="BN40" s="930">
        <v>0</v>
      </c>
      <c r="BO40" s="931">
        <v>0</v>
      </c>
      <c r="BP40" s="930">
        <v>0</v>
      </c>
      <c r="BQ40" s="930">
        <v>0</v>
      </c>
      <c r="BR40" s="930">
        <v>0</v>
      </c>
      <c r="BS40" s="931">
        <v>0</v>
      </c>
      <c r="BT40" s="930">
        <v>0</v>
      </c>
      <c r="BU40" s="930">
        <v>167</v>
      </c>
      <c r="BV40" s="943">
        <v>0</v>
      </c>
    </row>
    <row r="41" spans="1:74" s="885" customFormat="1" ht="9.75" customHeight="1">
      <c r="A41" s="1918"/>
      <c r="B41" s="1010" t="s">
        <v>760</v>
      </c>
      <c r="C41" s="1632">
        <v>1733999</v>
      </c>
      <c r="D41" s="1633">
        <v>171509.11</v>
      </c>
      <c r="E41" s="1632">
        <v>8653</v>
      </c>
      <c r="F41" s="1633">
        <v>470.14000000000004</v>
      </c>
      <c r="G41" s="1632">
        <v>1742652</v>
      </c>
      <c r="H41" s="1633">
        <v>171979.27999999997</v>
      </c>
      <c r="I41" s="1632">
        <v>1597645</v>
      </c>
      <c r="J41" s="1633">
        <v>14165.27</v>
      </c>
      <c r="K41" s="1632">
        <v>125084</v>
      </c>
      <c r="L41" s="1633">
        <v>95.71</v>
      </c>
      <c r="M41" s="1632">
        <v>4786</v>
      </c>
      <c r="N41" s="1633">
        <v>10.859999999999998</v>
      </c>
      <c r="O41" s="1632">
        <v>1154082</v>
      </c>
      <c r="P41" s="1633">
        <v>661.41000000000008</v>
      </c>
      <c r="Q41" s="1632">
        <v>148755</v>
      </c>
      <c r="R41" s="1633">
        <v>143.51</v>
      </c>
      <c r="S41" s="1632">
        <v>213042</v>
      </c>
      <c r="T41" s="1633">
        <v>47.040000000000006</v>
      </c>
      <c r="U41" s="1632">
        <v>67549</v>
      </c>
      <c r="V41" s="1633">
        <v>74.750000000000014</v>
      </c>
      <c r="W41" s="1632">
        <v>1713298</v>
      </c>
      <c r="X41" s="1633">
        <v>1033.2599999999998</v>
      </c>
      <c r="Y41" s="1633">
        <v>4340.2600000000011</v>
      </c>
      <c r="Z41" s="1918"/>
      <c r="AA41" s="1010" t="s">
        <v>760</v>
      </c>
      <c r="AB41" s="1632">
        <v>17199433</v>
      </c>
      <c r="AC41" s="1633">
        <v>13759.549999999994</v>
      </c>
      <c r="AD41" s="1632">
        <v>1952</v>
      </c>
      <c r="AE41" s="1633">
        <v>5.0100000000000007</v>
      </c>
      <c r="AF41" s="1632">
        <v>990741</v>
      </c>
      <c r="AG41" s="1633">
        <v>491.84</v>
      </c>
      <c r="AH41" s="1632">
        <v>5736</v>
      </c>
      <c r="AI41" s="1633">
        <v>13.45</v>
      </c>
      <c r="AJ41" s="1632">
        <v>792514</v>
      </c>
      <c r="AK41" s="1633">
        <v>42.800000000000011</v>
      </c>
      <c r="AL41" s="1632">
        <v>3690</v>
      </c>
      <c r="AM41" s="1633">
        <v>3.83</v>
      </c>
      <c r="AN41" s="1632">
        <v>18994066</v>
      </c>
      <c r="AO41" s="1633">
        <v>14316.460000000003</v>
      </c>
      <c r="AP41" s="1632">
        <v>113041</v>
      </c>
      <c r="AQ41" s="1635">
        <v>76.13000000000001</v>
      </c>
      <c r="AR41" s="1632">
        <v>37897</v>
      </c>
      <c r="AS41" s="1633">
        <v>23.09</v>
      </c>
      <c r="AT41" s="1632">
        <v>46927</v>
      </c>
      <c r="AU41" s="1633">
        <v>146.13</v>
      </c>
      <c r="AV41" s="1632">
        <v>136278</v>
      </c>
      <c r="AW41" s="1633">
        <v>115.45</v>
      </c>
      <c r="AX41" s="1918"/>
      <c r="AY41" s="1010" t="s">
        <v>760</v>
      </c>
      <c r="AZ41" s="1632">
        <v>105124</v>
      </c>
      <c r="BA41" s="1633">
        <v>17.97</v>
      </c>
      <c r="BB41" s="1632">
        <v>288329</v>
      </c>
      <c r="BC41" s="1633">
        <v>279.54000000000002</v>
      </c>
      <c r="BD41" s="1632">
        <v>21146631</v>
      </c>
      <c r="BE41" s="1633">
        <v>15728.480000000003</v>
      </c>
      <c r="BF41" s="1632">
        <v>1031803</v>
      </c>
      <c r="BG41" s="1632">
        <v>13054553</v>
      </c>
      <c r="BH41" s="1632">
        <v>174211</v>
      </c>
      <c r="BI41" s="1632">
        <v>14260567</v>
      </c>
      <c r="BJ41" s="1632">
        <v>1898830</v>
      </c>
      <c r="BK41" s="1632">
        <v>819071</v>
      </c>
      <c r="BL41" s="1633">
        <v>2546.7600000000002</v>
      </c>
      <c r="BM41" s="1632">
        <v>850362</v>
      </c>
      <c r="BN41" s="1632">
        <v>195343990</v>
      </c>
      <c r="BO41" s="1633">
        <v>34399.300000000003</v>
      </c>
      <c r="BP41" s="1632">
        <v>64678788</v>
      </c>
      <c r="BQ41" s="1632">
        <v>3815</v>
      </c>
      <c r="BR41" s="1632">
        <v>2004623</v>
      </c>
      <c r="BS41" s="1633">
        <v>4689.9900000000007</v>
      </c>
      <c r="BT41" s="1632">
        <v>1942000</v>
      </c>
      <c r="BU41" s="1632">
        <v>9882</v>
      </c>
      <c r="BV41" s="945">
        <v>42531</v>
      </c>
    </row>
    <row r="42" spans="1:74" s="885" customFormat="1" ht="9.75" customHeight="1">
      <c r="A42" s="1917" t="s">
        <v>838</v>
      </c>
      <c r="B42" s="879" t="s">
        <v>1917</v>
      </c>
      <c r="C42" s="930">
        <v>346638</v>
      </c>
      <c r="D42" s="931">
        <v>42699.009999999995</v>
      </c>
      <c r="E42" s="930">
        <v>7606</v>
      </c>
      <c r="F42" s="931">
        <v>238.74</v>
      </c>
      <c r="G42" s="930">
        <v>354244</v>
      </c>
      <c r="H42" s="931">
        <v>42937.78</v>
      </c>
      <c r="I42" s="930">
        <v>38116</v>
      </c>
      <c r="J42" s="931">
        <v>360.65</v>
      </c>
      <c r="K42" s="930">
        <v>3791</v>
      </c>
      <c r="L42" s="931">
        <v>3.41</v>
      </c>
      <c r="M42" s="930">
        <v>1</v>
      </c>
      <c r="N42" s="931">
        <v>0</v>
      </c>
      <c r="O42" s="930">
        <v>2124</v>
      </c>
      <c r="P42" s="931">
        <v>0.79</v>
      </c>
      <c r="Q42" s="930">
        <v>134</v>
      </c>
      <c r="R42" s="931">
        <v>0.09</v>
      </c>
      <c r="S42" s="930">
        <v>306</v>
      </c>
      <c r="T42" s="931">
        <v>0.02</v>
      </c>
      <c r="U42" s="930">
        <v>0</v>
      </c>
      <c r="V42" s="931">
        <v>0</v>
      </c>
      <c r="W42" s="930">
        <v>6356</v>
      </c>
      <c r="X42" s="931">
        <v>4.3100000000000005</v>
      </c>
      <c r="Y42" s="931">
        <v>13.33</v>
      </c>
      <c r="Z42" s="1917" t="s">
        <v>838</v>
      </c>
      <c r="AA42" s="1191" t="s">
        <v>1917</v>
      </c>
      <c r="AB42" s="930">
        <v>239655</v>
      </c>
      <c r="AC42" s="931">
        <v>216.56</v>
      </c>
      <c r="AD42" s="930">
        <v>0</v>
      </c>
      <c r="AE42" s="931">
        <v>0</v>
      </c>
      <c r="AF42" s="930">
        <v>14400</v>
      </c>
      <c r="AG42" s="931">
        <v>4.6399999999999997</v>
      </c>
      <c r="AH42" s="930">
        <v>0</v>
      </c>
      <c r="AI42" s="931">
        <v>0</v>
      </c>
      <c r="AJ42" s="930">
        <v>1592</v>
      </c>
      <c r="AK42" s="931">
        <v>0.09</v>
      </c>
      <c r="AL42" s="930">
        <v>0</v>
      </c>
      <c r="AM42" s="931">
        <v>0</v>
      </c>
      <c r="AN42" s="930">
        <v>255647</v>
      </c>
      <c r="AO42" s="931">
        <v>221.28000000000003</v>
      </c>
      <c r="AP42" s="930">
        <v>53</v>
      </c>
      <c r="AQ42" s="932">
        <v>0.01</v>
      </c>
      <c r="AR42" s="930">
        <v>0</v>
      </c>
      <c r="AS42" s="931">
        <v>0</v>
      </c>
      <c r="AT42" s="930">
        <v>0</v>
      </c>
      <c r="AU42" s="931">
        <v>0</v>
      </c>
      <c r="AV42" s="930">
        <v>0</v>
      </c>
      <c r="AW42" s="931">
        <v>0</v>
      </c>
      <c r="AX42" s="1917" t="s">
        <v>838</v>
      </c>
      <c r="AY42" s="1191" t="s">
        <v>1917</v>
      </c>
      <c r="AZ42" s="930">
        <v>0</v>
      </c>
      <c r="BA42" s="931">
        <v>0</v>
      </c>
      <c r="BB42" s="930">
        <v>0</v>
      </c>
      <c r="BC42" s="931">
        <v>0</v>
      </c>
      <c r="BD42" s="930">
        <v>262056</v>
      </c>
      <c r="BE42" s="931">
        <v>225.60000000000002</v>
      </c>
      <c r="BF42" s="930">
        <v>3725</v>
      </c>
      <c r="BG42" s="930">
        <v>284338</v>
      </c>
      <c r="BH42" s="930">
        <v>9468</v>
      </c>
      <c r="BI42" s="930">
        <v>297531</v>
      </c>
      <c r="BJ42" s="930">
        <v>0</v>
      </c>
      <c r="BK42" s="930">
        <v>0</v>
      </c>
      <c r="BL42" s="931">
        <v>0</v>
      </c>
      <c r="BM42" s="930">
        <v>121905</v>
      </c>
      <c r="BN42" s="930">
        <v>18265653</v>
      </c>
      <c r="BO42" s="931">
        <v>1297.52</v>
      </c>
      <c r="BP42" s="930">
        <v>15674264</v>
      </c>
      <c r="BQ42" s="930">
        <v>200</v>
      </c>
      <c r="BR42" s="930">
        <v>92795</v>
      </c>
      <c r="BS42" s="931">
        <v>126.76</v>
      </c>
      <c r="BT42" s="930">
        <v>48693</v>
      </c>
      <c r="BU42" s="930">
        <v>231</v>
      </c>
      <c r="BV42" s="943">
        <v>0</v>
      </c>
    </row>
    <row r="43" spans="1:74" s="885" customFormat="1" ht="9.75" customHeight="1">
      <c r="A43" s="1917"/>
      <c r="B43" s="938" t="s">
        <v>1918</v>
      </c>
      <c r="C43" s="935">
        <v>14822</v>
      </c>
      <c r="D43" s="936">
        <v>1520.55</v>
      </c>
      <c r="E43" s="935">
        <v>1014</v>
      </c>
      <c r="F43" s="936">
        <v>16.64</v>
      </c>
      <c r="G43" s="935">
        <v>15836</v>
      </c>
      <c r="H43" s="936">
        <v>1537.19</v>
      </c>
      <c r="I43" s="935">
        <v>102</v>
      </c>
      <c r="J43" s="936">
        <v>14.56</v>
      </c>
      <c r="K43" s="935">
        <v>0</v>
      </c>
      <c r="L43" s="936">
        <v>0</v>
      </c>
      <c r="M43" s="935">
        <v>0</v>
      </c>
      <c r="N43" s="936">
        <v>0</v>
      </c>
      <c r="O43" s="935">
        <v>0</v>
      </c>
      <c r="P43" s="936">
        <v>0</v>
      </c>
      <c r="Q43" s="935">
        <v>0</v>
      </c>
      <c r="R43" s="936">
        <v>0</v>
      </c>
      <c r="S43" s="935">
        <v>0</v>
      </c>
      <c r="T43" s="936">
        <v>0</v>
      </c>
      <c r="U43" s="935">
        <v>0</v>
      </c>
      <c r="V43" s="936">
        <v>0</v>
      </c>
      <c r="W43" s="935">
        <v>0</v>
      </c>
      <c r="X43" s="936">
        <v>0</v>
      </c>
      <c r="Y43" s="936">
        <v>0</v>
      </c>
      <c r="Z43" s="1917"/>
      <c r="AA43" s="938" t="s">
        <v>1918</v>
      </c>
      <c r="AB43" s="935">
        <v>4578</v>
      </c>
      <c r="AC43" s="936">
        <v>3.65</v>
      </c>
      <c r="AD43" s="935">
        <v>0</v>
      </c>
      <c r="AE43" s="936">
        <v>0</v>
      </c>
      <c r="AF43" s="935">
        <v>173</v>
      </c>
      <c r="AG43" s="936">
        <v>0.04</v>
      </c>
      <c r="AH43" s="935">
        <v>0</v>
      </c>
      <c r="AI43" s="936">
        <v>0</v>
      </c>
      <c r="AJ43" s="935">
        <v>0</v>
      </c>
      <c r="AK43" s="936">
        <v>0</v>
      </c>
      <c r="AL43" s="935">
        <v>0</v>
      </c>
      <c r="AM43" s="936">
        <v>0</v>
      </c>
      <c r="AN43" s="935">
        <v>4751</v>
      </c>
      <c r="AO43" s="936">
        <v>3.69</v>
      </c>
      <c r="AP43" s="935">
        <v>0</v>
      </c>
      <c r="AQ43" s="937">
        <v>0</v>
      </c>
      <c r="AR43" s="935">
        <v>0</v>
      </c>
      <c r="AS43" s="936">
        <v>0</v>
      </c>
      <c r="AT43" s="935">
        <v>0</v>
      </c>
      <c r="AU43" s="936">
        <v>0</v>
      </c>
      <c r="AV43" s="935">
        <v>0</v>
      </c>
      <c r="AW43" s="936">
        <v>0</v>
      </c>
      <c r="AX43" s="1917"/>
      <c r="AY43" s="938" t="s">
        <v>1918</v>
      </c>
      <c r="AZ43" s="935">
        <v>0</v>
      </c>
      <c r="BA43" s="936">
        <v>0</v>
      </c>
      <c r="BB43" s="935">
        <v>0</v>
      </c>
      <c r="BC43" s="936">
        <v>0</v>
      </c>
      <c r="BD43" s="935">
        <v>4751</v>
      </c>
      <c r="BE43" s="936">
        <v>3.69</v>
      </c>
      <c r="BF43" s="935">
        <v>0</v>
      </c>
      <c r="BG43" s="935">
        <v>4918</v>
      </c>
      <c r="BH43" s="935">
        <v>0</v>
      </c>
      <c r="BI43" s="935">
        <v>4918</v>
      </c>
      <c r="BJ43" s="935">
        <v>0</v>
      </c>
      <c r="BK43" s="935">
        <v>0</v>
      </c>
      <c r="BL43" s="936">
        <v>0</v>
      </c>
      <c r="BM43" s="935">
        <v>0</v>
      </c>
      <c r="BN43" s="935">
        <v>0</v>
      </c>
      <c r="BO43" s="936">
        <v>0</v>
      </c>
      <c r="BP43" s="935">
        <v>0</v>
      </c>
      <c r="BQ43" s="935">
        <v>0</v>
      </c>
      <c r="BR43" s="935">
        <v>0</v>
      </c>
      <c r="BS43" s="936">
        <v>0</v>
      </c>
      <c r="BT43" s="935">
        <v>0</v>
      </c>
      <c r="BU43" s="935">
        <v>6</v>
      </c>
      <c r="BV43" s="944">
        <v>0</v>
      </c>
    </row>
    <row r="44" spans="1:74" s="885" customFormat="1" ht="9.75" customHeight="1">
      <c r="A44" s="1917"/>
      <c r="B44" s="879" t="s">
        <v>1919</v>
      </c>
      <c r="C44" s="930">
        <v>1274812</v>
      </c>
      <c r="D44" s="931">
        <v>118797.90999999999</v>
      </c>
      <c r="E44" s="930">
        <v>700</v>
      </c>
      <c r="F44" s="931">
        <v>42.94</v>
      </c>
      <c r="G44" s="930">
        <v>1275512</v>
      </c>
      <c r="H44" s="931">
        <v>118840.83999999998</v>
      </c>
      <c r="I44" s="930">
        <v>1228208</v>
      </c>
      <c r="J44" s="931">
        <v>8342.86</v>
      </c>
      <c r="K44" s="930">
        <v>134409</v>
      </c>
      <c r="L44" s="931">
        <v>89.499999999999972</v>
      </c>
      <c r="M44" s="930">
        <v>4423</v>
      </c>
      <c r="N44" s="931">
        <v>9.5299999999999994</v>
      </c>
      <c r="O44" s="930">
        <v>832651</v>
      </c>
      <c r="P44" s="931">
        <v>499.14000000000004</v>
      </c>
      <c r="Q44" s="930">
        <v>148248</v>
      </c>
      <c r="R44" s="931">
        <v>143.5</v>
      </c>
      <c r="S44" s="930">
        <v>182058</v>
      </c>
      <c r="T44" s="931">
        <v>37.930000000000007</v>
      </c>
      <c r="U44" s="930">
        <v>67154</v>
      </c>
      <c r="V44" s="931">
        <v>82.300000000000011</v>
      </c>
      <c r="W44" s="930">
        <v>1368943</v>
      </c>
      <c r="X44" s="931">
        <v>861.91000000000008</v>
      </c>
      <c r="Y44" s="931">
        <v>3683.8900000000003</v>
      </c>
      <c r="Z44" s="1917"/>
      <c r="AA44" s="879" t="s">
        <v>1919</v>
      </c>
      <c r="AB44" s="930">
        <v>13254403</v>
      </c>
      <c r="AC44" s="931">
        <v>9469.73</v>
      </c>
      <c r="AD44" s="930">
        <v>398</v>
      </c>
      <c r="AE44" s="931">
        <v>1.0599999999999998</v>
      </c>
      <c r="AF44" s="930">
        <v>778858</v>
      </c>
      <c r="AG44" s="931">
        <v>403.18000000000012</v>
      </c>
      <c r="AH44" s="930">
        <v>2914</v>
      </c>
      <c r="AI44" s="931">
        <v>8.870000000000001</v>
      </c>
      <c r="AJ44" s="930">
        <v>984585</v>
      </c>
      <c r="AK44" s="931">
        <v>38.380000000000017</v>
      </c>
      <c r="AL44" s="930">
        <v>1299</v>
      </c>
      <c r="AM44" s="931">
        <v>1.19</v>
      </c>
      <c r="AN44" s="930">
        <v>15022457</v>
      </c>
      <c r="AO44" s="931">
        <v>9922.4400000000023</v>
      </c>
      <c r="AP44" s="930">
        <v>89670</v>
      </c>
      <c r="AQ44" s="932">
        <v>56.77</v>
      </c>
      <c r="AR44" s="930">
        <v>42671</v>
      </c>
      <c r="AS44" s="931">
        <v>18.390000000000004</v>
      </c>
      <c r="AT44" s="930">
        <v>32547</v>
      </c>
      <c r="AU44" s="931">
        <v>115.49000000000001</v>
      </c>
      <c r="AV44" s="930">
        <v>148792</v>
      </c>
      <c r="AW44" s="931">
        <v>139.97</v>
      </c>
      <c r="AX44" s="1917"/>
      <c r="AY44" s="879" t="s">
        <v>1919</v>
      </c>
      <c r="AZ44" s="930">
        <v>84880</v>
      </c>
      <c r="BA44" s="931">
        <v>15.46</v>
      </c>
      <c r="BB44" s="930">
        <v>266219</v>
      </c>
      <c r="BC44" s="931">
        <v>270.91999999999996</v>
      </c>
      <c r="BD44" s="930">
        <v>16787046</v>
      </c>
      <c r="BE44" s="931">
        <v>11121.54</v>
      </c>
      <c r="BF44" s="930">
        <v>920071</v>
      </c>
      <c r="BG44" s="930">
        <v>12674895</v>
      </c>
      <c r="BH44" s="930">
        <v>120566</v>
      </c>
      <c r="BI44" s="930">
        <v>13715532</v>
      </c>
      <c r="BJ44" s="930">
        <v>1762308</v>
      </c>
      <c r="BK44" s="930">
        <v>549588</v>
      </c>
      <c r="BL44" s="931">
        <v>904.64999999999975</v>
      </c>
      <c r="BM44" s="930">
        <v>740197</v>
      </c>
      <c r="BN44" s="930">
        <v>187702694</v>
      </c>
      <c r="BO44" s="931">
        <v>28867.640000000003</v>
      </c>
      <c r="BP44" s="930">
        <v>51068179</v>
      </c>
      <c r="BQ44" s="930">
        <v>3712</v>
      </c>
      <c r="BR44" s="930">
        <v>1879471</v>
      </c>
      <c r="BS44" s="931">
        <v>4569.24</v>
      </c>
      <c r="BT44" s="930">
        <v>1983651</v>
      </c>
      <c r="BU44" s="930">
        <v>9549</v>
      </c>
      <c r="BV44" s="943">
        <v>43162</v>
      </c>
    </row>
    <row r="45" spans="1:74" s="885" customFormat="1" ht="9.75" customHeight="1">
      <c r="A45" s="1917"/>
      <c r="B45" s="938" t="s">
        <v>1939</v>
      </c>
      <c r="C45" s="935">
        <v>144337</v>
      </c>
      <c r="D45" s="936">
        <v>14386.19</v>
      </c>
      <c r="E45" s="935">
        <v>0</v>
      </c>
      <c r="F45" s="936">
        <v>0</v>
      </c>
      <c r="G45" s="935">
        <v>144337</v>
      </c>
      <c r="H45" s="936">
        <v>14386.19</v>
      </c>
      <c r="I45" s="935">
        <v>383801</v>
      </c>
      <c r="J45" s="936">
        <v>3348.6400000000003</v>
      </c>
      <c r="K45" s="935">
        <v>10012</v>
      </c>
      <c r="L45" s="936">
        <v>8.4799999999999986</v>
      </c>
      <c r="M45" s="935">
        <v>172</v>
      </c>
      <c r="N45" s="936">
        <v>0.26</v>
      </c>
      <c r="O45" s="935">
        <v>247137</v>
      </c>
      <c r="P45" s="936">
        <v>109.49</v>
      </c>
      <c r="Q45" s="935">
        <v>9502</v>
      </c>
      <c r="R45" s="936">
        <v>7.69</v>
      </c>
      <c r="S45" s="935">
        <v>54410</v>
      </c>
      <c r="T45" s="936">
        <v>12.190000000000001</v>
      </c>
      <c r="U45" s="935">
        <v>6700</v>
      </c>
      <c r="V45" s="936">
        <v>2.78</v>
      </c>
      <c r="W45" s="935">
        <v>327933</v>
      </c>
      <c r="X45" s="936">
        <v>140.91</v>
      </c>
      <c r="Y45" s="936">
        <v>679.20999999999992</v>
      </c>
      <c r="Z45" s="1917"/>
      <c r="AA45" s="938" t="s">
        <v>1939</v>
      </c>
      <c r="AB45" s="935">
        <v>602881</v>
      </c>
      <c r="AC45" s="936">
        <v>659.67000000000007</v>
      </c>
      <c r="AD45" s="935">
        <v>1117</v>
      </c>
      <c r="AE45" s="936">
        <v>3.16</v>
      </c>
      <c r="AF45" s="935">
        <v>114516</v>
      </c>
      <c r="AG45" s="936">
        <v>35.9</v>
      </c>
      <c r="AH45" s="935">
        <v>2989</v>
      </c>
      <c r="AI45" s="936">
        <v>4.18</v>
      </c>
      <c r="AJ45" s="935">
        <v>34622</v>
      </c>
      <c r="AK45" s="936">
        <v>3.62</v>
      </c>
      <c r="AL45" s="935">
        <v>2368</v>
      </c>
      <c r="AM45" s="936">
        <v>2.5100000000000002</v>
      </c>
      <c r="AN45" s="935">
        <v>758493</v>
      </c>
      <c r="AO45" s="936">
        <v>709.01999999999987</v>
      </c>
      <c r="AP45" s="935">
        <v>0</v>
      </c>
      <c r="AQ45" s="937">
        <v>0</v>
      </c>
      <c r="AR45" s="935">
        <v>3940</v>
      </c>
      <c r="AS45" s="936">
        <v>1.8</v>
      </c>
      <c r="AT45" s="935">
        <v>9987</v>
      </c>
      <c r="AU45" s="936">
        <v>23.17</v>
      </c>
      <c r="AV45" s="935">
        <v>0</v>
      </c>
      <c r="AW45" s="936">
        <v>0</v>
      </c>
      <c r="AX45" s="1917"/>
      <c r="AY45" s="938" t="s">
        <v>1939</v>
      </c>
      <c r="AZ45" s="935">
        <v>0</v>
      </c>
      <c r="BA45" s="936">
        <v>0</v>
      </c>
      <c r="BB45" s="935">
        <v>9987</v>
      </c>
      <c r="BC45" s="936">
        <v>23.17</v>
      </c>
      <c r="BD45" s="935">
        <v>1097364</v>
      </c>
      <c r="BE45" s="936">
        <v>870.73</v>
      </c>
      <c r="BF45" s="935">
        <v>122678</v>
      </c>
      <c r="BG45" s="935">
        <v>316848</v>
      </c>
      <c r="BH45" s="935">
        <v>50794</v>
      </c>
      <c r="BI45" s="935">
        <v>490320</v>
      </c>
      <c r="BJ45" s="935">
        <v>166980</v>
      </c>
      <c r="BK45" s="935">
        <v>245566</v>
      </c>
      <c r="BL45" s="936">
        <v>2673.6200000000003</v>
      </c>
      <c r="BM45" s="935">
        <v>0</v>
      </c>
      <c r="BN45" s="935">
        <v>0</v>
      </c>
      <c r="BO45" s="936">
        <v>0</v>
      </c>
      <c r="BP45" s="935">
        <v>0</v>
      </c>
      <c r="BQ45" s="935">
        <v>0</v>
      </c>
      <c r="BR45" s="935">
        <v>0</v>
      </c>
      <c r="BS45" s="936">
        <v>0</v>
      </c>
      <c r="BT45" s="935">
        <v>0</v>
      </c>
      <c r="BU45" s="935">
        <v>168</v>
      </c>
      <c r="BV45" s="944">
        <v>0</v>
      </c>
    </row>
    <row r="46" spans="1:74" s="885" customFormat="1" ht="9.75" customHeight="1">
      <c r="A46" s="1918"/>
      <c r="B46" s="884" t="s">
        <v>760</v>
      </c>
      <c r="C46" s="904">
        <v>1780609</v>
      </c>
      <c r="D46" s="905">
        <v>177403.65999999997</v>
      </c>
      <c r="E46" s="904">
        <v>9320</v>
      </c>
      <c r="F46" s="905">
        <v>298.32</v>
      </c>
      <c r="G46" s="904">
        <v>1789929</v>
      </c>
      <c r="H46" s="905">
        <v>177702</v>
      </c>
      <c r="I46" s="904">
        <v>1650227</v>
      </c>
      <c r="J46" s="905">
        <v>12066.71</v>
      </c>
      <c r="K46" s="904">
        <v>148212</v>
      </c>
      <c r="L46" s="905">
        <v>101.38999999999997</v>
      </c>
      <c r="M46" s="904">
        <v>4596</v>
      </c>
      <c r="N46" s="905">
        <v>9.7899999999999991</v>
      </c>
      <c r="O46" s="904">
        <v>1081912</v>
      </c>
      <c r="P46" s="905">
        <v>609.42000000000007</v>
      </c>
      <c r="Q46" s="904">
        <v>157884</v>
      </c>
      <c r="R46" s="905">
        <v>151.28</v>
      </c>
      <c r="S46" s="904">
        <v>236774</v>
      </c>
      <c r="T46" s="905">
        <v>50.140000000000015</v>
      </c>
      <c r="U46" s="904">
        <v>73854</v>
      </c>
      <c r="V46" s="905">
        <v>85.080000000000013</v>
      </c>
      <c r="W46" s="904">
        <v>1703232</v>
      </c>
      <c r="X46" s="905">
        <v>1007.13</v>
      </c>
      <c r="Y46" s="905">
        <v>4376.43</v>
      </c>
      <c r="Z46" s="1918"/>
      <c r="AA46" s="884" t="s">
        <v>760</v>
      </c>
      <c r="AB46" s="904">
        <v>14101517</v>
      </c>
      <c r="AC46" s="905">
        <v>10349.609999999999</v>
      </c>
      <c r="AD46" s="904">
        <v>1515</v>
      </c>
      <c r="AE46" s="905">
        <v>4.22</v>
      </c>
      <c r="AF46" s="904">
        <v>907947</v>
      </c>
      <c r="AG46" s="905">
        <v>443.7600000000001</v>
      </c>
      <c r="AH46" s="904">
        <v>5903</v>
      </c>
      <c r="AI46" s="905">
        <v>13.05</v>
      </c>
      <c r="AJ46" s="904">
        <v>1020799</v>
      </c>
      <c r="AK46" s="905">
        <v>42.090000000000018</v>
      </c>
      <c r="AL46" s="904">
        <v>3667</v>
      </c>
      <c r="AM46" s="905">
        <v>3.7</v>
      </c>
      <c r="AN46" s="904">
        <v>16041348</v>
      </c>
      <c r="AO46" s="905">
        <v>10856.430000000002</v>
      </c>
      <c r="AP46" s="904">
        <v>89723</v>
      </c>
      <c r="AQ46" s="927">
        <v>56.78</v>
      </c>
      <c r="AR46" s="904">
        <v>46611</v>
      </c>
      <c r="AS46" s="905">
        <v>20.190000000000005</v>
      </c>
      <c r="AT46" s="904">
        <v>42534</v>
      </c>
      <c r="AU46" s="905">
        <v>138.66000000000003</v>
      </c>
      <c r="AV46" s="904">
        <v>148792</v>
      </c>
      <c r="AW46" s="905">
        <v>139.97</v>
      </c>
      <c r="AX46" s="1918"/>
      <c r="AY46" s="884" t="s">
        <v>760</v>
      </c>
      <c r="AZ46" s="904">
        <v>84880</v>
      </c>
      <c r="BA46" s="905">
        <v>15.46</v>
      </c>
      <c r="BB46" s="904">
        <v>276206</v>
      </c>
      <c r="BC46" s="905">
        <v>294.08999999999997</v>
      </c>
      <c r="BD46" s="904">
        <v>18157120</v>
      </c>
      <c r="BE46" s="905">
        <v>12234.620000000003</v>
      </c>
      <c r="BF46" s="904">
        <v>1046474</v>
      </c>
      <c r="BG46" s="904">
        <v>13280999</v>
      </c>
      <c r="BH46" s="904">
        <v>180828</v>
      </c>
      <c r="BI46" s="904">
        <v>14508301</v>
      </c>
      <c r="BJ46" s="904">
        <v>1929288</v>
      </c>
      <c r="BK46" s="904">
        <v>795154</v>
      </c>
      <c r="BL46" s="905">
        <v>3578.27</v>
      </c>
      <c r="BM46" s="904">
        <v>862102</v>
      </c>
      <c r="BN46" s="904">
        <v>205968347</v>
      </c>
      <c r="BO46" s="905">
        <v>30165.160000000003</v>
      </c>
      <c r="BP46" s="904">
        <v>66742443</v>
      </c>
      <c r="BQ46" s="904">
        <v>3912</v>
      </c>
      <c r="BR46" s="904">
        <v>1972266</v>
      </c>
      <c r="BS46" s="905">
        <v>4696</v>
      </c>
      <c r="BT46" s="904">
        <v>2032344</v>
      </c>
      <c r="BU46" s="904">
        <v>9954</v>
      </c>
      <c r="BV46" s="906">
        <v>43162</v>
      </c>
    </row>
    <row r="47" spans="1:74" s="885" customFormat="1" ht="9.75" customHeight="1">
      <c r="A47" s="1925" t="s">
        <v>845</v>
      </c>
      <c r="B47" s="1058" t="s">
        <v>1917</v>
      </c>
      <c r="C47" s="952">
        <v>392469</v>
      </c>
      <c r="D47" s="953">
        <v>46769.569999999992</v>
      </c>
      <c r="E47" s="952">
        <v>9842</v>
      </c>
      <c r="F47" s="953">
        <v>436.58000000000004</v>
      </c>
      <c r="G47" s="952">
        <v>402311</v>
      </c>
      <c r="H47" s="953">
        <v>47206.15</v>
      </c>
      <c r="I47" s="952">
        <v>29235</v>
      </c>
      <c r="J47" s="953">
        <v>1092.26</v>
      </c>
      <c r="K47" s="952">
        <v>3799</v>
      </c>
      <c r="L47" s="953">
        <v>3.3600000000000003</v>
      </c>
      <c r="M47" s="952">
        <v>0</v>
      </c>
      <c r="N47" s="953">
        <v>0</v>
      </c>
      <c r="O47" s="952">
        <v>2370</v>
      </c>
      <c r="P47" s="953">
        <v>0.91</v>
      </c>
      <c r="Q47" s="952">
        <v>115</v>
      </c>
      <c r="R47" s="953">
        <v>0.09</v>
      </c>
      <c r="S47" s="952">
        <v>340</v>
      </c>
      <c r="T47" s="953">
        <v>0.03</v>
      </c>
      <c r="U47" s="952">
        <v>0</v>
      </c>
      <c r="V47" s="953">
        <v>0</v>
      </c>
      <c r="W47" s="952">
        <v>6624</v>
      </c>
      <c r="X47" s="953">
        <v>4.3899999999999997</v>
      </c>
      <c r="Y47" s="953">
        <v>15.83</v>
      </c>
      <c r="Z47" s="1925" t="s">
        <v>845</v>
      </c>
      <c r="AA47" s="951" t="s">
        <v>1917</v>
      </c>
      <c r="AB47" s="952">
        <v>249343</v>
      </c>
      <c r="AC47" s="953">
        <v>212.67000000000002</v>
      </c>
      <c r="AD47" s="952">
        <v>0</v>
      </c>
      <c r="AE47" s="953">
        <v>0</v>
      </c>
      <c r="AF47" s="952">
        <v>15609</v>
      </c>
      <c r="AG47" s="953">
        <v>4.22</v>
      </c>
      <c r="AH47" s="952">
        <v>0</v>
      </c>
      <c r="AI47" s="953">
        <v>0</v>
      </c>
      <c r="AJ47" s="952">
        <v>2407</v>
      </c>
      <c r="AK47" s="953">
        <v>0.16</v>
      </c>
      <c r="AL47" s="952">
        <v>0</v>
      </c>
      <c r="AM47" s="953">
        <v>0</v>
      </c>
      <c r="AN47" s="952">
        <v>267359</v>
      </c>
      <c r="AO47" s="953">
        <v>217.03</v>
      </c>
      <c r="AP47" s="952">
        <v>80</v>
      </c>
      <c r="AQ47" s="955">
        <v>0.01</v>
      </c>
      <c r="AR47" s="952">
        <v>0</v>
      </c>
      <c r="AS47" s="953">
        <v>0</v>
      </c>
      <c r="AT47" s="952">
        <v>0</v>
      </c>
      <c r="AU47" s="953">
        <v>0</v>
      </c>
      <c r="AV47" s="952">
        <v>0</v>
      </c>
      <c r="AW47" s="953">
        <v>0</v>
      </c>
      <c r="AX47" s="1925" t="s">
        <v>845</v>
      </c>
      <c r="AY47" s="951" t="s">
        <v>1917</v>
      </c>
      <c r="AZ47" s="952">
        <v>0</v>
      </c>
      <c r="BA47" s="953">
        <v>0</v>
      </c>
      <c r="BB47" s="952">
        <v>0</v>
      </c>
      <c r="BC47" s="953">
        <v>0</v>
      </c>
      <c r="BD47" s="952">
        <v>274063</v>
      </c>
      <c r="BE47" s="953">
        <v>221.42999999999998</v>
      </c>
      <c r="BF47" s="952">
        <v>3800</v>
      </c>
      <c r="BG47" s="952">
        <v>294888</v>
      </c>
      <c r="BH47" s="952">
        <v>11200</v>
      </c>
      <c r="BI47" s="952">
        <v>309888</v>
      </c>
      <c r="BJ47" s="952">
        <v>0</v>
      </c>
      <c r="BK47" s="952">
        <v>0</v>
      </c>
      <c r="BL47" s="953">
        <v>0</v>
      </c>
      <c r="BM47" s="952">
        <v>123112</v>
      </c>
      <c r="BN47" s="952">
        <v>1363938</v>
      </c>
      <c r="BO47" s="953">
        <v>269.72000000000003</v>
      </c>
      <c r="BP47" s="952">
        <v>15702172</v>
      </c>
      <c r="BQ47" s="952">
        <v>200</v>
      </c>
      <c r="BR47" s="952">
        <v>108673</v>
      </c>
      <c r="BS47" s="953">
        <v>143.02000000000001</v>
      </c>
      <c r="BT47" s="952">
        <v>53849</v>
      </c>
      <c r="BU47" s="952">
        <v>235</v>
      </c>
      <c r="BV47" s="944">
        <v>0</v>
      </c>
    </row>
    <row r="48" spans="1:74" s="886" customFormat="1" ht="9.75" customHeight="1">
      <c r="A48" s="1917"/>
      <c r="B48" s="1191" t="s">
        <v>1918</v>
      </c>
      <c r="C48" s="930">
        <v>17729</v>
      </c>
      <c r="D48" s="931">
        <v>1708.5500000000002</v>
      </c>
      <c r="E48" s="930">
        <v>2003</v>
      </c>
      <c r="F48" s="931">
        <v>18.740000000000002</v>
      </c>
      <c r="G48" s="930">
        <v>19732</v>
      </c>
      <c r="H48" s="931">
        <v>1727.29</v>
      </c>
      <c r="I48" s="930">
        <v>222</v>
      </c>
      <c r="J48" s="931">
        <v>52.36</v>
      </c>
      <c r="K48" s="930">
        <v>0</v>
      </c>
      <c r="L48" s="931">
        <v>0</v>
      </c>
      <c r="M48" s="930">
        <v>0</v>
      </c>
      <c r="N48" s="931">
        <v>0</v>
      </c>
      <c r="O48" s="930">
        <v>0</v>
      </c>
      <c r="P48" s="931">
        <v>0</v>
      </c>
      <c r="Q48" s="930">
        <v>0</v>
      </c>
      <c r="R48" s="931">
        <v>0</v>
      </c>
      <c r="S48" s="930">
        <v>0</v>
      </c>
      <c r="T48" s="931">
        <v>0</v>
      </c>
      <c r="U48" s="930">
        <v>0</v>
      </c>
      <c r="V48" s="931">
        <v>0</v>
      </c>
      <c r="W48" s="930">
        <v>0</v>
      </c>
      <c r="X48" s="931">
        <v>0</v>
      </c>
      <c r="Y48" s="931">
        <v>0</v>
      </c>
      <c r="Z48" s="1917"/>
      <c r="AA48" s="879" t="s">
        <v>1918</v>
      </c>
      <c r="AB48" s="930">
        <v>5023</v>
      </c>
      <c r="AC48" s="931">
        <v>3.79</v>
      </c>
      <c r="AD48" s="930">
        <v>0</v>
      </c>
      <c r="AE48" s="931">
        <v>0</v>
      </c>
      <c r="AF48" s="930">
        <v>176</v>
      </c>
      <c r="AG48" s="931">
        <v>0.06</v>
      </c>
      <c r="AH48" s="930">
        <v>0</v>
      </c>
      <c r="AI48" s="931">
        <v>0</v>
      </c>
      <c r="AJ48" s="930">
        <v>0</v>
      </c>
      <c r="AK48" s="931">
        <v>0</v>
      </c>
      <c r="AL48" s="930">
        <v>0</v>
      </c>
      <c r="AM48" s="931">
        <v>0</v>
      </c>
      <c r="AN48" s="930">
        <v>5199</v>
      </c>
      <c r="AO48" s="931">
        <v>3.84</v>
      </c>
      <c r="AP48" s="930">
        <v>0</v>
      </c>
      <c r="AQ48" s="932">
        <v>0</v>
      </c>
      <c r="AR48" s="930">
        <v>0</v>
      </c>
      <c r="AS48" s="931">
        <v>0</v>
      </c>
      <c r="AT48" s="930">
        <v>0</v>
      </c>
      <c r="AU48" s="931">
        <v>0</v>
      </c>
      <c r="AV48" s="930">
        <v>0</v>
      </c>
      <c r="AW48" s="931">
        <v>0</v>
      </c>
      <c r="AX48" s="1917"/>
      <c r="AY48" s="879" t="s">
        <v>1918</v>
      </c>
      <c r="AZ48" s="930">
        <v>0</v>
      </c>
      <c r="BA48" s="931">
        <v>0</v>
      </c>
      <c r="BB48" s="930">
        <v>0</v>
      </c>
      <c r="BC48" s="931">
        <v>0</v>
      </c>
      <c r="BD48" s="930">
        <v>5199</v>
      </c>
      <c r="BE48" s="931">
        <v>3.84</v>
      </c>
      <c r="BF48" s="930">
        <v>0</v>
      </c>
      <c r="BG48" s="930">
        <v>5454</v>
      </c>
      <c r="BH48" s="930">
        <v>0</v>
      </c>
      <c r="BI48" s="930">
        <v>5454</v>
      </c>
      <c r="BJ48" s="930">
        <v>0</v>
      </c>
      <c r="BK48" s="930">
        <v>0</v>
      </c>
      <c r="BL48" s="931">
        <v>0</v>
      </c>
      <c r="BM48" s="930">
        <v>0</v>
      </c>
      <c r="BN48" s="930">
        <v>0</v>
      </c>
      <c r="BO48" s="931">
        <v>0</v>
      </c>
      <c r="BP48" s="930">
        <v>0</v>
      </c>
      <c r="BQ48" s="930">
        <v>0</v>
      </c>
      <c r="BR48" s="930">
        <v>0</v>
      </c>
      <c r="BS48" s="931">
        <v>0</v>
      </c>
      <c r="BT48" s="930">
        <v>0</v>
      </c>
      <c r="BU48" s="930">
        <v>6</v>
      </c>
      <c r="BV48" s="943">
        <v>0</v>
      </c>
    </row>
    <row r="49" spans="1:74" ht="9.75" customHeight="1">
      <c r="A49" s="1917"/>
      <c r="B49" s="1190" t="s">
        <v>1919</v>
      </c>
      <c r="C49" s="935">
        <v>1427224</v>
      </c>
      <c r="D49" s="936">
        <v>129668.49000000002</v>
      </c>
      <c r="E49" s="935">
        <v>918</v>
      </c>
      <c r="F49" s="936">
        <v>69.820000000000007</v>
      </c>
      <c r="G49" s="935">
        <v>1428142</v>
      </c>
      <c r="H49" s="936">
        <v>129738.31</v>
      </c>
      <c r="I49" s="935">
        <v>1290213</v>
      </c>
      <c r="J49" s="936">
        <v>9475.0800000000036</v>
      </c>
      <c r="K49" s="935">
        <v>150095</v>
      </c>
      <c r="L49" s="936">
        <v>102.36999999999999</v>
      </c>
      <c r="M49" s="935">
        <v>4090</v>
      </c>
      <c r="N49" s="936">
        <v>6.5799999999999983</v>
      </c>
      <c r="O49" s="935">
        <v>928658</v>
      </c>
      <c r="P49" s="936">
        <v>539.04999999999995</v>
      </c>
      <c r="Q49" s="935">
        <v>144918</v>
      </c>
      <c r="R49" s="936">
        <v>124.14999999999998</v>
      </c>
      <c r="S49" s="935">
        <v>221808</v>
      </c>
      <c r="T49" s="936">
        <v>49.4</v>
      </c>
      <c r="U49" s="935">
        <v>70885</v>
      </c>
      <c r="V49" s="936">
        <v>88.510000000000019</v>
      </c>
      <c r="W49" s="935">
        <v>1520454</v>
      </c>
      <c r="X49" s="936">
        <v>910.01</v>
      </c>
      <c r="Y49" s="936">
        <v>3714.5400000000004</v>
      </c>
      <c r="Z49" s="1917"/>
      <c r="AA49" s="938" t="s">
        <v>1919</v>
      </c>
      <c r="AB49" s="935">
        <v>14443616</v>
      </c>
      <c r="AC49" s="936">
        <v>10704.73</v>
      </c>
      <c r="AD49" s="935">
        <v>411</v>
      </c>
      <c r="AE49" s="936">
        <v>1.5</v>
      </c>
      <c r="AF49" s="935">
        <v>892606</v>
      </c>
      <c r="AG49" s="936">
        <v>446.89000000000004</v>
      </c>
      <c r="AH49" s="935">
        <v>2526</v>
      </c>
      <c r="AI49" s="936">
        <v>7.77</v>
      </c>
      <c r="AJ49" s="935">
        <v>1792725</v>
      </c>
      <c r="AK49" s="936">
        <v>41.290000000000013</v>
      </c>
      <c r="AL49" s="935">
        <v>1105</v>
      </c>
      <c r="AM49" s="936">
        <v>1.1599999999999999</v>
      </c>
      <c r="AN49" s="935">
        <v>17132989</v>
      </c>
      <c r="AO49" s="936">
        <v>11203.29</v>
      </c>
      <c r="AP49" s="935">
        <v>106750</v>
      </c>
      <c r="AQ49" s="937">
        <v>66.969999999999985</v>
      </c>
      <c r="AR49" s="935">
        <v>46536</v>
      </c>
      <c r="AS49" s="936">
        <v>15.33</v>
      </c>
      <c r="AT49" s="935">
        <v>35153</v>
      </c>
      <c r="AU49" s="936">
        <v>112</v>
      </c>
      <c r="AV49" s="935">
        <v>125608</v>
      </c>
      <c r="AW49" s="936">
        <v>129.03</v>
      </c>
      <c r="AX49" s="1917"/>
      <c r="AY49" s="938" t="s">
        <v>1919</v>
      </c>
      <c r="AZ49" s="935">
        <v>99013</v>
      </c>
      <c r="BA49" s="936">
        <v>18.159999999999997</v>
      </c>
      <c r="BB49" s="935">
        <v>259774</v>
      </c>
      <c r="BC49" s="936">
        <v>259.2</v>
      </c>
      <c r="BD49" s="935">
        <v>19063977</v>
      </c>
      <c r="BE49" s="936">
        <v>12447.089999999997</v>
      </c>
      <c r="BF49" s="935">
        <v>934451</v>
      </c>
      <c r="BG49" s="935">
        <v>12918999</v>
      </c>
      <c r="BH49" s="935">
        <v>124592</v>
      </c>
      <c r="BI49" s="935">
        <v>13978042</v>
      </c>
      <c r="BJ49" s="935">
        <v>1785349</v>
      </c>
      <c r="BK49" s="935">
        <v>608335</v>
      </c>
      <c r="BL49" s="936">
        <v>1039.81</v>
      </c>
      <c r="BM49" s="935">
        <v>745635</v>
      </c>
      <c r="BN49" s="935">
        <v>200519824</v>
      </c>
      <c r="BO49" s="936">
        <v>32203.900000000009</v>
      </c>
      <c r="BP49" s="935">
        <v>51112062</v>
      </c>
      <c r="BQ49" s="935">
        <v>3895</v>
      </c>
      <c r="BR49" s="935">
        <v>2205186</v>
      </c>
      <c r="BS49" s="936">
        <v>5532.33</v>
      </c>
      <c r="BT49" s="935">
        <v>2098209</v>
      </c>
      <c r="BU49" s="935">
        <v>9654</v>
      </c>
      <c r="BV49" s="944">
        <v>43764</v>
      </c>
    </row>
    <row r="50" spans="1:74" ht="9.75" customHeight="1">
      <c r="A50" s="1917"/>
      <c r="B50" s="1191" t="s">
        <v>1939</v>
      </c>
      <c r="C50" s="930">
        <v>154712</v>
      </c>
      <c r="D50" s="931">
        <v>15000.340000000002</v>
      </c>
      <c r="E50" s="930">
        <v>0</v>
      </c>
      <c r="F50" s="931">
        <v>0</v>
      </c>
      <c r="G50" s="930">
        <v>154712</v>
      </c>
      <c r="H50" s="931">
        <v>15000.340000000002</v>
      </c>
      <c r="I50" s="930">
        <v>361874</v>
      </c>
      <c r="J50" s="931">
        <v>3588.8299999999995</v>
      </c>
      <c r="K50" s="930">
        <v>10678</v>
      </c>
      <c r="L50" s="931">
        <v>9.15</v>
      </c>
      <c r="M50" s="930">
        <v>160</v>
      </c>
      <c r="N50" s="931">
        <v>0.25</v>
      </c>
      <c r="O50" s="930">
        <v>276982</v>
      </c>
      <c r="P50" s="931">
        <v>117.38</v>
      </c>
      <c r="Q50" s="930">
        <v>10158</v>
      </c>
      <c r="R50" s="931">
        <v>9.1100000000000012</v>
      </c>
      <c r="S50" s="930">
        <v>61252</v>
      </c>
      <c r="T50" s="931">
        <v>14.3</v>
      </c>
      <c r="U50" s="930">
        <v>7238</v>
      </c>
      <c r="V50" s="931">
        <v>3.1</v>
      </c>
      <c r="W50" s="930">
        <v>366468</v>
      </c>
      <c r="X50" s="931">
        <v>153.28</v>
      </c>
      <c r="Y50" s="931">
        <v>688.28</v>
      </c>
      <c r="Z50" s="1917"/>
      <c r="AA50" s="879" t="s">
        <v>1939</v>
      </c>
      <c r="AB50" s="930">
        <v>633345</v>
      </c>
      <c r="AC50" s="931">
        <v>694.54000000000008</v>
      </c>
      <c r="AD50" s="930">
        <v>1215</v>
      </c>
      <c r="AE50" s="931">
        <v>3.4</v>
      </c>
      <c r="AF50" s="930">
        <v>114972</v>
      </c>
      <c r="AG50" s="931">
        <v>35.220000000000006</v>
      </c>
      <c r="AH50" s="930">
        <v>2804</v>
      </c>
      <c r="AI50" s="931">
        <v>3.77</v>
      </c>
      <c r="AJ50" s="930">
        <v>34844</v>
      </c>
      <c r="AK50" s="931">
        <v>4.0200000000000005</v>
      </c>
      <c r="AL50" s="930">
        <v>2546</v>
      </c>
      <c r="AM50" s="931">
        <v>2.8200000000000003</v>
      </c>
      <c r="AN50" s="930">
        <v>789726</v>
      </c>
      <c r="AO50" s="931">
        <v>743.79000000000008</v>
      </c>
      <c r="AP50" s="930">
        <v>0</v>
      </c>
      <c r="AQ50" s="932">
        <v>0</v>
      </c>
      <c r="AR50" s="930">
        <v>3327</v>
      </c>
      <c r="AS50" s="931">
        <v>1.36</v>
      </c>
      <c r="AT50" s="930">
        <v>9462</v>
      </c>
      <c r="AU50" s="931">
        <v>22.5</v>
      </c>
      <c r="AV50" s="930">
        <v>0</v>
      </c>
      <c r="AW50" s="931">
        <v>0</v>
      </c>
      <c r="AX50" s="1917"/>
      <c r="AY50" s="879" t="s">
        <v>1939</v>
      </c>
      <c r="AZ50" s="930">
        <v>0</v>
      </c>
      <c r="BA50" s="931">
        <v>0</v>
      </c>
      <c r="BB50" s="930">
        <v>9462</v>
      </c>
      <c r="BC50" s="931">
        <v>22.5</v>
      </c>
      <c r="BD50" s="930">
        <v>1166179</v>
      </c>
      <c r="BE50" s="931">
        <v>917.14</v>
      </c>
      <c r="BF50" s="930">
        <v>123156</v>
      </c>
      <c r="BG50" s="930">
        <v>319746</v>
      </c>
      <c r="BH50" s="930">
        <v>51468</v>
      </c>
      <c r="BI50" s="930">
        <v>494370</v>
      </c>
      <c r="BJ50" s="930">
        <v>169104</v>
      </c>
      <c r="BK50" s="930">
        <v>204473</v>
      </c>
      <c r="BL50" s="931">
        <v>1239.3000000000002</v>
      </c>
      <c r="BM50" s="930">
        <v>0</v>
      </c>
      <c r="BN50" s="930">
        <v>0</v>
      </c>
      <c r="BO50" s="931">
        <v>0</v>
      </c>
      <c r="BP50" s="930">
        <v>0</v>
      </c>
      <c r="BQ50" s="930">
        <v>0</v>
      </c>
      <c r="BR50" s="930">
        <v>0</v>
      </c>
      <c r="BS50" s="931">
        <v>0</v>
      </c>
      <c r="BT50" s="930">
        <v>0</v>
      </c>
      <c r="BU50" s="930">
        <v>168</v>
      </c>
      <c r="BV50" s="943">
        <v>0</v>
      </c>
    </row>
    <row r="51" spans="1:74">
      <c r="A51" s="1918"/>
      <c r="B51" s="1010" t="s">
        <v>760</v>
      </c>
      <c r="C51" s="933">
        <v>1992134</v>
      </c>
      <c r="D51" s="934">
        <v>193146.95</v>
      </c>
      <c r="E51" s="933">
        <v>12763</v>
      </c>
      <c r="F51" s="934">
        <v>525.1400000000001</v>
      </c>
      <c r="G51" s="933">
        <v>2004897</v>
      </c>
      <c r="H51" s="934">
        <v>193672.09</v>
      </c>
      <c r="I51" s="933">
        <v>1681544</v>
      </c>
      <c r="J51" s="934">
        <v>14208.530000000004</v>
      </c>
      <c r="K51" s="933">
        <v>164572</v>
      </c>
      <c r="L51" s="934">
        <v>114.88</v>
      </c>
      <c r="M51" s="933">
        <v>4250</v>
      </c>
      <c r="N51" s="934">
        <v>6.8299999999999983</v>
      </c>
      <c r="O51" s="933">
        <v>1208010</v>
      </c>
      <c r="P51" s="934">
        <v>657.33999999999992</v>
      </c>
      <c r="Q51" s="933">
        <v>155191</v>
      </c>
      <c r="R51" s="934">
        <v>133.35</v>
      </c>
      <c r="S51" s="933">
        <v>283400</v>
      </c>
      <c r="T51" s="934">
        <v>63.730000000000004</v>
      </c>
      <c r="U51" s="933">
        <v>78123</v>
      </c>
      <c r="V51" s="934">
        <v>91.610000000000014</v>
      </c>
      <c r="W51" s="933">
        <v>1893546</v>
      </c>
      <c r="X51" s="934">
        <v>1067.68</v>
      </c>
      <c r="Y51" s="934">
        <v>4418.6500000000005</v>
      </c>
      <c r="Z51" s="1918"/>
      <c r="AA51" s="1010" t="s">
        <v>760</v>
      </c>
      <c r="AB51" s="933">
        <v>15331327</v>
      </c>
      <c r="AC51" s="934">
        <v>11615.73</v>
      </c>
      <c r="AD51" s="933">
        <v>1626</v>
      </c>
      <c r="AE51" s="934">
        <v>4.9000000000000004</v>
      </c>
      <c r="AF51" s="933">
        <v>1023363</v>
      </c>
      <c r="AG51" s="934">
        <v>486.39000000000004</v>
      </c>
      <c r="AH51" s="933">
        <v>5330</v>
      </c>
      <c r="AI51" s="934">
        <v>11.54</v>
      </c>
      <c r="AJ51" s="933">
        <v>1829976</v>
      </c>
      <c r="AK51" s="934">
        <v>45.470000000000013</v>
      </c>
      <c r="AL51" s="933">
        <v>3651</v>
      </c>
      <c r="AM51" s="934">
        <v>3.9800000000000004</v>
      </c>
      <c r="AN51" s="933">
        <v>18195273</v>
      </c>
      <c r="AO51" s="934">
        <v>12167.950000000003</v>
      </c>
      <c r="AP51" s="933">
        <v>106830</v>
      </c>
      <c r="AQ51" s="946">
        <v>66.97999999999999</v>
      </c>
      <c r="AR51" s="933">
        <v>49863</v>
      </c>
      <c r="AS51" s="934">
        <v>16.690000000000001</v>
      </c>
      <c r="AT51" s="933">
        <v>44615</v>
      </c>
      <c r="AU51" s="934">
        <v>134.5</v>
      </c>
      <c r="AV51" s="933">
        <v>125608</v>
      </c>
      <c r="AW51" s="934">
        <v>129.03</v>
      </c>
      <c r="AX51" s="1918"/>
      <c r="AY51" s="1010" t="s">
        <v>760</v>
      </c>
      <c r="AZ51" s="933">
        <v>99013</v>
      </c>
      <c r="BA51" s="934">
        <v>18.159999999999997</v>
      </c>
      <c r="BB51" s="933">
        <v>269236</v>
      </c>
      <c r="BC51" s="934">
        <v>281.7</v>
      </c>
      <c r="BD51" s="933">
        <v>20514748</v>
      </c>
      <c r="BE51" s="934">
        <v>13601.000000000004</v>
      </c>
      <c r="BF51" s="933">
        <v>1061407</v>
      </c>
      <c r="BG51" s="933">
        <v>13539087</v>
      </c>
      <c r="BH51" s="933">
        <v>187260</v>
      </c>
      <c r="BI51" s="933">
        <v>14787754</v>
      </c>
      <c r="BJ51" s="933">
        <v>1954453</v>
      </c>
      <c r="BK51" s="933">
        <v>812808</v>
      </c>
      <c r="BL51" s="934">
        <v>2279.11</v>
      </c>
      <c r="BM51" s="933">
        <v>868747</v>
      </c>
      <c r="BN51" s="933">
        <v>201883762</v>
      </c>
      <c r="BO51" s="934">
        <v>32473.62000000001</v>
      </c>
      <c r="BP51" s="933">
        <v>66814234</v>
      </c>
      <c r="BQ51" s="933">
        <v>4095</v>
      </c>
      <c r="BR51" s="933">
        <v>2313859</v>
      </c>
      <c r="BS51" s="934">
        <v>5675.35</v>
      </c>
      <c r="BT51" s="933">
        <v>2152058</v>
      </c>
      <c r="BU51" s="933">
        <v>10063</v>
      </c>
      <c r="BV51" s="945">
        <v>43764</v>
      </c>
    </row>
    <row r="52" spans="1:74">
      <c r="A52" s="886"/>
      <c r="B52" s="886" t="s">
        <v>1916</v>
      </c>
      <c r="C52" s="886" t="s">
        <v>2003</v>
      </c>
      <c r="D52" s="886"/>
      <c r="E52" s="886"/>
      <c r="F52" s="886"/>
      <c r="G52" s="886"/>
      <c r="H52" s="886"/>
      <c r="I52" s="886"/>
      <c r="J52" s="886"/>
      <c r="K52" s="886"/>
      <c r="L52" s="886"/>
      <c r="M52" s="886" t="s">
        <v>50</v>
      </c>
      <c r="N52" s="886" t="s">
        <v>2280</v>
      </c>
      <c r="O52" s="886"/>
      <c r="P52" s="886"/>
      <c r="Q52" s="886"/>
      <c r="R52" s="886"/>
      <c r="S52" s="886"/>
      <c r="T52" s="886"/>
      <c r="U52" s="886"/>
      <c r="V52" s="886"/>
      <c r="W52" s="886"/>
      <c r="X52" s="886"/>
      <c r="Y52" s="886"/>
      <c r="AA52" s="1929" t="s">
        <v>2175</v>
      </c>
      <c r="AB52" s="1930"/>
      <c r="AC52" s="1930"/>
      <c r="AD52" s="1930"/>
      <c r="AE52" s="1930"/>
      <c r="AF52" s="1930"/>
      <c r="AG52" s="1930"/>
      <c r="AH52" s="886"/>
      <c r="AI52" s="886"/>
      <c r="AJ52" s="886"/>
      <c r="AK52" s="886"/>
      <c r="AL52" s="886"/>
      <c r="AM52" s="886"/>
      <c r="AN52" s="886"/>
      <c r="AO52" s="886"/>
      <c r="AP52" s="886"/>
      <c r="AQ52" s="886"/>
      <c r="AR52" s="886"/>
      <c r="AS52" s="886"/>
      <c r="AT52" s="886"/>
      <c r="AU52" s="886"/>
      <c r="AV52" s="886"/>
      <c r="AW52" s="886"/>
      <c r="AY52" s="886" t="s">
        <v>2176</v>
      </c>
      <c r="AZ52" s="886"/>
      <c r="BA52" s="886"/>
      <c r="BB52" s="886"/>
      <c r="BC52" s="886"/>
      <c r="BD52" s="886"/>
      <c r="BE52" s="886"/>
      <c r="BF52" s="886"/>
      <c r="BG52" s="886"/>
      <c r="BH52" s="886"/>
      <c r="BI52" s="886"/>
      <c r="BJ52" s="886"/>
      <c r="BK52" s="886"/>
      <c r="BL52" s="886"/>
      <c r="BM52" s="886"/>
      <c r="BN52" s="886"/>
      <c r="BO52" s="886"/>
      <c r="BP52" s="886"/>
      <c r="BQ52" s="886"/>
      <c r="BR52" s="886"/>
      <c r="BS52" s="886"/>
      <c r="BT52" s="886"/>
      <c r="BU52" s="886"/>
      <c r="BV52" s="886"/>
    </row>
    <row r="53" spans="1:74">
      <c r="C53" s="886"/>
      <c r="G53" s="886"/>
      <c r="AB53" s="886"/>
      <c r="AY53" s="886"/>
    </row>
  </sheetData>
  <mergeCells count="128">
    <mergeCell ref="AA52:AG52"/>
    <mergeCell ref="AX42:AX46"/>
    <mergeCell ref="Z37:Z41"/>
    <mergeCell ref="AX37:AX41"/>
    <mergeCell ref="AX32:AX36"/>
    <mergeCell ref="A42:A46"/>
    <mergeCell ref="Z42:Z46"/>
    <mergeCell ref="A20:A24"/>
    <mergeCell ref="Z20:Z24"/>
    <mergeCell ref="AX20:AX24"/>
    <mergeCell ref="A26:A30"/>
    <mergeCell ref="Z26:Z30"/>
    <mergeCell ref="AX26:AX30"/>
    <mergeCell ref="AX10:AX14"/>
    <mergeCell ref="A47:A51"/>
    <mergeCell ref="Z47:Z51"/>
    <mergeCell ref="A32:A36"/>
    <mergeCell ref="AX47:AX51"/>
    <mergeCell ref="A10:A14"/>
    <mergeCell ref="Z10:Z14"/>
    <mergeCell ref="A37:A41"/>
    <mergeCell ref="AX15:AX19"/>
    <mergeCell ref="Z15:Z19"/>
    <mergeCell ref="Z32:Z36"/>
    <mergeCell ref="A25:B25"/>
    <mergeCell ref="Z25:AA25"/>
    <mergeCell ref="AX25:AY25"/>
    <mergeCell ref="A31:B31"/>
    <mergeCell ref="Z31:AA31"/>
    <mergeCell ref="AX31:AY31"/>
    <mergeCell ref="Z9:AA9"/>
    <mergeCell ref="A15:A19"/>
    <mergeCell ref="I8:J8"/>
    <mergeCell ref="A9:B9"/>
    <mergeCell ref="K8:L8"/>
    <mergeCell ref="O8:P8"/>
    <mergeCell ref="A3:B8"/>
    <mergeCell ref="C3:H4"/>
    <mergeCell ref="I3:J6"/>
    <mergeCell ref="K3:Y3"/>
    <mergeCell ref="M8:N8"/>
    <mergeCell ref="S8:T8"/>
    <mergeCell ref="U8:V8"/>
    <mergeCell ref="Q8:R8"/>
    <mergeCell ref="C5:D6"/>
    <mergeCell ref="E5:F6"/>
    <mergeCell ref="S6:T6"/>
    <mergeCell ref="K5:N5"/>
    <mergeCell ref="O5:R5"/>
    <mergeCell ref="S5:V5"/>
    <mergeCell ref="C8:D8"/>
    <mergeCell ref="E8:F8"/>
    <mergeCell ref="W5:X6"/>
    <mergeCell ref="G5:H6"/>
    <mergeCell ref="AH8:AI8"/>
    <mergeCell ref="AF8:AG8"/>
    <mergeCell ref="AD8:AE8"/>
    <mergeCell ref="AB8:AC8"/>
    <mergeCell ref="AT6:AU6"/>
    <mergeCell ref="AZ4:BC5"/>
    <mergeCell ref="AZ8:BA8"/>
    <mergeCell ref="AT8:AU8"/>
    <mergeCell ref="AV8:AW8"/>
    <mergeCell ref="AJ8:AK8"/>
    <mergeCell ref="AL8:AM8"/>
    <mergeCell ref="AN8:AO8"/>
    <mergeCell ref="AP8:AQ8"/>
    <mergeCell ref="AR8:AS8"/>
    <mergeCell ref="AX3:AY8"/>
    <mergeCell ref="BB8:BC8"/>
    <mergeCell ref="AT4:AW5"/>
    <mergeCell ref="AH6:AI6"/>
    <mergeCell ref="AB3:AW3"/>
    <mergeCell ref="AX9:AY9"/>
    <mergeCell ref="BR8:BS8"/>
    <mergeCell ref="BN8:BO8"/>
    <mergeCell ref="BM3:BP4"/>
    <mergeCell ref="BQ3:BT4"/>
    <mergeCell ref="BQ5:BQ6"/>
    <mergeCell ref="BR5:BS6"/>
    <mergeCell ref="BH5:BH6"/>
    <mergeCell ref="BI5:BI6"/>
    <mergeCell ref="BB6:BC6"/>
    <mergeCell ref="AZ6:BA6"/>
    <mergeCell ref="BD8:BE8"/>
    <mergeCell ref="BF5:BF6"/>
    <mergeCell ref="BF3:BI4"/>
    <mergeCell ref="V1:Y1"/>
    <mergeCell ref="K6:L6"/>
    <mergeCell ref="AP6:AQ6"/>
    <mergeCell ref="U6:V6"/>
    <mergeCell ref="M6:N6"/>
    <mergeCell ref="O6:P6"/>
    <mergeCell ref="Y5:Y6"/>
    <mergeCell ref="BG1:BO1"/>
    <mergeCell ref="BM5:BM6"/>
    <mergeCell ref="BN5:BO6"/>
    <mergeCell ref="BJ5:BJ6"/>
    <mergeCell ref="AZ3:BE3"/>
    <mergeCell ref="BD4:BE6"/>
    <mergeCell ref="AB5:AE5"/>
    <mergeCell ref="AR6:AS6"/>
    <mergeCell ref="AP4:AS5"/>
    <mergeCell ref="AF6:AG6"/>
    <mergeCell ref="BS1:BV1"/>
    <mergeCell ref="H1:S1"/>
    <mergeCell ref="BV3:BV6"/>
    <mergeCell ref="BK5:BL6"/>
    <mergeCell ref="BG5:BG6"/>
    <mergeCell ref="AT1:AW1"/>
    <mergeCell ref="AJ5:AM5"/>
    <mergeCell ref="BP5:BP6"/>
    <mergeCell ref="AD6:AE6"/>
    <mergeCell ref="AN5:AO6"/>
    <mergeCell ref="Z3:AA8"/>
    <mergeCell ref="W8:X8"/>
    <mergeCell ref="AL6:AM6"/>
    <mergeCell ref="AJ6:AK6"/>
    <mergeCell ref="Q6:R6"/>
    <mergeCell ref="AF5:AI5"/>
    <mergeCell ref="AB6:AC6"/>
    <mergeCell ref="BT5:BT6"/>
    <mergeCell ref="BJ3:BL4"/>
    <mergeCell ref="BU3:BU6"/>
    <mergeCell ref="AH1:AR1"/>
    <mergeCell ref="K4:Y4"/>
    <mergeCell ref="AB4:AO4"/>
    <mergeCell ref="AV6:AW6"/>
  </mergeCells>
  <pageMargins left="0.511811023622047" right="0.511811023622047" top="0.511811023622047" bottom="0.511811023622047" header="0.31496062992126" footer="0.31496062992126"/>
  <pageSetup paperSize="141" firstPageNumber="22" orientation="portrait" useFirstPageNumber="1" r:id="rId1"/>
  <headerFooter alignWithMargins="0">
    <oddFooter>&amp;C&amp;"Times New Roman,Regular"&amp;8&amp;P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/>
  <dimension ref="A1:V171"/>
  <sheetViews>
    <sheetView zoomScale="160" zoomScaleNormal="160" workbookViewId="0">
      <pane xSplit="1" ySplit="5" topLeftCell="R21" activePane="bottomRight" state="frozen"/>
      <selection pane="topRight" activeCell="C1" sqref="C1"/>
      <selection pane="bottomLeft" activeCell="A6" sqref="A6"/>
      <selection pane="bottomRight" activeCell="A39" sqref="A39"/>
    </sheetView>
  </sheetViews>
  <sheetFormatPr defaultColWidth="9.140625" defaultRowHeight="11.25"/>
  <cols>
    <col min="1" max="1" width="10.28515625" style="271" customWidth="1"/>
    <col min="2" max="2" width="10.85546875" style="271" customWidth="1"/>
    <col min="3" max="3" width="11.140625" style="271" customWidth="1"/>
    <col min="4" max="4" width="11" style="271" customWidth="1"/>
    <col min="5" max="5" width="11.28515625" style="271" customWidth="1"/>
    <col min="6" max="6" width="11" style="271" customWidth="1"/>
    <col min="7" max="7" width="12.42578125" style="271" customWidth="1"/>
    <col min="8" max="8" width="10.42578125" style="271" customWidth="1"/>
    <col min="9" max="9" width="10.140625" style="271" customWidth="1"/>
    <col min="10" max="10" width="10.7109375" style="271" customWidth="1"/>
    <col min="11" max="11" width="11.85546875" style="271" customWidth="1"/>
    <col min="12" max="12" width="10.5703125" style="271" customWidth="1"/>
    <col min="13" max="13" width="12.140625" style="271" customWidth="1"/>
    <col min="14" max="14" width="12.28515625" style="271" customWidth="1"/>
    <col min="15" max="15" width="8.85546875" style="271" customWidth="1"/>
    <col min="16" max="16" width="7.7109375" style="271" customWidth="1"/>
    <col min="17" max="17" width="8.5703125" style="271" customWidth="1"/>
    <col min="18" max="18" width="8.7109375" style="271" customWidth="1"/>
    <col min="19" max="19" width="9.140625" style="271"/>
    <col min="20" max="20" width="9.28515625" style="271" customWidth="1"/>
    <col min="21" max="21" width="13.7109375" style="271" customWidth="1"/>
    <col min="22" max="22" width="12.28515625" style="271" customWidth="1"/>
    <col min="23" max="16384" width="9.140625" style="271"/>
  </cols>
  <sheetData>
    <row r="1" spans="1:22" s="257" customFormat="1" ht="15" customHeight="1">
      <c r="A1" s="255"/>
      <c r="B1" s="255"/>
      <c r="C1" s="255"/>
      <c r="D1" s="255"/>
      <c r="E1" s="255"/>
      <c r="F1" s="1939" t="s">
        <v>172</v>
      </c>
      <c r="G1" s="1939"/>
      <c r="H1" s="1938" t="s">
        <v>171</v>
      </c>
      <c r="I1" s="1938"/>
      <c r="J1" s="256"/>
      <c r="K1" s="256"/>
      <c r="L1" s="1939" t="s">
        <v>697</v>
      </c>
      <c r="M1" s="1939"/>
      <c r="N1" s="1939"/>
      <c r="O1" s="1942" t="s">
        <v>293</v>
      </c>
      <c r="P1" s="1942"/>
      <c r="Q1" s="1942"/>
      <c r="R1" s="1942"/>
      <c r="S1" s="1942"/>
      <c r="T1" s="1939" t="s">
        <v>698</v>
      </c>
      <c r="U1" s="1939"/>
      <c r="V1" s="1939"/>
    </row>
    <row r="2" spans="1:22" s="260" customFormat="1" ht="11.25" customHeight="1">
      <c r="A2" s="258"/>
      <c r="B2" s="258"/>
      <c r="C2" s="258"/>
      <c r="D2" s="259"/>
      <c r="F2" s="261"/>
      <c r="H2" s="259"/>
      <c r="I2" s="259"/>
      <c r="J2" s="259"/>
      <c r="K2" s="259"/>
      <c r="L2" s="1940" t="s">
        <v>41</v>
      </c>
      <c r="M2" s="1940"/>
      <c r="N2" s="1940"/>
      <c r="O2" s="259"/>
      <c r="P2" s="259"/>
      <c r="Q2" s="262"/>
      <c r="R2" s="262"/>
      <c r="S2" s="262"/>
      <c r="T2" s="262"/>
      <c r="U2" s="1940" t="s">
        <v>41</v>
      </c>
      <c r="V2" s="1940"/>
    </row>
    <row r="3" spans="1:22" s="260" customFormat="1" ht="12.75" customHeight="1">
      <c r="A3" s="1933" t="s">
        <v>764</v>
      </c>
      <c r="B3" s="1944" t="s">
        <v>769</v>
      </c>
      <c r="C3" s="1945"/>
      <c r="D3" s="1946"/>
      <c r="E3" s="1943" t="s">
        <v>573</v>
      </c>
      <c r="F3" s="1943"/>
      <c r="G3" s="1943"/>
      <c r="H3" s="1943" t="s">
        <v>1480</v>
      </c>
      <c r="I3" s="1943"/>
      <c r="J3" s="1943"/>
      <c r="K3" s="1941" t="s">
        <v>1481</v>
      </c>
      <c r="L3" s="1941"/>
      <c r="M3" s="1941"/>
      <c r="N3" s="1950" t="s">
        <v>1509</v>
      </c>
      <c r="O3" s="1846" t="s">
        <v>764</v>
      </c>
      <c r="P3" s="1952" t="s">
        <v>1484</v>
      </c>
      <c r="Q3" s="1944" t="s">
        <v>1483</v>
      </c>
      <c r="R3" s="1945"/>
      <c r="S3" s="1945"/>
      <c r="T3" s="1945"/>
      <c r="U3" s="1946"/>
      <c r="V3" s="1947" t="s">
        <v>2214</v>
      </c>
    </row>
    <row r="4" spans="1:22" s="263" customFormat="1" ht="29.25" customHeight="1">
      <c r="A4" s="1934"/>
      <c r="B4" s="115" t="s">
        <v>1506</v>
      </c>
      <c r="C4" s="115" t="s">
        <v>1507</v>
      </c>
      <c r="D4" s="115" t="s">
        <v>1508</v>
      </c>
      <c r="E4" s="115" t="s">
        <v>770</v>
      </c>
      <c r="F4" s="115" t="s">
        <v>771</v>
      </c>
      <c r="G4" s="115" t="s">
        <v>943</v>
      </c>
      <c r="H4" s="115" t="s">
        <v>770</v>
      </c>
      <c r="I4" s="115" t="s">
        <v>771</v>
      </c>
      <c r="J4" s="115" t="s">
        <v>944</v>
      </c>
      <c r="K4" s="115" t="s">
        <v>772</v>
      </c>
      <c r="L4" s="115" t="s">
        <v>761</v>
      </c>
      <c r="M4" s="115" t="s">
        <v>948</v>
      </c>
      <c r="N4" s="1951"/>
      <c r="O4" s="1936"/>
      <c r="P4" s="1953"/>
      <c r="Q4" s="251" t="s">
        <v>1485</v>
      </c>
      <c r="R4" s="251" t="s">
        <v>1209</v>
      </c>
      <c r="S4" s="251" t="s">
        <v>1210</v>
      </c>
      <c r="T4" s="251" t="s">
        <v>1211</v>
      </c>
      <c r="U4" s="251" t="s">
        <v>950</v>
      </c>
      <c r="V4" s="1948"/>
    </row>
    <row r="5" spans="1:22" s="337" customFormat="1" ht="17.25" customHeight="1">
      <c r="A5" s="1935"/>
      <c r="B5" s="521">
        <v>1</v>
      </c>
      <c r="C5" s="521">
        <v>2</v>
      </c>
      <c r="D5" s="521" t="s">
        <v>947</v>
      </c>
      <c r="E5" s="521">
        <v>4</v>
      </c>
      <c r="F5" s="521">
        <v>5</v>
      </c>
      <c r="G5" s="521" t="s">
        <v>946</v>
      </c>
      <c r="H5" s="521">
        <v>7</v>
      </c>
      <c r="I5" s="521">
        <v>8</v>
      </c>
      <c r="J5" s="521" t="s">
        <v>945</v>
      </c>
      <c r="K5" s="521">
        <v>10</v>
      </c>
      <c r="L5" s="521">
        <v>11</v>
      </c>
      <c r="M5" s="521" t="s">
        <v>949</v>
      </c>
      <c r="N5" s="521" t="s">
        <v>292</v>
      </c>
      <c r="O5" s="1937"/>
      <c r="P5" s="757">
        <v>14</v>
      </c>
      <c r="Q5" s="757">
        <v>15</v>
      </c>
      <c r="R5" s="757">
        <v>16</v>
      </c>
      <c r="S5" s="757">
        <v>17</v>
      </c>
      <c r="T5" s="757">
        <v>18</v>
      </c>
      <c r="U5" s="1287" t="s">
        <v>1482</v>
      </c>
      <c r="V5" s="1949"/>
    </row>
    <row r="6" spans="1:22" s="254" customFormat="1" ht="10.5" customHeight="1">
      <c r="A6" s="462" t="s">
        <v>837</v>
      </c>
      <c r="B6" s="443">
        <v>53961.4</v>
      </c>
      <c r="C6" s="443">
        <v>72945.2</v>
      </c>
      <c r="D6" s="443">
        <f t="shared" ref="D6:D9" si="0">B6-C6</f>
        <v>-18983.799999999996</v>
      </c>
      <c r="E6" s="443">
        <v>7506.7</v>
      </c>
      <c r="F6" s="443">
        <v>12487.1</v>
      </c>
      <c r="G6" s="443">
        <f t="shared" ref="G6:G9" si="1">E6-F6</f>
        <v>-4980.4000000000005</v>
      </c>
      <c r="H6" s="443">
        <v>729.4</v>
      </c>
      <c r="I6" s="443">
        <v>5671.3</v>
      </c>
      <c r="J6" s="443">
        <f t="shared" ref="J6:J8" si="2">H6-I6</f>
        <v>-4941.9000000000005</v>
      </c>
      <c r="K6" s="443">
        <f t="shared" ref="K6" si="3">M6-L6</f>
        <v>2706.7999999999993</v>
      </c>
      <c r="L6" s="443">
        <v>23843.9</v>
      </c>
      <c r="M6" s="443">
        <v>26550.7</v>
      </c>
      <c r="N6" s="443">
        <f t="shared" ref="N6:N9" si="4">D6++G6+J6+M6</f>
        <v>-2355.3999999999978</v>
      </c>
      <c r="O6" s="462" t="s">
        <v>837</v>
      </c>
      <c r="P6" s="443">
        <v>1001.1</v>
      </c>
      <c r="Q6" s="443">
        <v>4758</v>
      </c>
      <c r="R6" s="443">
        <v>0.3</v>
      </c>
      <c r="S6" s="443">
        <v>1488.6</v>
      </c>
      <c r="T6" s="443">
        <v>-1900.8</v>
      </c>
      <c r="U6" s="443">
        <f t="shared" ref="U6:U11" si="5">Q6+R6+S6+T6</f>
        <v>4346.0999999999995</v>
      </c>
      <c r="V6" s="437">
        <f t="shared" ref="V6:V11" si="6">-(N6+P6+U6)</f>
        <v>-2991.8000000000015</v>
      </c>
    </row>
    <row r="7" spans="1:22" s="254" customFormat="1" ht="10.5" customHeight="1">
      <c r="A7" s="253" t="s">
        <v>842</v>
      </c>
      <c r="B7" s="355">
        <v>69900.800000000003</v>
      </c>
      <c r="C7" s="355">
        <v>89321.2</v>
      </c>
      <c r="D7" s="355">
        <v>-19420.400000000001</v>
      </c>
      <c r="E7" s="355">
        <v>8978</v>
      </c>
      <c r="F7" s="355">
        <v>15627.9</v>
      </c>
      <c r="G7" s="355">
        <v>-6649.9</v>
      </c>
      <c r="H7" s="355">
        <v>950.4</v>
      </c>
      <c r="I7" s="355">
        <v>5953.8</v>
      </c>
      <c r="J7" s="355">
        <f t="shared" si="2"/>
        <v>-5003.4000000000005</v>
      </c>
      <c r="K7" s="355">
        <f>M7-L7</f>
        <v>3668.2000000000044</v>
      </c>
      <c r="L7" s="355">
        <v>32195.599999999999</v>
      </c>
      <c r="M7" s="355">
        <v>35863.800000000003</v>
      </c>
      <c r="N7" s="355">
        <f t="shared" si="4"/>
        <v>4790.0999999999985</v>
      </c>
      <c r="O7" s="253" t="s">
        <v>842</v>
      </c>
      <c r="P7" s="355">
        <v>1622.7</v>
      </c>
      <c r="Q7" s="355">
        <v>4527.8999999999996</v>
      </c>
      <c r="R7" s="355">
        <v>240.7</v>
      </c>
      <c r="S7" s="355">
        <v>-3708.3</v>
      </c>
      <c r="T7" s="355">
        <v>-3579.6</v>
      </c>
      <c r="U7" s="355">
        <f t="shared" si="5"/>
        <v>-2519.3000000000006</v>
      </c>
      <c r="V7" s="79">
        <f t="shared" si="6"/>
        <v>-3893.4999999999977</v>
      </c>
    </row>
    <row r="8" spans="1:22" s="254" customFormat="1" ht="10.5" customHeight="1">
      <c r="A8" s="462" t="s">
        <v>851</v>
      </c>
      <c r="B8" s="443">
        <v>83205.100000000006</v>
      </c>
      <c r="C8" s="443">
        <v>107234.3</v>
      </c>
      <c r="D8" s="443">
        <f t="shared" si="0"/>
        <v>-24029.199999999997</v>
      </c>
      <c r="E8" s="443">
        <v>10235.200000000001</v>
      </c>
      <c r="F8" s="443">
        <v>18964.900000000001</v>
      </c>
      <c r="G8" s="443">
        <f t="shared" si="1"/>
        <v>-8729.7000000000007</v>
      </c>
      <c r="H8" s="443">
        <v>1687.6</v>
      </c>
      <c r="I8" s="443">
        <v>7788.9</v>
      </c>
      <c r="J8" s="443">
        <f t="shared" si="2"/>
        <v>-6101.2999999999993</v>
      </c>
      <c r="K8" s="443">
        <f>M8-L8</f>
        <v>4004.1999999999971</v>
      </c>
      <c r="L8" s="443">
        <v>41269.800000000003</v>
      </c>
      <c r="M8" s="443">
        <v>45274</v>
      </c>
      <c r="N8" s="443">
        <f t="shared" si="4"/>
        <v>6413.8000000000029</v>
      </c>
      <c r="O8" s="462" t="s">
        <v>851</v>
      </c>
      <c r="P8" s="443">
        <v>3381.4</v>
      </c>
      <c r="Q8" s="443">
        <v>5246.6</v>
      </c>
      <c r="R8" s="443">
        <v>727.7</v>
      </c>
      <c r="S8" s="443">
        <v>-369.3</v>
      </c>
      <c r="T8" s="443">
        <v>-10893.1</v>
      </c>
      <c r="U8" s="443">
        <f t="shared" si="5"/>
        <v>-5288.1</v>
      </c>
      <c r="V8" s="437">
        <f t="shared" si="6"/>
        <v>-4507.1000000000022</v>
      </c>
    </row>
    <row r="9" spans="1:22" s="264" customFormat="1" ht="10.5" customHeight="1">
      <c r="A9" s="253" t="s">
        <v>574</v>
      </c>
      <c r="B9" s="79">
        <v>97110.1</v>
      </c>
      <c r="C9" s="39">
        <v>133765.29999999999</v>
      </c>
      <c r="D9" s="79">
        <f t="shared" si="0"/>
        <v>-36655.199999999983</v>
      </c>
      <c r="E9" s="79">
        <v>12910.3</v>
      </c>
      <c r="F9" s="39">
        <v>23166.7</v>
      </c>
      <c r="G9" s="39">
        <f t="shared" si="1"/>
        <v>-10256.400000000001</v>
      </c>
      <c r="H9" s="39">
        <v>1515.1</v>
      </c>
      <c r="I9" s="39">
        <v>7422.5</v>
      </c>
      <c r="J9" s="39">
        <f>H9-I9</f>
        <v>-5907.4</v>
      </c>
      <c r="K9" s="79">
        <f>M9-L9</f>
        <v>4017.9000000000015</v>
      </c>
      <c r="L9" s="79">
        <v>54296.9</v>
      </c>
      <c r="M9" s="39">
        <v>58314.8</v>
      </c>
      <c r="N9" s="355">
        <f t="shared" si="4"/>
        <v>5495.8000000000175</v>
      </c>
      <c r="O9" s="253" t="s">
        <v>574</v>
      </c>
      <c r="P9" s="39">
        <v>3952.5</v>
      </c>
      <c r="Q9" s="79">
        <v>4459</v>
      </c>
      <c r="R9" s="39">
        <v>325.10000000000002</v>
      </c>
      <c r="S9" s="39">
        <v>-6802.5</v>
      </c>
      <c r="T9" s="39">
        <v>-7137.1</v>
      </c>
      <c r="U9" s="355">
        <f t="shared" si="5"/>
        <v>-9155.5</v>
      </c>
      <c r="V9" s="79">
        <f t="shared" si="6"/>
        <v>-292.80000000001746</v>
      </c>
    </row>
    <row r="10" spans="1:22" s="264" customFormat="1" ht="10.5" customHeight="1">
      <c r="A10" s="462" t="s">
        <v>114</v>
      </c>
      <c r="B10" s="437">
        <v>107195</v>
      </c>
      <c r="C10" s="442">
        <v>139579.5</v>
      </c>
      <c r="D10" s="437">
        <v>-32384.500000000004</v>
      </c>
      <c r="E10" s="437">
        <v>12245.099999999999</v>
      </c>
      <c r="F10" s="442">
        <v>23663.4</v>
      </c>
      <c r="G10" s="442">
        <v>-11418.300000000001</v>
      </c>
      <c r="H10" s="442">
        <v>653.1</v>
      </c>
      <c r="I10" s="442">
        <v>10312.6</v>
      </c>
      <c r="J10" s="442">
        <v>-9659.5</v>
      </c>
      <c r="K10" s="437">
        <v>251.79999999999998</v>
      </c>
      <c r="L10" s="437">
        <v>67715.799999999988</v>
      </c>
      <c r="M10" s="442">
        <v>67967.600000000006</v>
      </c>
      <c r="N10" s="443">
        <v>14505.299999999997</v>
      </c>
      <c r="O10" s="462" t="s">
        <v>114</v>
      </c>
      <c r="P10" s="442">
        <v>3345.4000000000005</v>
      </c>
      <c r="Q10" s="437">
        <v>6980.3</v>
      </c>
      <c r="R10" s="442">
        <v>-702.1</v>
      </c>
      <c r="S10" s="442">
        <v>-11420.2</v>
      </c>
      <c r="T10" s="442">
        <v>-12959.999999999998</v>
      </c>
      <c r="U10" s="443">
        <f t="shared" si="5"/>
        <v>-18102</v>
      </c>
      <c r="V10" s="437">
        <f t="shared" si="6"/>
        <v>251.30000000000291</v>
      </c>
    </row>
    <row r="11" spans="1:22" s="288" customFormat="1" ht="10.5" customHeight="1">
      <c r="A11" s="253" t="s">
        <v>110</v>
      </c>
      <c r="B11" s="39">
        <v>112345.1</v>
      </c>
      <c r="C11" s="79">
        <v>147983</v>
      </c>
      <c r="D11" s="79">
        <v>-35637.9</v>
      </c>
      <c r="E11" s="39">
        <v>15453.4</v>
      </c>
      <c r="F11" s="39">
        <v>25710.799999999999</v>
      </c>
      <c r="G11" s="39">
        <v>-10257.400000000001</v>
      </c>
      <c r="H11" s="39">
        <v>551.70000000000005</v>
      </c>
      <c r="I11" s="79">
        <v>10566.400000000001</v>
      </c>
      <c r="J11" s="39">
        <v>-10014.700000000001</v>
      </c>
      <c r="K11" s="39">
        <v>864.8</v>
      </c>
      <c r="L11" s="39">
        <v>78001.299999999988</v>
      </c>
      <c r="M11" s="39">
        <v>78866.100000000006</v>
      </c>
      <c r="N11" s="355">
        <v>22956.1</v>
      </c>
      <c r="O11" s="253" t="s">
        <v>110</v>
      </c>
      <c r="P11" s="39">
        <v>3373.5999999999995</v>
      </c>
      <c r="Q11" s="39">
        <v>6316.4000000000005</v>
      </c>
      <c r="R11" s="39">
        <v>-2029.5</v>
      </c>
      <c r="S11" s="39">
        <v>-820.69999999999936</v>
      </c>
      <c r="T11" s="39">
        <v>-24814.3</v>
      </c>
      <c r="U11" s="355">
        <f t="shared" si="5"/>
        <v>-21348.1</v>
      </c>
      <c r="V11" s="79">
        <f t="shared" si="6"/>
        <v>-4981.5999999999985</v>
      </c>
    </row>
    <row r="12" spans="1:22" s="289" customFormat="1" ht="10.5" customHeight="1">
      <c r="A12" s="462" t="s">
        <v>253</v>
      </c>
      <c r="B12" s="437">
        <v>164159.20000000001</v>
      </c>
      <c r="C12" s="437">
        <v>216341.09999999998</v>
      </c>
      <c r="D12" s="437">
        <v>-52181.899999999994</v>
      </c>
      <c r="E12" s="437">
        <v>18292.900000000001</v>
      </c>
      <c r="F12" s="437">
        <v>35500.6</v>
      </c>
      <c r="G12" s="437">
        <v>-17207.7</v>
      </c>
      <c r="H12" s="437">
        <v>871.7</v>
      </c>
      <c r="I12" s="437">
        <v>11267.1</v>
      </c>
      <c r="J12" s="437">
        <v>-10395.4</v>
      </c>
      <c r="K12" s="437">
        <v>1047.0999999999999</v>
      </c>
      <c r="L12" s="437">
        <v>84013.2</v>
      </c>
      <c r="M12" s="437">
        <v>85060.299999999988</v>
      </c>
      <c r="N12" s="437">
        <v>5275.3000000000011</v>
      </c>
      <c r="O12" s="462" t="s">
        <v>253</v>
      </c>
      <c r="P12" s="437">
        <v>4138.1000000000004</v>
      </c>
      <c r="Q12" s="437">
        <v>5585.6</v>
      </c>
      <c r="R12" s="437">
        <v>-6109.2000000000007</v>
      </c>
      <c r="S12" s="437">
        <v>-9589.7999999999993</v>
      </c>
      <c r="T12" s="437">
        <v>5351</v>
      </c>
      <c r="U12" s="437">
        <v>-4762.3999999999996</v>
      </c>
      <c r="V12" s="437">
        <v>-4651.0000000000018</v>
      </c>
    </row>
    <row r="13" spans="1:22" s="252" customFormat="1" ht="10.5" customHeight="1">
      <c r="A13" s="253" t="s">
        <v>1169</v>
      </c>
      <c r="B13" s="79">
        <v>193375.5</v>
      </c>
      <c r="C13" s="79">
        <v>253042.2</v>
      </c>
      <c r="D13" s="79">
        <v>-59666.7</v>
      </c>
      <c r="E13" s="79">
        <v>19370.400000000001</v>
      </c>
      <c r="F13" s="79">
        <v>41880.299999999996</v>
      </c>
      <c r="G13" s="79">
        <v>-22509.899999999998</v>
      </c>
      <c r="H13" s="79">
        <v>1523.3000000000002</v>
      </c>
      <c r="I13" s="79">
        <v>13242.2</v>
      </c>
      <c r="J13" s="79">
        <v>-11718.9</v>
      </c>
      <c r="K13" s="79">
        <v>829.19999999999993</v>
      </c>
      <c r="L13" s="79">
        <v>101982.6</v>
      </c>
      <c r="M13" s="79">
        <v>102811.8</v>
      </c>
      <c r="N13" s="79">
        <v>8916.2999999999993</v>
      </c>
      <c r="O13" s="253" t="s">
        <v>1169</v>
      </c>
      <c r="P13" s="79">
        <v>3678.5</v>
      </c>
      <c r="Q13" s="79">
        <v>9088.2000000000007</v>
      </c>
      <c r="R13" s="79">
        <v>4142.6000000000004</v>
      </c>
      <c r="S13" s="79">
        <v>-17391</v>
      </c>
      <c r="T13" s="79">
        <v>-2324.4999999999991</v>
      </c>
      <c r="U13" s="79">
        <v>-6484.699999999998</v>
      </c>
      <c r="V13" s="79">
        <v>-6110.1000000000022</v>
      </c>
    </row>
    <row r="14" spans="1:22" s="252" customFormat="1" ht="10.5" customHeight="1">
      <c r="A14" s="463" t="s">
        <v>1736</v>
      </c>
      <c r="B14" s="449">
        <f t="shared" ref="B14:N14" si="7">SUM(B15:B18)</f>
        <v>211643</v>
      </c>
      <c r="C14" s="449">
        <f t="shared" si="7"/>
        <v>272427.10000000003</v>
      </c>
      <c r="D14" s="449">
        <f t="shared" si="7"/>
        <v>-60784.099999999991</v>
      </c>
      <c r="E14" s="449">
        <f t="shared" si="7"/>
        <v>22601.1</v>
      </c>
      <c r="F14" s="449">
        <f t="shared" si="7"/>
        <v>48387.100000000006</v>
      </c>
      <c r="G14" s="449">
        <f t="shared" si="7"/>
        <v>-25786.000000000004</v>
      </c>
      <c r="H14" s="449">
        <f t="shared" si="7"/>
        <v>965.00000000000011</v>
      </c>
      <c r="I14" s="449">
        <f t="shared" si="7"/>
        <v>19441.600000000002</v>
      </c>
      <c r="J14" s="449">
        <f t="shared" si="7"/>
        <v>-18476.600000000002</v>
      </c>
      <c r="K14" s="449">
        <f t="shared" si="7"/>
        <v>516.6</v>
      </c>
      <c r="L14" s="449">
        <f t="shared" si="7"/>
        <v>119520.40000000001</v>
      </c>
      <c r="M14" s="449">
        <f t="shared" si="7"/>
        <v>120037</v>
      </c>
      <c r="N14" s="449">
        <f t="shared" si="7"/>
        <v>14990.300000000003</v>
      </c>
      <c r="O14" s="463" t="s">
        <v>1736</v>
      </c>
      <c r="P14" s="449">
        <f t="shared" ref="P14:V14" si="8">SUM(P15:P18)</f>
        <v>4690.7999999999993</v>
      </c>
      <c r="Q14" s="449">
        <f t="shared" si="8"/>
        <v>-13776.300000000001</v>
      </c>
      <c r="R14" s="449">
        <f t="shared" si="8"/>
        <v>742.90000000000009</v>
      </c>
      <c r="S14" s="449">
        <f t="shared" si="8"/>
        <v>-15951.5</v>
      </c>
      <c r="T14" s="449">
        <f t="shared" si="8"/>
        <v>41316</v>
      </c>
      <c r="U14" s="449">
        <f t="shared" si="8"/>
        <v>12331.100000000002</v>
      </c>
      <c r="V14" s="449">
        <f t="shared" si="8"/>
        <v>-7350.0000000000018</v>
      </c>
    </row>
    <row r="15" spans="1:22" s="252" customFormat="1" ht="10.5" customHeight="1">
      <c r="A15" s="253" t="s">
        <v>2297</v>
      </c>
      <c r="B15" s="79">
        <v>50410.7</v>
      </c>
      <c r="C15" s="79">
        <v>66242.399999999994</v>
      </c>
      <c r="D15" s="79">
        <f>B15-C15</f>
        <v>-15831.699999999997</v>
      </c>
      <c r="E15" s="39">
        <v>5609.4</v>
      </c>
      <c r="F15" s="39">
        <v>12293.4</v>
      </c>
      <c r="G15" s="79">
        <f>E15-F15</f>
        <v>-6684</v>
      </c>
      <c r="H15" s="79">
        <v>349.3</v>
      </c>
      <c r="I15" s="79">
        <v>5446.4</v>
      </c>
      <c r="J15" s="79">
        <f>H15-I15</f>
        <v>-5097.0999999999995</v>
      </c>
      <c r="K15" s="79">
        <v>242.6</v>
      </c>
      <c r="L15" s="79">
        <v>29798.7</v>
      </c>
      <c r="M15" s="79">
        <f>K15+L15</f>
        <v>30041.3</v>
      </c>
      <c r="N15" s="355">
        <f>D15++G15+J15+M15</f>
        <v>2428.5000000000036</v>
      </c>
      <c r="O15" s="253" t="s">
        <v>2297</v>
      </c>
      <c r="P15" s="79">
        <v>1051</v>
      </c>
      <c r="Q15" s="79">
        <v>-3242.7</v>
      </c>
      <c r="R15" s="79">
        <v>-1032.5999999999999</v>
      </c>
      <c r="S15" s="79">
        <v>2109.8000000000002</v>
      </c>
      <c r="T15" s="79">
        <v>6019</v>
      </c>
      <c r="U15" s="355">
        <f t="shared" ref="U15:U28" si="9">Q15+R15+S15+T15</f>
        <v>3853.5000000000009</v>
      </c>
      <c r="V15" s="79">
        <f>-(N15+P15-U15)</f>
        <v>373.99999999999727</v>
      </c>
    </row>
    <row r="16" spans="1:22" s="252" customFormat="1" ht="10.5" customHeight="1">
      <c r="A16" s="462" t="s">
        <v>2294</v>
      </c>
      <c r="B16" s="437">
        <v>50177.8</v>
      </c>
      <c r="C16" s="437">
        <v>65773.3</v>
      </c>
      <c r="D16" s="437">
        <f>B16-C16</f>
        <v>-15595.5</v>
      </c>
      <c r="E16" s="437">
        <v>5759.8</v>
      </c>
      <c r="F16" s="442">
        <v>12670.2</v>
      </c>
      <c r="G16" s="437">
        <f>E16-F16</f>
        <v>-6910.4000000000005</v>
      </c>
      <c r="H16" s="437">
        <v>265.10000000000002</v>
      </c>
      <c r="I16" s="437">
        <v>4126.3</v>
      </c>
      <c r="J16" s="437">
        <f>H16-I16</f>
        <v>-3861.2000000000003</v>
      </c>
      <c r="K16" s="437">
        <v>116.6</v>
      </c>
      <c r="L16" s="437">
        <v>32413.599999999999</v>
      </c>
      <c r="M16" s="437">
        <f>K16+L16</f>
        <v>32530.199999999997</v>
      </c>
      <c r="N16" s="443">
        <f>D16++G16+J16+M16</f>
        <v>6163.0999999999949</v>
      </c>
      <c r="O16" s="462" t="s">
        <v>2294</v>
      </c>
      <c r="P16" s="437">
        <v>1548.6</v>
      </c>
      <c r="Q16" s="437">
        <v>-3238.3</v>
      </c>
      <c r="R16" s="437">
        <v>1528.8</v>
      </c>
      <c r="S16" s="437">
        <v>-7249.6</v>
      </c>
      <c r="T16" s="442">
        <v>12228.5</v>
      </c>
      <c r="U16" s="443">
        <f t="shared" si="9"/>
        <v>3269.3999999999996</v>
      </c>
      <c r="V16" s="437">
        <f>-(N16+P16-U16)</f>
        <v>-4442.2999999999956</v>
      </c>
    </row>
    <row r="17" spans="1:22" s="252" customFormat="1" ht="10.5" customHeight="1">
      <c r="A17" s="253" t="s">
        <v>2295</v>
      </c>
      <c r="B17" s="79">
        <v>55023.1</v>
      </c>
      <c r="C17" s="79">
        <v>66242.7</v>
      </c>
      <c r="D17" s="79">
        <f>B17-C17</f>
        <v>-11219.599999999999</v>
      </c>
      <c r="E17" s="39">
        <v>5395.4</v>
      </c>
      <c r="F17" s="39">
        <v>10954.2</v>
      </c>
      <c r="G17" s="79">
        <f>E17-F17</f>
        <v>-5558.8000000000011</v>
      </c>
      <c r="H17" s="79">
        <v>152.69999999999999</v>
      </c>
      <c r="I17" s="79">
        <v>4615.1000000000004</v>
      </c>
      <c r="J17" s="79">
        <f>H17-I17</f>
        <v>-4462.4000000000005</v>
      </c>
      <c r="K17" s="79">
        <v>79.900000000000006</v>
      </c>
      <c r="L17" s="79">
        <v>30301.4</v>
      </c>
      <c r="M17" s="79">
        <f>K17+L17</f>
        <v>30381.300000000003</v>
      </c>
      <c r="N17" s="355">
        <f>D17++G17+J17+M17</f>
        <v>9140.5</v>
      </c>
      <c r="O17" s="253" t="s">
        <v>2295</v>
      </c>
      <c r="P17" s="79">
        <v>1061.0999999999999</v>
      </c>
      <c r="Q17" s="79">
        <v>-3658.2</v>
      </c>
      <c r="R17" s="79">
        <v>-6.1</v>
      </c>
      <c r="S17" s="79">
        <v>1996.8</v>
      </c>
      <c r="T17" s="79">
        <v>10823.3</v>
      </c>
      <c r="U17" s="355">
        <f t="shared" si="9"/>
        <v>9155.7999999999993</v>
      </c>
      <c r="V17" s="79">
        <f>-(N17+P17-U17)</f>
        <v>-1045.8000000000011</v>
      </c>
    </row>
    <row r="18" spans="1:22" s="252" customFormat="1" ht="10.5" customHeight="1">
      <c r="A18" s="462" t="s">
        <v>2296</v>
      </c>
      <c r="B18" s="437">
        <v>56031.4</v>
      </c>
      <c r="C18" s="437">
        <v>74168.7</v>
      </c>
      <c r="D18" s="437">
        <f>B18-C18</f>
        <v>-18137.299999999996</v>
      </c>
      <c r="E18" s="442">
        <v>5836.5</v>
      </c>
      <c r="F18" s="442">
        <v>12469.3</v>
      </c>
      <c r="G18" s="437">
        <f>E18-F18</f>
        <v>-6632.7999999999993</v>
      </c>
      <c r="H18" s="437">
        <v>197.9</v>
      </c>
      <c r="I18" s="437">
        <v>5253.8</v>
      </c>
      <c r="J18" s="437">
        <f>H18-I18</f>
        <v>-5055.9000000000005</v>
      </c>
      <c r="K18" s="437">
        <v>77.5</v>
      </c>
      <c r="L18" s="437">
        <v>27006.7</v>
      </c>
      <c r="M18" s="437">
        <f>K18+L18</f>
        <v>27084.2</v>
      </c>
      <c r="N18" s="443">
        <f>D18++G18+J18+M18</f>
        <v>-2741.7999999999956</v>
      </c>
      <c r="O18" s="462" t="s">
        <v>2296</v>
      </c>
      <c r="P18" s="437">
        <v>1030.0999999999999</v>
      </c>
      <c r="Q18" s="437">
        <v>-3637.1</v>
      </c>
      <c r="R18" s="437">
        <v>252.8</v>
      </c>
      <c r="S18" s="437">
        <v>-12808.5</v>
      </c>
      <c r="T18" s="442">
        <v>12245.2</v>
      </c>
      <c r="U18" s="443">
        <f t="shared" si="9"/>
        <v>-3947.5999999999985</v>
      </c>
      <c r="V18" s="437">
        <f>-(N18+P18-U18)</f>
        <v>-2235.9000000000028</v>
      </c>
    </row>
    <row r="19" spans="1:22" s="252" customFormat="1" ht="10.5" customHeight="1">
      <c r="A19" s="265" t="s">
        <v>1693</v>
      </c>
      <c r="B19" s="689">
        <f t="shared" ref="B19:N19" si="10">SUM(B20:B23)</f>
        <v>230946.3</v>
      </c>
      <c r="C19" s="689">
        <f t="shared" si="10"/>
        <v>286835.69999999995</v>
      </c>
      <c r="D19" s="689">
        <f t="shared" si="10"/>
        <v>-55889.4</v>
      </c>
      <c r="E19" s="689">
        <f t="shared" si="10"/>
        <v>24212.899999999998</v>
      </c>
      <c r="F19" s="689">
        <f t="shared" si="10"/>
        <v>56129.399999999994</v>
      </c>
      <c r="G19" s="689">
        <f t="shared" si="10"/>
        <v>-31916.5</v>
      </c>
      <c r="H19" s="689">
        <f t="shared" si="10"/>
        <v>1011.5000000000001</v>
      </c>
      <c r="I19" s="689">
        <f t="shared" si="10"/>
        <v>21168.1</v>
      </c>
      <c r="J19" s="689">
        <f t="shared" si="10"/>
        <v>-20156.599999999999</v>
      </c>
      <c r="K19" s="689">
        <f t="shared" si="10"/>
        <v>615.20000000000005</v>
      </c>
      <c r="L19" s="689">
        <f t="shared" si="10"/>
        <v>115425</v>
      </c>
      <c r="M19" s="689">
        <f t="shared" si="10"/>
        <v>116040.2</v>
      </c>
      <c r="N19" s="689">
        <f t="shared" si="10"/>
        <v>8077.7000000000044</v>
      </c>
      <c r="O19" s="265" t="s">
        <v>1693</v>
      </c>
      <c r="P19" s="689">
        <f t="shared" ref="P19:V19" si="11">SUM(P20:P23)</f>
        <v>5009.5</v>
      </c>
      <c r="Q19" s="689">
        <f t="shared" si="11"/>
        <v>-11562.9</v>
      </c>
      <c r="R19" s="689">
        <f t="shared" si="11"/>
        <v>-3019.8999999999996</v>
      </c>
      <c r="S19" s="689">
        <f t="shared" si="11"/>
        <v>-17019.400000000001</v>
      </c>
      <c r="T19" s="689">
        <f t="shared" si="11"/>
        <v>45942.100000000006</v>
      </c>
      <c r="U19" s="689">
        <f t="shared" si="11"/>
        <v>14339.899999999998</v>
      </c>
      <c r="V19" s="689">
        <f t="shared" si="11"/>
        <v>1252.6999999999916</v>
      </c>
    </row>
    <row r="20" spans="1:22" s="252" customFormat="1" ht="10.5" customHeight="1">
      <c r="A20" s="462" t="s">
        <v>2297</v>
      </c>
      <c r="B20" s="437">
        <v>58485.3</v>
      </c>
      <c r="C20" s="437">
        <v>69051.100000000006</v>
      </c>
      <c r="D20" s="437">
        <f>B20-C20</f>
        <v>-10565.800000000003</v>
      </c>
      <c r="E20" s="437">
        <v>5686.6</v>
      </c>
      <c r="F20" s="437">
        <v>13333.4</v>
      </c>
      <c r="G20" s="437">
        <f>E20-F20</f>
        <v>-7646.7999999999993</v>
      </c>
      <c r="H20" s="437">
        <v>371.8</v>
      </c>
      <c r="I20" s="437">
        <v>5638.6</v>
      </c>
      <c r="J20" s="437">
        <f>H20-I20</f>
        <v>-5266.8</v>
      </c>
      <c r="K20" s="437">
        <v>117.3</v>
      </c>
      <c r="L20" s="437">
        <v>26557.8</v>
      </c>
      <c r="M20" s="437">
        <f>K20+L20</f>
        <v>26675.1</v>
      </c>
      <c r="N20" s="443">
        <f>D20++G20+J20+M20</f>
        <v>3195.6999999999971</v>
      </c>
      <c r="O20" s="462" t="s">
        <v>2297</v>
      </c>
      <c r="P20" s="437">
        <v>1558.6</v>
      </c>
      <c r="Q20" s="437">
        <v>-2578.1999999999998</v>
      </c>
      <c r="R20" s="437">
        <v>-1321.4</v>
      </c>
      <c r="S20" s="437">
        <v>2920.1</v>
      </c>
      <c r="T20" s="442">
        <v>4898.7</v>
      </c>
      <c r="U20" s="443">
        <f t="shared" si="9"/>
        <v>3919.2</v>
      </c>
      <c r="V20" s="437">
        <f>-(N20+P20-U20)</f>
        <v>-835.09999999999764</v>
      </c>
    </row>
    <row r="21" spans="1:22" s="252" customFormat="1" ht="10.5" customHeight="1">
      <c r="A21" s="253" t="s">
        <v>2294</v>
      </c>
      <c r="B21" s="79">
        <v>54108.6</v>
      </c>
      <c r="C21" s="79">
        <v>63864.9</v>
      </c>
      <c r="D21" s="79">
        <f>B21-C21</f>
        <v>-9756.3000000000029</v>
      </c>
      <c r="E21" s="79">
        <v>6480.5</v>
      </c>
      <c r="F21" s="79">
        <v>14506.4</v>
      </c>
      <c r="G21" s="79">
        <f>E21-F21</f>
        <v>-8025.9</v>
      </c>
      <c r="H21" s="79">
        <v>309.3</v>
      </c>
      <c r="I21" s="79">
        <v>5102.3999999999996</v>
      </c>
      <c r="J21" s="79">
        <f>H21-I21</f>
        <v>-4793.0999999999995</v>
      </c>
      <c r="K21" s="79">
        <v>334.6</v>
      </c>
      <c r="L21" s="79">
        <v>28796.1</v>
      </c>
      <c r="M21" s="79">
        <f>K21+L21</f>
        <v>29130.699999999997</v>
      </c>
      <c r="N21" s="355">
        <f>D21++G21+J21+M21</f>
        <v>6555.3999999999942</v>
      </c>
      <c r="O21" s="253" t="s">
        <v>2294</v>
      </c>
      <c r="P21" s="79">
        <v>2009.6</v>
      </c>
      <c r="Q21" s="79">
        <v>-2579.8000000000002</v>
      </c>
      <c r="R21" s="79">
        <v>44.2</v>
      </c>
      <c r="S21" s="79">
        <v>-10405.1</v>
      </c>
      <c r="T21" s="79">
        <v>15407.7</v>
      </c>
      <c r="U21" s="355">
        <f t="shared" si="9"/>
        <v>2467</v>
      </c>
      <c r="V21" s="79">
        <f>-(N21+P21-U21)</f>
        <v>-6097.9999999999945</v>
      </c>
    </row>
    <row r="22" spans="1:22" s="252" customFormat="1" ht="10.5" customHeight="1">
      <c r="A22" s="462" t="s">
        <v>2295</v>
      </c>
      <c r="B22" s="437">
        <v>57795.4</v>
      </c>
      <c r="C22" s="437">
        <v>75040.3</v>
      </c>
      <c r="D22" s="437">
        <f>B22-C22</f>
        <v>-17244.900000000001</v>
      </c>
      <c r="E22" s="437">
        <v>5784</v>
      </c>
      <c r="F22" s="437">
        <v>12885.8</v>
      </c>
      <c r="G22" s="437">
        <f>E22-F22</f>
        <v>-7101.7999999999993</v>
      </c>
      <c r="H22" s="437">
        <v>191.8</v>
      </c>
      <c r="I22" s="437">
        <v>4686.8999999999996</v>
      </c>
      <c r="J22" s="437">
        <f>H22-I22</f>
        <v>-4495.0999999999995</v>
      </c>
      <c r="K22" s="437">
        <v>111.9</v>
      </c>
      <c r="L22" s="437">
        <v>29979.7</v>
      </c>
      <c r="M22" s="437">
        <f>K22+L22</f>
        <v>30091.600000000002</v>
      </c>
      <c r="N22" s="443">
        <f>D22++G22+J22+M22</f>
        <v>1249.8000000000029</v>
      </c>
      <c r="O22" s="462" t="s">
        <v>2295</v>
      </c>
      <c r="P22" s="437">
        <v>758</v>
      </c>
      <c r="Q22" s="437">
        <v>-3404.8</v>
      </c>
      <c r="R22" s="437">
        <v>1627.5</v>
      </c>
      <c r="S22" s="437">
        <v>2039.2</v>
      </c>
      <c r="T22" s="437">
        <v>8876.4</v>
      </c>
      <c r="U22" s="443">
        <f t="shared" si="9"/>
        <v>9138.2999999999993</v>
      </c>
      <c r="V22" s="437">
        <f>-(N22+P22-U22)</f>
        <v>7130.4999999999964</v>
      </c>
    </row>
    <row r="23" spans="1:22" s="252" customFormat="1" ht="10.5" customHeight="1">
      <c r="A23" s="253" t="s">
        <v>2296</v>
      </c>
      <c r="B23" s="79">
        <v>60557</v>
      </c>
      <c r="C23" s="79">
        <v>78879.399999999994</v>
      </c>
      <c r="D23" s="79">
        <f>B23-C23</f>
        <v>-18322.399999999994</v>
      </c>
      <c r="E23" s="79">
        <v>6261.8</v>
      </c>
      <c r="F23" s="79">
        <v>15403.8</v>
      </c>
      <c r="G23" s="79">
        <f>E23-F23</f>
        <v>-9142</v>
      </c>
      <c r="H23" s="79">
        <v>138.6</v>
      </c>
      <c r="I23" s="79">
        <v>5740.2</v>
      </c>
      <c r="J23" s="79">
        <f>H23-I23</f>
        <v>-5601.5999999999995</v>
      </c>
      <c r="K23" s="79">
        <v>51.4</v>
      </c>
      <c r="L23" s="79">
        <v>30091.4</v>
      </c>
      <c r="M23" s="79">
        <f>K23+L23</f>
        <v>30142.800000000003</v>
      </c>
      <c r="N23" s="355">
        <f>D23++G23+J23+M23</f>
        <v>-2923.1999999999898</v>
      </c>
      <c r="O23" s="253" t="s">
        <v>2296</v>
      </c>
      <c r="P23" s="79">
        <v>683.3</v>
      </c>
      <c r="Q23" s="79">
        <v>-3000.1</v>
      </c>
      <c r="R23" s="79">
        <v>-3370.2</v>
      </c>
      <c r="S23" s="79">
        <v>-11573.6</v>
      </c>
      <c r="T23" s="79">
        <v>16759.3</v>
      </c>
      <c r="U23" s="355">
        <f t="shared" si="9"/>
        <v>-1184.6000000000022</v>
      </c>
      <c r="V23" s="79">
        <f>-(N23+P23-U23)</f>
        <v>1055.2999999999874</v>
      </c>
    </row>
    <row r="24" spans="1:22" s="289" customFormat="1" ht="10.5" customHeight="1">
      <c r="A24" s="463" t="s">
        <v>1795</v>
      </c>
      <c r="B24" s="449">
        <f t="shared" ref="B24:N24" si="12">SUM(B25:B28)</f>
        <v>238483.7</v>
      </c>
      <c r="C24" s="449">
        <f t="shared" si="12"/>
        <v>284654.7</v>
      </c>
      <c r="D24" s="449">
        <f t="shared" si="12"/>
        <v>-46170.999999999993</v>
      </c>
      <c r="E24" s="449">
        <f t="shared" si="12"/>
        <v>23956.9</v>
      </c>
      <c r="F24" s="449">
        <f t="shared" si="12"/>
        <v>64556.600000000006</v>
      </c>
      <c r="G24" s="449">
        <f t="shared" si="12"/>
        <v>-40599.699999999997</v>
      </c>
      <c r="H24" s="449">
        <f t="shared" si="12"/>
        <v>582.6</v>
      </c>
      <c r="I24" s="449">
        <f t="shared" si="12"/>
        <v>22769.799999999996</v>
      </c>
      <c r="J24" s="449">
        <f t="shared" si="12"/>
        <v>-22187.200000000001</v>
      </c>
      <c r="K24" s="449">
        <f t="shared" si="12"/>
        <v>594.6</v>
      </c>
      <c r="L24" s="449">
        <f t="shared" si="12"/>
        <v>122888.8</v>
      </c>
      <c r="M24" s="449">
        <f t="shared" si="12"/>
        <v>123483.4</v>
      </c>
      <c r="N24" s="449">
        <f t="shared" si="12"/>
        <v>14525.500000000015</v>
      </c>
      <c r="O24" s="1134" t="s">
        <v>1795</v>
      </c>
      <c r="P24" s="449">
        <f t="shared" ref="P24:V24" si="13">SUM(P25:P28)</f>
        <v>4024.8999999999996</v>
      </c>
      <c r="Q24" s="449">
        <f t="shared" si="13"/>
        <v>-14216.999999999998</v>
      </c>
      <c r="R24" s="449">
        <f t="shared" si="13"/>
        <v>-4157.5</v>
      </c>
      <c r="S24" s="449">
        <f t="shared" si="13"/>
        <v>-3579.9999999999991</v>
      </c>
      <c r="T24" s="449">
        <f t="shared" si="13"/>
        <v>33041</v>
      </c>
      <c r="U24" s="449">
        <f t="shared" si="13"/>
        <v>11086.5</v>
      </c>
      <c r="V24" s="449">
        <f t="shared" si="13"/>
        <v>-7463.9000000000133</v>
      </c>
    </row>
    <row r="25" spans="1:22" s="252" customFormat="1" ht="10.5" customHeight="1">
      <c r="A25" s="253" t="s">
        <v>2297</v>
      </c>
      <c r="B25" s="79">
        <v>58763.3</v>
      </c>
      <c r="C25" s="79">
        <v>67955.600000000006</v>
      </c>
      <c r="D25" s="79">
        <f t="shared" ref="D25:D28" si="14">B25-C25</f>
        <v>-9192.3000000000029</v>
      </c>
      <c r="E25" s="79">
        <v>5790</v>
      </c>
      <c r="F25" s="79">
        <v>15003.6</v>
      </c>
      <c r="G25" s="79">
        <f t="shared" ref="G25:G28" si="15">E25-F25</f>
        <v>-9213.6</v>
      </c>
      <c r="H25" s="348">
        <v>189.5</v>
      </c>
      <c r="I25" s="348">
        <v>6243.7</v>
      </c>
      <c r="J25" s="348">
        <f t="shared" ref="J25" si="16">H25-I25</f>
        <v>-6054.2</v>
      </c>
      <c r="K25" s="348">
        <v>158</v>
      </c>
      <c r="L25" s="348">
        <v>31829.8</v>
      </c>
      <c r="M25" s="348">
        <f t="shared" ref="M25:M28" si="17">K25+L25</f>
        <v>31987.8</v>
      </c>
      <c r="N25" s="347">
        <f t="shared" ref="N25:N28" si="18">D25++G25+J25+M25</f>
        <v>7527.6999999999971</v>
      </c>
      <c r="O25" s="365" t="s">
        <v>2297</v>
      </c>
      <c r="P25" s="348">
        <v>1108.5999999999999</v>
      </c>
      <c r="Q25" s="348">
        <v>-2637.7</v>
      </c>
      <c r="R25" s="348">
        <v>-3010.8</v>
      </c>
      <c r="S25" s="348">
        <v>4057.2</v>
      </c>
      <c r="T25" s="348">
        <v>5014.2</v>
      </c>
      <c r="U25" s="347">
        <f t="shared" si="9"/>
        <v>3422.8999999999996</v>
      </c>
      <c r="V25" s="79">
        <f t="shared" ref="V25:V28" si="19">-(N25+P25-U25)</f>
        <v>-5213.3999999999978</v>
      </c>
    </row>
    <row r="26" spans="1:22" s="252" customFormat="1" ht="10.5" customHeight="1">
      <c r="A26" s="462" t="s">
        <v>2294</v>
      </c>
      <c r="B26" s="437">
        <v>55218</v>
      </c>
      <c r="C26" s="437">
        <v>68562.399999999994</v>
      </c>
      <c r="D26" s="437">
        <f t="shared" si="14"/>
        <v>-13344.399999999994</v>
      </c>
      <c r="E26" s="437">
        <v>6487.3</v>
      </c>
      <c r="F26" s="437">
        <v>17034.3</v>
      </c>
      <c r="G26" s="437">
        <f t="shared" si="15"/>
        <v>-10547</v>
      </c>
      <c r="H26" s="432">
        <v>108.8</v>
      </c>
      <c r="I26" s="432">
        <v>5131.3999999999996</v>
      </c>
      <c r="J26" s="432">
        <f>H26-I26</f>
        <v>-5022.5999999999995</v>
      </c>
      <c r="K26" s="432">
        <v>176.8</v>
      </c>
      <c r="L26" s="432">
        <v>28737</v>
      </c>
      <c r="M26" s="432">
        <f t="shared" si="17"/>
        <v>28913.8</v>
      </c>
      <c r="N26" s="431">
        <f t="shared" si="18"/>
        <v>-0.19999999999345164</v>
      </c>
      <c r="O26" s="462" t="s">
        <v>2294</v>
      </c>
      <c r="P26" s="432">
        <v>1305.5</v>
      </c>
      <c r="Q26" s="432">
        <v>-3067.2</v>
      </c>
      <c r="R26" s="432">
        <v>1173.0999999999999</v>
      </c>
      <c r="S26" s="432">
        <v>-7116</v>
      </c>
      <c r="T26" s="432">
        <v>5362.8</v>
      </c>
      <c r="U26" s="431">
        <f t="shared" si="9"/>
        <v>-3647.3</v>
      </c>
      <c r="V26" s="437">
        <f t="shared" si="19"/>
        <v>-4952.6000000000067</v>
      </c>
    </row>
    <row r="27" spans="1:22" s="252" customFormat="1" ht="10.5" customHeight="1">
      <c r="A27" s="253" t="s">
        <v>2295</v>
      </c>
      <c r="B27" s="79">
        <v>61177.1</v>
      </c>
      <c r="C27" s="79">
        <v>69187.7</v>
      </c>
      <c r="D27" s="79">
        <f t="shared" si="14"/>
        <v>-8010.5999999999985</v>
      </c>
      <c r="E27" s="79">
        <v>5508.7</v>
      </c>
      <c r="F27" s="79">
        <v>15305.2</v>
      </c>
      <c r="G27" s="79">
        <f t="shared" si="15"/>
        <v>-9796.5</v>
      </c>
      <c r="H27" s="348">
        <v>156</v>
      </c>
      <c r="I27" s="348">
        <v>5663.1</v>
      </c>
      <c r="J27" s="348">
        <f t="shared" ref="J27:J28" si="20">H27-I27</f>
        <v>-5507.1</v>
      </c>
      <c r="K27" s="348">
        <v>81.400000000000006</v>
      </c>
      <c r="L27" s="348">
        <v>30021.5</v>
      </c>
      <c r="M27" s="348">
        <f t="shared" si="17"/>
        <v>30102.9</v>
      </c>
      <c r="N27" s="347">
        <f t="shared" si="18"/>
        <v>6788.7000000000044</v>
      </c>
      <c r="O27" s="253" t="s">
        <v>2295</v>
      </c>
      <c r="P27" s="348">
        <v>542.79999999999995</v>
      </c>
      <c r="Q27" s="348">
        <v>-4719.2</v>
      </c>
      <c r="R27" s="348">
        <v>-932.7</v>
      </c>
      <c r="S27" s="348">
        <v>9475.2000000000007</v>
      </c>
      <c r="T27" s="348">
        <v>8244.6</v>
      </c>
      <c r="U27" s="347">
        <f t="shared" si="9"/>
        <v>12067.900000000001</v>
      </c>
      <c r="V27" s="79">
        <f t="shared" si="19"/>
        <v>4736.3999999999969</v>
      </c>
    </row>
    <row r="28" spans="1:22" s="252" customFormat="1" ht="10.5" customHeight="1">
      <c r="A28" s="462" t="s">
        <v>2296</v>
      </c>
      <c r="B28" s="437">
        <v>63325.3</v>
      </c>
      <c r="C28" s="437">
        <v>78949</v>
      </c>
      <c r="D28" s="437">
        <f t="shared" si="14"/>
        <v>-15623.699999999997</v>
      </c>
      <c r="E28" s="437">
        <v>6170.9</v>
      </c>
      <c r="F28" s="437">
        <v>17213.5</v>
      </c>
      <c r="G28" s="437">
        <f t="shared" si="15"/>
        <v>-11042.6</v>
      </c>
      <c r="H28" s="432">
        <v>128.30000000000001</v>
      </c>
      <c r="I28" s="432">
        <v>5731.6</v>
      </c>
      <c r="J28" s="432">
        <f t="shared" si="20"/>
        <v>-5603.3</v>
      </c>
      <c r="K28" s="432">
        <v>178.4</v>
      </c>
      <c r="L28" s="432">
        <v>32300.5</v>
      </c>
      <c r="M28" s="432">
        <f t="shared" si="17"/>
        <v>32478.9</v>
      </c>
      <c r="N28" s="431">
        <f t="shared" si="18"/>
        <v>209.30000000000655</v>
      </c>
      <c r="O28" s="462" t="s">
        <v>2296</v>
      </c>
      <c r="P28" s="432">
        <v>1068</v>
      </c>
      <c r="Q28" s="432">
        <v>-3792.9</v>
      </c>
      <c r="R28" s="432">
        <v>-1387.1</v>
      </c>
      <c r="S28" s="432">
        <v>-9996.4</v>
      </c>
      <c r="T28" s="432">
        <v>14419.4</v>
      </c>
      <c r="U28" s="431">
        <f t="shared" si="9"/>
        <v>-757</v>
      </c>
      <c r="V28" s="437">
        <f t="shared" si="19"/>
        <v>-2034.3000000000065</v>
      </c>
    </row>
    <row r="29" spans="1:22" s="252" customFormat="1" ht="10.5" customHeight="1">
      <c r="A29" s="265" t="s">
        <v>1996</v>
      </c>
      <c r="B29" s="689">
        <f t="shared" ref="B29:N29" si="21">SUM(B30:B33)</f>
        <v>261822.6</v>
      </c>
      <c r="C29" s="689">
        <f t="shared" si="21"/>
        <v>303951.89999999997</v>
      </c>
      <c r="D29" s="689">
        <f t="shared" si="21"/>
        <v>-42129.299999999996</v>
      </c>
      <c r="E29" s="689">
        <f t="shared" si="21"/>
        <v>27156.699999999997</v>
      </c>
      <c r="F29" s="689">
        <f t="shared" si="21"/>
        <v>57509.7</v>
      </c>
      <c r="G29" s="689">
        <f t="shared" si="21"/>
        <v>-30353</v>
      </c>
      <c r="H29" s="689">
        <f t="shared" si="21"/>
        <v>1200.1000000000001</v>
      </c>
      <c r="I29" s="689">
        <f t="shared" si="21"/>
        <v>20802</v>
      </c>
      <c r="J29" s="689">
        <f t="shared" si="21"/>
        <v>-19601.899999999998</v>
      </c>
      <c r="K29" s="689">
        <f t="shared" si="21"/>
        <v>532.1</v>
      </c>
      <c r="L29" s="689">
        <f t="shared" si="21"/>
        <v>119572.5</v>
      </c>
      <c r="M29" s="689">
        <f t="shared" si="21"/>
        <v>120104.59999999999</v>
      </c>
      <c r="N29" s="689">
        <f t="shared" si="21"/>
        <v>28020.399999999994</v>
      </c>
      <c r="O29" s="265" t="s">
        <v>1996</v>
      </c>
      <c r="P29" s="689">
        <f t="shared" ref="P29:V29" si="22">SUM(P30:P33)</f>
        <v>3748.4</v>
      </c>
      <c r="Q29" s="689">
        <f t="shared" si="22"/>
        <v>-15496</v>
      </c>
      <c r="R29" s="689">
        <f t="shared" si="22"/>
        <v>3977.3</v>
      </c>
      <c r="S29" s="689">
        <f t="shared" si="22"/>
        <v>-13250.5</v>
      </c>
      <c r="T29" s="689">
        <f t="shared" si="22"/>
        <v>42962.3</v>
      </c>
      <c r="U29" s="689">
        <f t="shared" si="22"/>
        <v>18193.099999999999</v>
      </c>
      <c r="V29" s="689">
        <f t="shared" si="22"/>
        <v>-13575.699999999997</v>
      </c>
    </row>
    <row r="30" spans="1:22" s="252" customFormat="1" ht="10.5" customHeight="1">
      <c r="A30" s="462" t="s">
        <v>2297</v>
      </c>
      <c r="B30" s="437">
        <v>59442.1</v>
      </c>
      <c r="C30" s="437">
        <v>66334.2</v>
      </c>
      <c r="D30" s="437">
        <f t="shared" ref="D30:D38" si="23">B30-C30</f>
        <v>-6892.0999999999985</v>
      </c>
      <c r="E30" s="437">
        <v>6720.8</v>
      </c>
      <c r="F30" s="437">
        <v>13331.9</v>
      </c>
      <c r="G30" s="437">
        <f t="shared" ref="G30:G38" si="24">E30-F30</f>
        <v>-6611.0999999999995</v>
      </c>
      <c r="H30" s="432">
        <v>438.1</v>
      </c>
      <c r="I30" s="432">
        <v>5119.5</v>
      </c>
      <c r="J30" s="432">
        <f t="shared" ref="J30:J38" si="25">H30-I30</f>
        <v>-4681.3999999999996</v>
      </c>
      <c r="K30" s="432">
        <v>106.1</v>
      </c>
      <c r="L30" s="432">
        <v>31252.799999999999</v>
      </c>
      <c r="M30" s="432">
        <f t="shared" ref="M30:M38" si="26">K30+L30</f>
        <v>31358.899999999998</v>
      </c>
      <c r="N30" s="431">
        <f t="shared" ref="N30:N38" si="27">D30++G30+J30+M30</f>
        <v>13174.3</v>
      </c>
      <c r="O30" s="482" t="s">
        <v>2297</v>
      </c>
      <c r="P30" s="432">
        <v>741</v>
      </c>
      <c r="Q30" s="432">
        <v>-4603.5</v>
      </c>
      <c r="R30" s="432">
        <v>-68.599999999999994</v>
      </c>
      <c r="S30" s="432">
        <v>3482.7</v>
      </c>
      <c r="T30" s="432">
        <v>11547</v>
      </c>
      <c r="U30" s="431">
        <f t="shared" ref="U30:U36" si="28">Q30+R30+S30+T30</f>
        <v>10357.599999999999</v>
      </c>
      <c r="V30" s="437">
        <f t="shared" ref="V30:V36" si="29">-(N30+P30-U30)</f>
        <v>-3557.7000000000007</v>
      </c>
    </row>
    <row r="31" spans="1:22" s="252" customFormat="1" ht="10.5" customHeight="1">
      <c r="A31" s="253" t="s">
        <v>2294</v>
      </c>
      <c r="B31" s="79">
        <v>63437</v>
      </c>
      <c r="C31" s="79">
        <v>80652.399999999994</v>
      </c>
      <c r="D31" s="79">
        <f>B31-C31</f>
        <v>-17215.399999999994</v>
      </c>
      <c r="E31" s="79">
        <v>6804.7</v>
      </c>
      <c r="F31" s="79">
        <v>14314.6</v>
      </c>
      <c r="G31" s="79">
        <f t="shared" si="24"/>
        <v>-7509.9000000000005</v>
      </c>
      <c r="H31" s="348">
        <v>359.3</v>
      </c>
      <c r="I31" s="348">
        <v>4697.5</v>
      </c>
      <c r="J31" s="348">
        <f t="shared" si="25"/>
        <v>-4338.2</v>
      </c>
      <c r="K31" s="348">
        <v>130.9</v>
      </c>
      <c r="L31" s="348">
        <v>28831.1</v>
      </c>
      <c r="M31" s="348">
        <f t="shared" si="26"/>
        <v>28962</v>
      </c>
      <c r="N31" s="347">
        <f t="shared" si="27"/>
        <v>-101.49999999999636</v>
      </c>
      <c r="O31" s="365" t="s">
        <v>2294</v>
      </c>
      <c r="P31" s="348">
        <v>1096.5999999999999</v>
      </c>
      <c r="Q31" s="348">
        <v>-4138.8</v>
      </c>
      <c r="R31" s="348">
        <v>811.5</v>
      </c>
      <c r="S31" s="348">
        <v>-5942.4</v>
      </c>
      <c r="T31" s="348">
        <v>9622.5</v>
      </c>
      <c r="U31" s="347">
        <f t="shared" si="28"/>
        <v>352.79999999999927</v>
      </c>
      <c r="V31" s="79">
        <f t="shared" si="29"/>
        <v>-642.30000000000427</v>
      </c>
    </row>
    <row r="32" spans="1:22" s="252" customFormat="1" ht="10.5" customHeight="1">
      <c r="A32" s="462" t="s">
        <v>2295</v>
      </c>
      <c r="B32" s="437">
        <v>67692.899999999994</v>
      </c>
      <c r="C32" s="437">
        <v>74910.100000000006</v>
      </c>
      <c r="D32" s="437">
        <f t="shared" si="23"/>
        <v>-7217.2000000000116</v>
      </c>
      <c r="E32" s="437">
        <v>6535.6</v>
      </c>
      <c r="F32" s="437">
        <v>14012.2</v>
      </c>
      <c r="G32" s="437">
        <f t="shared" si="24"/>
        <v>-7476.6</v>
      </c>
      <c r="H32" s="432">
        <v>222.1</v>
      </c>
      <c r="I32" s="432">
        <v>4594.3999999999996</v>
      </c>
      <c r="J32" s="432">
        <f t="shared" si="25"/>
        <v>-4372.2999999999993</v>
      </c>
      <c r="K32" s="432">
        <v>181.5</v>
      </c>
      <c r="L32" s="432">
        <v>28449</v>
      </c>
      <c r="M32" s="432">
        <f t="shared" si="26"/>
        <v>28630.5</v>
      </c>
      <c r="N32" s="431">
        <f t="shared" si="27"/>
        <v>9564.3999999999869</v>
      </c>
      <c r="O32" s="482" t="s">
        <v>2295</v>
      </c>
      <c r="P32" s="432">
        <v>1102.7</v>
      </c>
      <c r="Q32" s="432">
        <v>-3207.5</v>
      </c>
      <c r="R32" s="432">
        <v>-191.7</v>
      </c>
      <c r="S32" s="432">
        <v>3484</v>
      </c>
      <c r="T32" s="432">
        <v>6149.2</v>
      </c>
      <c r="U32" s="431">
        <f t="shared" si="28"/>
        <v>6234</v>
      </c>
      <c r="V32" s="437">
        <f t="shared" si="29"/>
        <v>-4433.0999999999876</v>
      </c>
    </row>
    <row r="33" spans="1:22" s="252" customFormat="1" ht="10.5" customHeight="1">
      <c r="A33" s="253" t="s">
        <v>2296</v>
      </c>
      <c r="B33" s="79">
        <v>71250.600000000006</v>
      </c>
      <c r="C33" s="79">
        <v>82055.199999999997</v>
      </c>
      <c r="D33" s="79">
        <f t="shared" si="23"/>
        <v>-10804.599999999991</v>
      </c>
      <c r="E33" s="79">
        <v>7095.6</v>
      </c>
      <c r="F33" s="79">
        <v>15851</v>
      </c>
      <c r="G33" s="79">
        <f t="shared" si="24"/>
        <v>-8755.4</v>
      </c>
      <c r="H33" s="348">
        <v>180.6</v>
      </c>
      <c r="I33" s="348">
        <v>6390.6</v>
      </c>
      <c r="J33" s="348">
        <f t="shared" si="25"/>
        <v>-6210</v>
      </c>
      <c r="K33" s="348">
        <v>113.6</v>
      </c>
      <c r="L33" s="348">
        <v>31039.599999999999</v>
      </c>
      <c r="M33" s="348">
        <f t="shared" si="26"/>
        <v>31153.199999999997</v>
      </c>
      <c r="N33" s="347">
        <f t="shared" si="27"/>
        <v>5383.2000000000044</v>
      </c>
      <c r="O33" s="365" t="s">
        <v>2296</v>
      </c>
      <c r="P33" s="348">
        <v>808.1</v>
      </c>
      <c r="Q33" s="348">
        <v>-3546.2</v>
      </c>
      <c r="R33" s="348">
        <v>3426.1</v>
      </c>
      <c r="S33" s="348">
        <v>-14274.8</v>
      </c>
      <c r="T33" s="348">
        <v>15643.6</v>
      </c>
      <c r="U33" s="347">
        <f t="shared" si="28"/>
        <v>1248.7000000000007</v>
      </c>
      <c r="V33" s="79">
        <f t="shared" si="29"/>
        <v>-4942.600000000004</v>
      </c>
    </row>
    <row r="34" spans="1:22" s="254" customFormat="1" ht="10.5" customHeight="1">
      <c r="A34" s="463" t="s">
        <v>2092</v>
      </c>
      <c r="B34" s="449">
        <f t="shared" ref="B34:N34" si="30">SUM(B35:B38)</f>
        <v>269251.7</v>
      </c>
      <c r="C34" s="449">
        <f t="shared" si="30"/>
        <v>334930</v>
      </c>
      <c r="D34" s="449">
        <f t="shared" si="30"/>
        <v>-65678.300000000017</v>
      </c>
      <c r="E34" s="449">
        <f t="shared" si="30"/>
        <v>28718.6</v>
      </c>
      <c r="F34" s="449">
        <f t="shared" si="30"/>
        <v>64385.600000000006</v>
      </c>
      <c r="G34" s="449">
        <f t="shared" si="30"/>
        <v>-35667.000000000007</v>
      </c>
      <c r="H34" s="449">
        <f t="shared" si="30"/>
        <v>812.4</v>
      </c>
      <c r="I34" s="449">
        <f t="shared" si="30"/>
        <v>21662.2</v>
      </c>
      <c r="J34" s="449">
        <f t="shared" si="30"/>
        <v>-20849.8</v>
      </c>
      <c r="K34" s="449">
        <f t="shared" si="30"/>
        <v>343.8</v>
      </c>
      <c r="L34" s="449">
        <f t="shared" si="30"/>
        <v>105172.20000000001</v>
      </c>
      <c r="M34" s="449">
        <f t="shared" si="30"/>
        <v>105516</v>
      </c>
      <c r="N34" s="449">
        <f t="shared" si="30"/>
        <v>-16679.10000000002</v>
      </c>
      <c r="O34" s="463" t="s">
        <v>2092</v>
      </c>
      <c r="P34" s="449">
        <f t="shared" ref="P34:V34" si="31">SUM(P35:P38)</f>
        <v>2486.3999999999996</v>
      </c>
      <c r="Q34" s="449">
        <f t="shared" si="31"/>
        <v>-18863.099999999999</v>
      </c>
      <c r="R34" s="449">
        <f t="shared" si="31"/>
        <v>-1288.7</v>
      </c>
      <c r="S34" s="449">
        <f t="shared" si="31"/>
        <v>-27292</v>
      </c>
      <c r="T34" s="449">
        <f t="shared" si="31"/>
        <v>26394.400000000001</v>
      </c>
      <c r="U34" s="449">
        <f t="shared" si="31"/>
        <v>-21049.4</v>
      </c>
      <c r="V34" s="449">
        <f t="shared" si="31"/>
        <v>-6856.6999999999807</v>
      </c>
    </row>
    <row r="35" spans="1:22" s="254" customFormat="1" ht="10.5" customHeight="1">
      <c r="A35" s="253" t="s">
        <v>2297</v>
      </c>
      <c r="B35" s="79">
        <v>62005.9</v>
      </c>
      <c r="C35" s="79">
        <v>72490.8</v>
      </c>
      <c r="D35" s="79">
        <f t="shared" si="23"/>
        <v>-10484.900000000001</v>
      </c>
      <c r="E35" s="79">
        <v>6787.5</v>
      </c>
      <c r="F35" s="79">
        <v>14905.5</v>
      </c>
      <c r="G35" s="79">
        <f t="shared" si="24"/>
        <v>-8118</v>
      </c>
      <c r="H35" s="348">
        <v>165.1</v>
      </c>
      <c r="I35" s="348">
        <v>5789.6</v>
      </c>
      <c r="J35" s="348">
        <f t="shared" si="25"/>
        <v>-5624.5</v>
      </c>
      <c r="K35" s="348">
        <v>103.4</v>
      </c>
      <c r="L35" s="348">
        <v>26671.1</v>
      </c>
      <c r="M35" s="348">
        <f t="shared" si="26"/>
        <v>26774.5</v>
      </c>
      <c r="N35" s="347">
        <f t="shared" si="27"/>
        <v>2547.0999999999985</v>
      </c>
      <c r="O35" s="253" t="s">
        <v>2297</v>
      </c>
      <c r="P35" s="348">
        <v>493.5</v>
      </c>
      <c r="Q35" s="348">
        <v>-4754.7</v>
      </c>
      <c r="R35" s="348">
        <v>-422.9</v>
      </c>
      <c r="S35" s="348">
        <v>1061.7</v>
      </c>
      <c r="T35" s="348">
        <v>7745.3</v>
      </c>
      <c r="U35" s="347">
        <f t="shared" si="28"/>
        <v>3629.4000000000005</v>
      </c>
      <c r="V35" s="79">
        <f t="shared" si="29"/>
        <v>588.800000000002</v>
      </c>
    </row>
    <row r="36" spans="1:22" s="254" customFormat="1" ht="10.5" customHeight="1">
      <c r="A36" s="462" t="s">
        <v>2294</v>
      </c>
      <c r="B36" s="437">
        <v>66800.100000000006</v>
      </c>
      <c r="C36" s="437">
        <v>87302</v>
      </c>
      <c r="D36" s="437">
        <f t="shared" si="23"/>
        <v>-20501.899999999994</v>
      </c>
      <c r="E36" s="437">
        <v>7364.4</v>
      </c>
      <c r="F36" s="437">
        <v>16453.2</v>
      </c>
      <c r="G36" s="437">
        <f t="shared" si="24"/>
        <v>-9088.8000000000011</v>
      </c>
      <c r="H36" s="432">
        <v>170.8</v>
      </c>
      <c r="I36" s="432">
        <v>5041.6000000000004</v>
      </c>
      <c r="J36" s="432">
        <f t="shared" si="25"/>
        <v>-4870.8</v>
      </c>
      <c r="K36" s="432">
        <v>112.6</v>
      </c>
      <c r="L36" s="432">
        <v>24143.200000000001</v>
      </c>
      <c r="M36" s="432">
        <f t="shared" si="26"/>
        <v>24255.8</v>
      </c>
      <c r="N36" s="431">
        <f t="shared" si="27"/>
        <v>-10205.700000000001</v>
      </c>
      <c r="O36" s="462" t="s">
        <v>2294</v>
      </c>
      <c r="P36" s="432">
        <v>949.8</v>
      </c>
      <c r="Q36" s="432">
        <v>-6481.3</v>
      </c>
      <c r="R36" s="432">
        <v>-3148.9</v>
      </c>
      <c r="S36" s="432">
        <v>-10725.6</v>
      </c>
      <c r="T36" s="432">
        <v>10290</v>
      </c>
      <c r="U36" s="431">
        <f t="shared" si="28"/>
        <v>-10065.800000000003</v>
      </c>
      <c r="V36" s="437">
        <f t="shared" si="29"/>
        <v>-809.90000000000146</v>
      </c>
    </row>
    <row r="37" spans="1:22" s="254" customFormat="1" ht="10.5" customHeight="1">
      <c r="A37" s="253" t="s">
        <v>2295</v>
      </c>
      <c r="B37" s="79">
        <v>70661.899999999994</v>
      </c>
      <c r="C37" s="79">
        <v>88241.600000000006</v>
      </c>
      <c r="D37" s="79">
        <f t="shared" si="23"/>
        <v>-17579.700000000012</v>
      </c>
      <c r="E37" s="79">
        <v>7320.8</v>
      </c>
      <c r="F37" s="79">
        <v>16659.400000000001</v>
      </c>
      <c r="G37" s="79">
        <f t="shared" si="24"/>
        <v>-9338.6000000000022</v>
      </c>
      <c r="H37" s="348">
        <v>204.4</v>
      </c>
      <c r="I37" s="348">
        <v>5107.5</v>
      </c>
      <c r="J37" s="348">
        <f t="shared" si="25"/>
        <v>-4903.1000000000004</v>
      </c>
      <c r="K37" s="348">
        <v>83.2</v>
      </c>
      <c r="L37" s="348">
        <v>24602.400000000001</v>
      </c>
      <c r="M37" s="348">
        <f t="shared" si="26"/>
        <v>24685.600000000002</v>
      </c>
      <c r="N37" s="347">
        <f t="shared" si="27"/>
        <v>-7135.8000000000138</v>
      </c>
      <c r="O37" s="253" t="s">
        <v>2295</v>
      </c>
      <c r="P37" s="348">
        <v>450.3</v>
      </c>
      <c r="Q37" s="348">
        <v>-3739.3</v>
      </c>
      <c r="R37" s="348">
        <v>745.3</v>
      </c>
      <c r="S37" s="348">
        <v>-4348.7</v>
      </c>
      <c r="T37" s="348">
        <v>-517.5</v>
      </c>
      <c r="U37" s="347">
        <f t="shared" ref="U37:U38" si="32">Q37+R37+S37+T37</f>
        <v>-7860.2</v>
      </c>
      <c r="V37" s="79">
        <f t="shared" ref="V37:V38" si="33">-(N37+P37-U37)</f>
        <v>-1174.6999999999862</v>
      </c>
    </row>
    <row r="38" spans="1:22" s="254" customFormat="1" ht="10.5" customHeight="1">
      <c r="A38" s="462" t="s">
        <v>2296</v>
      </c>
      <c r="B38" s="437">
        <v>69783.8</v>
      </c>
      <c r="C38" s="437">
        <v>86895.6</v>
      </c>
      <c r="D38" s="437">
        <f t="shared" si="23"/>
        <v>-17111.800000000003</v>
      </c>
      <c r="E38" s="437">
        <v>7245.9</v>
      </c>
      <c r="F38" s="437">
        <v>16367.5</v>
      </c>
      <c r="G38" s="437">
        <f t="shared" si="24"/>
        <v>-9121.6</v>
      </c>
      <c r="H38" s="432">
        <v>272.10000000000002</v>
      </c>
      <c r="I38" s="432">
        <v>5723.5</v>
      </c>
      <c r="J38" s="432">
        <f t="shared" si="25"/>
        <v>-5451.4</v>
      </c>
      <c r="K38" s="432">
        <v>44.6</v>
      </c>
      <c r="L38" s="432">
        <v>29755.5</v>
      </c>
      <c r="M38" s="432">
        <f t="shared" si="26"/>
        <v>29800.1</v>
      </c>
      <c r="N38" s="431">
        <f t="shared" si="27"/>
        <v>-1884.7000000000044</v>
      </c>
      <c r="O38" s="462" t="s">
        <v>2296</v>
      </c>
      <c r="P38" s="432">
        <v>592.79999999999995</v>
      </c>
      <c r="Q38" s="432">
        <v>-3887.8</v>
      </c>
      <c r="R38" s="432">
        <v>1537.8</v>
      </c>
      <c r="S38" s="432">
        <v>-13279.4</v>
      </c>
      <c r="T38" s="432">
        <v>8876.6</v>
      </c>
      <c r="U38" s="431">
        <f t="shared" si="32"/>
        <v>-6752.7999999999993</v>
      </c>
      <c r="V38" s="437">
        <f t="shared" si="33"/>
        <v>-5460.8999999999951</v>
      </c>
    </row>
    <row r="39" spans="1:22" s="254" customFormat="1" ht="10.5" customHeight="1">
      <c r="A39" s="265" t="s">
        <v>2320</v>
      </c>
      <c r="B39" s="689">
        <f t="shared" ref="B39:C39" si="34">SUM(B40:B43)</f>
        <v>297456.2</v>
      </c>
      <c r="C39" s="689">
        <f t="shared" si="34"/>
        <v>435366.2</v>
      </c>
      <c r="D39" s="689">
        <f t="shared" ref="D39:N39" si="35">SUM(D40:D43)</f>
        <v>-137910</v>
      </c>
      <c r="E39" s="689">
        <f t="shared" si="35"/>
        <v>37062.899999999994</v>
      </c>
      <c r="F39" s="689">
        <f t="shared" si="35"/>
        <v>88256.5</v>
      </c>
      <c r="G39" s="689">
        <f t="shared" si="35"/>
        <v>-51193.600000000006</v>
      </c>
      <c r="H39" s="689">
        <f t="shared" si="35"/>
        <v>1035.0999999999999</v>
      </c>
      <c r="I39" s="689">
        <f t="shared" si="35"/>
        <v>18647.8</v>
      </c>
      <c r="J39" s="689">
        <f t="shared" si="35"/>
        <v>-17612.7</v>
      </c>
      <c r="K39" s="689">
        <f t="shared" si="35"/>
        <v>397.6</v>
      </c>
      <c r="L39" s="689">
        <f t="shared" si="35"/>
        <v>126970.9</v>
      </c>
      <c r="M39" s="689">
        <f t="shared" si="35"/>
        <v>127368.5</v>
      </c>
      <c r="N39" s="689">
        <f t="shared" si="35"/>
        <v>-79347.799999999988</v>
      </c>
      <c r="O39" s="265" t="s">
        <v>2320</v>
      </c>
      <c r="P39" s="689">
        <f t="shared" ref="P39:V39" si="36">SUM(P40:P43)</f>
        <v>2398.6999999999998</v>
      </c>
      <c r="Q39" s="689">
        <f t="shared" si="36"/>
        <v>-14874.099999999999</v>
      </c>
      <c r="R39" s="689">
        <f t="shared" si="36"/>
        <v>664.4</v>
      </c>
      <c r="S39" s="689">
        <f t="shared" si="36"/>
        <v>-59732.399999999994</v>
      </c>
      <c r="T39" s="689">
        <f t="shared" si="36"/>
        <v>-6402.3</v>
      </c>
      <c r="U39" s="689">
        <f t="shared" si="36"/>
        <v>-80344.399999999994</v>
      </c>
      <c r="V39" s="689">
        <f t="shared" si="36"/>
        <v>-3395.2999999999993</v>
      </c>
    </row>
    <row r="40" spans="1:22" s="254" customFormat="1" ht="10.5" customHeight="1">
      <c r="A40" s="462" t="s">
        <v>2297</v>
      </c>
      <c r="B40" s="437">
        <v>68969.8</v>
      </c>
      <c r="C40" s="437">
        <v>95774.9</v>
      </c>
      <c r="D40" s="437">
        <f t="shared" ref="D40:D47" si="37">B40-C40</f>
        <v>-26805.099999999991</v>
      </c>
      <c r="E40" s="437">
        <v>7797.9</v>
      </c>
      <c r="F40" s="437">
        <v>19287.7</v>
      </c>
      <c r="G40" s="437">
        <f t="shared" ref="G40:G47" si="38">E40-F40</f>
        <v>-11489.800000000001</v>
      </c>
      <c r="H40" s="432">
        <v>224.6</v>
      </c>
      <c r="I40" s="432">
        <v>4263.6000000000004</v>
      </c>
      <c r="J40" s="432">
        <f t="shared" ref="J40:J47" si="39">H40-I40</f>
        <v>-4039.0000000000005</v>
      </c>
      <c r="K40" s="432">
        <v>97.2</v>
      </c>
      <c r="L40" s="432">
        <v>27772.400000000001</v>
      </c>
      <c r="M40" s="432">
        <f t="shared" ref="M40:M47" si="40">K40+L40</f>
        <v>27869.600000000002</v>
      </c>
      <c r="N40" s="431">
        <f t="shared" ref="N40:N47" si="41">D40+G40+J40+M40</f>
        <v>-14464.299999999992</v>
      </c>
      <c r="O40" s="462" t="s">
        <v>2297</v>
      </c>
      <c r="P40" s="432">
        <v>519.29999999999995</v>
      </c>
      <c r="Q40" s="432">
        <v>-1710.9</v>
      </c>
      <c r="R40" s="432">
        <v>573.1</v>
      </c>
      <c r="S40" s="432">
        <v>-8333.2999999999993</v>
      </c>
      <c r="T40" s="432">
        <v>-6625</v>
      </c>
      <c r="U40" s="431">
        <f t="shared" ref="U40:U47" si="42">Q40+R40+S40+T40</f>
        <v>-16096.099999999999</v>
      </c>
      <c r="V40" s="437">
        <f t="shared" ref="V40:V47" si="43">-(N40+P40-U40)</f>
        <v>-2151.1000000000058</v>
      </c>
    </row>
    <row r="41" spans="1:22" s="254" customFormat="1" ht="10.5" customHeight="1">
      <c r="A41" s="253" t="s">
        <v>2294</v>
      </c>
      <c r="B41" s="79">
        <v>74553.600000000006</v>
      </c>
      <c r="C41" s="79">
        <v>111942.6</v>
      </c>
      <c r="D41" s="79">
        <f t="shared" si="37"/>
        <v>-37389</v>
      </c>
      <c r="E41" s="79">
        <v>8780.4</v>
      </c>
      <c r="F41" s="79">
        <v>21816.1</v>
      </c>
      <c r="G41" s="79">
        <f t="shared" si="38"/>
        <v>-13035.699999999999</v>
      </c>
      <c r="H41" s="348">
        <v>191.4</v>
      </c>
      <c r="I41" s="348">
        <v>5033.5</v>
      </c>
      <c r="J41" s="348">
        <f t="shared" si="39"/>
        <v>-4842.1000000000004</v>
      </c>
      <c r="K41" s="348">
        <v>219.1</v>
      </c>
      <c r="L41" s="348">
        <v>30119.4</v>
      </c>
      <c r="M41" s="348">
        <f t="shared" si="40"/>
        <v>30338.5</v>
      </c>
      <c r="N41" s="347">
        <f t="shared" si="41"/>
        <v>-24928.299999999996</v>
      </c>
      <c r="O41" s="253" t="s">
        <v>2294</v>
      </c>
      <c r="P41" s="348">
        <v>798.6</v>
      </c>
      <c r="Q41" s="348">
        <v>-4203.1000000000004</v>
      </c>
      <c r="R41" s="348">
        <v>-1450.2</v>
      </c>
      <c r="S41" s="348">
        <v>-16810.8</v>
      </c>
      <c r="T41" s="348">
        <v>3232.9</v>
      </c>
      <c r="U41" s="347">
        <f t="shared" si="42"/>
        <v>-19231.199999999997</v>
      </c>
      <c r="V41" s="79">
        <f t="shared" si="43"/>
        <v>4898.5</v>
      </c>
    </row>
    <row r="42" spans="1:22" s="254" customFormat="1" ht="10.5" customHeight="1">
      <c r="A42" s="462" t="s">
        <v>2295</v>
      </c>
      <c r="B42" s="437">
        <v>78019.399999999994</v>
      </c>
      <c r="C42" s="437">
        <v>112818.2</v>
      </c>
      <c r="D42" s="437">
        <f t="shared" si="37"/>
        <v>-34798.800000000003</v>
      </c>
      <c r="E42" s="437">
        <v>9475.9</v>
      </c>
      <c r="F42" s="437">
        <v>21594.799999999999</v>
      </c>
      <c r="G42" s="437">
        <f t="shared" si="38"/>
        <v>-12118.9</v>
      </c>
      <c r="H42" s="432">
        <v>251.7</v>
      </c>
      <c r="I42" s="432">
        <v>4551.7</v>
      </c>
      <c r="J42" s="432">
        <f t="shared" si="39"/>
        <v>-4300</v>
      </c>
      <c r="K42" s="432">
        <v>41.7</v>
      </c>
      <c r="L42" s="432">
        <v>32444.2</v>
      </c>
      <c r="M42" s="432">
        <f t="shared" si="40"/>
        <v>32485.9</v>
      </c>
      <c r="N42" s="431">
        <f t="shared" si="41"/>
        <v>-18731.800000000003</v>
      </c>
      <c r="O42" s="462" t="s">
        <v>2295</v>
      </c>
      <c r="P42" s="432">
        <v>554.6</v>
      </c>
      <c r="Q42" s="432">
        <v>-3082.8</v>
      </c>
      <c r="R42" s="432">
        <v>451</v>
      </c>
      <c r="S42" s="432">
        <v>-8851.2999999999993</v>
      </c>
      <c r="T42" s="432">
        <v>-8321.9</v>
      </c>
      <c r="U42" s="431">
        <f t="shared" si="42"/>
        <v>-19805</v>
      </c>
      <c r="V42" s="437">
        <f t="shared" si="43"/>
        <v>-1627.7999999999956</v>
      </c>
    </row>
    <row r="43" spans="1:22" s="254" customFormat="1" ht="10.5" customHeight="1">
      <c r="A43" s="253" t="s">
        <v>2296</v>
      </c>
      <c r="B43" s="79">
        <v>75913.399999999994</v>
      </c>
      <c r="C43" s="79">
        <v>114830.5</v>
      </c>
      <c r="D43" s="79">
        <f t="shared" si="37"/>
        <v>-38917.100000000006</v>
      </c>
      <c r="E43" s="79">
        <v>11008.7</v>
      </c>
      <c r="F43" s="79">
        <v>25557.9</v>
      </c>
      <c r="G43" s="79">
        <f t="shared" si="38"/>
        <v>-14549.2</v>
      </c>
      <c r="H43" s="348">
        <v>367.4</v>
      </c>
      <c r="I43" s="348">
        <v>4799</v>
      </c>
      <c r="J43" s="348">
        <f t="shared" si="39"/>
        <v>-4431.6000000000004</v>
      </c>
      <c r="K43" s="348">
        <v>39.6</v>
      </c>
      <c r="L43" s="348">
        <v>36634.9</v>
      </c>
      <c r="M43" s="348">
        <f t="shared" si="40"/>
        <v>36674.5</v>
      </c>
      <c r="N43" s="348">
        <f t="shared" si="41"/>
        <v>-21223.4</v>
      </c>
      <c r="O43" s="253" t="s">
        <v>2296</v>
      </c>
      <c r="P43" s="348">
        <v>526.20000000000005</v>
      </c>
      <c r="Q43" s="348">
        <v>-5877.3</v>
      </c>
      <c r="R43" s="348">
        <v>1090.5</v>
      </c>
      <c r="S43" s="348">
        <v>-25737</v>
      </c>
      <c r="T43" s="348">
        <v>5311.7</v>
      </c>
      <c r="U43" s="347">
        <f t="shared" si="42"/>
        <v>-25212.1</v>
      </c>
      <c r="V43" s="79">
        <f t="shared" si="43"/>
        <v>-4514.8999999999978</v>
      </c>
    </row>
    <row r="44" spans="1:22" s="254" customFormat="1" ht="10.5" customHeight="1">
      <c r="A44" s="463" t="s">
        <v>2583</v>
      </c>
      <c r="B44" s="437"/>
      <c r="C44" s="437"/>
      <c r="D44" s="437"/>
      <c r="E44" s="437"/>
      <c r="F44" s="437"/>
      <c r="G44" s="437"/>
      <c r="H44" s="432"/>
      <c r="I44" s="432"/>
      <c r="J44" s="432"/>
      <c r="K44" s="432"/>
      <c r="L44" s="432"/>
      <c r="M44" s="432"/>
      <c r="N44" s="432"/>
      <c r="O44" s="463" t="s">
        <v>2583</v>
      </c>
      <c r="P44" s="432"/>
      <c r="Q44" s="432"/>
      <c r="R44" s="432"/>
      <c r="S44" s="432"/>
      <c r="T44" s="432"/>
      <c r="U44" s="432"/>
      <c r="V44" s="432"/>
    </row>
    <row r="45" spans="1:22" s="254" customFormat="1">
      <c r="A45" s="253" t="s">
        <v>843</v>
      </c>
      <c r="B45" s="79">
        <v>29645.599999999999</v>
      </c>
      <c r="C45" s="79">
        <v>38297.300000000003</v>
      </c>
      <c r="D45" s="79">
        <f t="shared" si="37"/>
        <v>-8651.7000000000044</v>
      </c>
      <c r="E45" s="79">
        <v>3969.3</v>
      </c>
      <c r="F45" s="79">
        <v>7647.7</v>
      </c>
      <c r="G45" s="79">
        <f t="shared" si="38"/>
        <v>-3678.3999999999996</v>
      </c>
      <c r="H45" s="348">
        <v>67.099999999999994</v>
      </c>
      <c r="I45" s="348">
        <v>1977.5</v>
      </c>
      <c r="J45" s="348">
        <f t="shared" si="39"/>
        <v>-1910.4</v>
      </c>
      <c r="K45" s="348">
        <v>1.4</v>
      </c>
      <c r="L45" s="348">
        <v>11206</v>
      </c>
      <c r="M45" s="348">
        <f t="shared" si="40"/>
        <v>11207.4</v>
      </c>
      <c r="N45" s="348">
        <f t="shared" si="41"/>
        <v>-3033.100000000004</v>
      </c>
      <c r="O45" s="253" t="s">
        <v>843</v>
      </c>
      <c r="P45" s="348">
        <v>18.899999999999999</v>
      </c>
      <c r="Q45" s="348">
        <v>-1567.7</v>
      </c>
      <c r="R45" s="348">
        <v>772.1</v>
      </c>
      <c r="S45" s="348">
        <v>3524.1</v>
      </c>
      <c r="T45" s="348">
        <v>-6772.7</v>
      </c>
      <c r="U45" s="348">
        <f t="shared" si="42"/>
        <v>-4044.2</v>
      </c>
      <c r="V45" s="348">
        <f t="shared" si="43"/>
        <v>-1029.9999999999959</v>
      </c>
    </row>
    <row r="46" spans="1:22" s="254" customFormat="1">
      <c r="A46" s="462" t="s">
        <v>844</v>
      </c>
      <c r="B46" s="437">
        <v>26619.8</v>
      </c>
      <c r="C46" s="437">
        <v>33620.199999999997</v>
      </c>
      <c r="D46" s="437">
        <f t="shared" si="37"/>
        <v>-7000.3999999999978</v>
      </c>
      <c r="E46" s="437">
        <v>4107.3999999999996</v>
      </c>
      <c r="F46" s="437">
        <v>6396</v>
      </c>
      <c r="G46" s="437">
        <f t="shared" si="38"/>
        <v>-2288.6000000000004</v>
      </c>
      <c r="H46" s="432">
        <v>72.900000000000006</v>
      </c>
      <c r="I46" s="432">
        <v>1839.5</v>
      </c>
      <c r="J46" s="432">
        <f t="shared" si="39"/>
        <v>-1766.6</v>
      </c>
      <c r="K46" s="432">
        <v>0.5</v>
      </c>
      <c r="L46" s="432">
        <v>12066.2</v>
      </c>
      <c r="M46" s="432">
        <f t="shared" si="40"/>
        <v>12066.7</v>
      </c>
      <c r="N46" s="432">
        <f t="shared" si="41"/>
        <v>1011.1000000000022</v>
      </c>
      <c r="O46" s="462" t="s">
        <v>844</v>
      </c>
      <c r="P46" s="432">
        <v>7.3</v>
      </c>
      <c r="Q46" s="432">
        <v>-1225.0999999999999</v>
      </c>
      <c r="R46" s="432">
        <v>-130.5</v>
      </c>
      <c r="S46" s="432">
        <v>-5791.3</v>
      </c>
      <c r="T46" s="432">
        <v>7323.7</v>
      </c>
      <c r="U46" s="432">
        <f t="shared" si="42"/>
        <v>176.80000000000018</v>
      </c>
      <c r="V46" s="432">
        <f t="shared" si="43"/>
        <v>-841.60000000000196</v>
      </c>
    </row>
    <row r="47" spans="1:22" s="254" customFormat="1" ht="12" thickBot="1">
      <c r="A47" s="1649" t="s">
        <v>838</v>
      </c>
      <c r="B47" s="1226">
        <v>25361.4</v>
      </c>
      <c r="C47" s="1226">
        <v>38907</v>
      </c>
      <c r="D47" s="1226">
        <f t="shared" si="37"/>
        <v>-13545.599999999999</v>
      </c>
      <c r="E47" s="1226">
        <v>4074.3</v>
      </c>
      <c r="F47" s="1226">
        <v>7487.1</v>
      </c>
      <c r="G47" s="1226">
        <f t="shared" si="38"/>
        <v>-3412.8</v>
      </c>
      <c r="H47" s="1105">
        <v>81.400000000000006</v>
      </c>
      <c r="I47" s="1105">
        <v>2408.6</v>
      </c>
      <c r="J47" s="1105">
        <f t="shared" si="39"/>
        <v>-2327.1999999999998</v>
      </c>
      <c r="K47" s="1105">
        <v>90.8</v>
      </c>
      <c r="L47" s="1105">
        <v>9836.6</v>
      </c>
      <c r="M47" s="1105">
        <f t="shared" si="40"/>
        <v>9927.4</v>
      </c>
      <c r="N47" s="1105">
        <f t="shared" si="41"/>
        <v>-9358.1999999999989</v>
      </c>
      <c r="O47" s="1649" t="s">
        <v>838</v>
      </c>
      <c r="P47" s="1105">
        <v>571.70000000000005</v>
      </c>
      <c r="Q47" s="1105">
        <v>-2769</v>
      </c>
      <c r="R47" s="1105">
        <v>103.7</v>
      </c>
      <c r="S47" s="1105">
        <v>2092.5</v>
      </c>
      <c r="T47" s="1105">
        <v>-7814.3</v>
      </c>
      <c r="U47" s="1105">
        <f t="shared" si="42"/>
        <v>-8387.1</v>
      </c>
      <c r="V47" s="1105">
        <f t="shared" si="43"/>
        <v>399.39999999999782</v>
      </c>
    </row>
    <row r="48" spans="1:22" s="254" customFormat="1">
      <c r="A48" s="253"/>
      <c r="B48" s="79"/>
      <c r="C48" s="79"/>
      <c r="D48" s="79"/>
      <c r="E48" s="79"/>
      <c r="F48" s="79"/>
      <c r="G48" s="79"/>
      <c r="H48" s="348"/>
      <c r="I48" s="348"/>
      <c r="J48" s="348"/>
      <c r="K48" s="348"/>
      <c r="L48" s="348"/>
      <c r="M48" s="348"/>
      <c r="N48" s="348"/>
      <c r="O48" s="253"/>
      <c r="P48" s="348"/>
      <c r="Q48" s="348"/>
      <c r="R48" s="348"/>
      <c r="S48" s="348"/>
      <c r="T48" s="348"/>
      <c r="U48" s="347"/>
      <c r="V48" s="79"/>
    </row>
    <row r="49" spans="1:22" s="254" customFormat="1">
      <c r="A49" s="266" t="s">
        <v>2393</v>
      </c>
      <c r="B49" s="1859" t="s">
        <v>2257</v>
      </c>
      <c r="C49" s="1859"/>
      <c r="D49" s="1859"/>
      <c r="E49" s="1859"/>
      <c r="F49" s="1859"/>
      <c r="G49" s="1859"/>
      <c r="H49" s="267" t="s">
        <v>32</v>
      </c>
      <c r="I49" s="1853" t="s">
        <v>2256</v>
      </c>
      <c r="J49" s="1853"/>
      <c r="K49" s="1853"/>
      <c r="L49" s="1853"/>
      <c r="M49" s="268"/>
      <c r="N49" s="268"/>
      <c r="O49" s="151" t="s">
        <v>1166</v>
      </c>
      <c r="P49" s="269" t="s">
        <v>2394</v>
      </c>
      <c r="Q49" s="269"/>
      <c r="R49" s="269"/>
      <c r="S49" s="269"/>
      <c r="T49" s="269"/>
      <c r="U49" s="269"/>
      <c r="V49" s="269"/>
    </row>
    <row r="50" spans="1:22" s="254" customFormat="1">
      <c r="A50" s="252"/>
      <c r="B50" s="269" t="s">
        <v>461</v>
      </c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69" t="s">
        <v>2395</v>
      </c>
      <c r="Q50" s="269"/>
      <c r="R50" s="269"/>
      <c r="S50" s="269"/>
      <c r="T50" s="269"/>
      <c r="U50" s="269"/>
      <c r="V50" s="269"/>
    </row>
    <row r="51" spans="1:22" s="254" customFormat="1">
      <c r="P51" s="269" t="s">
        <v>461</v>
      </c>
    </row>
    <row r="52" spans="1:22" s="254" customFormat="1">
      <c r="Q52" s="694"/>
    </row>
    <row r="53" spans="1:22" s="254" customFormat="1">
      <c r="G53" s="270"/>
    </row>
    <row r="54" spans="1:22" s="254" customFormat="1"/>
    <row r="55" spans="1:22" s="254" customFormat="1"/>
    <row r="56" spans="1:22" s="254" customFormat="1"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</row>
    <row r="57" spans="1:22" s="254" customFormat="1">
      <c r="V57" s="270"/>
    </row>
    <row r="58" spans="1:22" s="254" customFormat="1">
      <c r="G58" s="270"/>
    </row>
    <row r="59" spans="1:22" s="254" customFormat="1"/>
    <row r="60" spans="1:22" s="254" customFormat="1"/>
    <row r="61" spans="1:22" s="254" customFormat="1"/>
    <row r="62" spans="1:22" s="254" customFormat="1"/>
    <row r="63" spans="1:22" s="254" customFormat="1"/>
    <row r="64" spans="1:22" s="254" customFormat="1"/>
    <row r="65" spans="7:7" s="254" customFormat="1"/>
    <row r="66" spans="7:7" s="254" customFormat="1"/>
    <row r="67" spans="7:7" s="254" customFormat="1"/>
    <row r="68" spans="7:7" s="254" customFormat="1">
      <c r="G68" s="270"/>
    </row>
    <row r="69" spans="7:7" s="254" customFormat="1"/>
    <row r="70" spans="7:7" s="254" customFormat="1"/>
    <row r="71" spans="7:7" s="254" customFormat="1"/>
    <row r="72" spans="7:7" s="254" customFormat="1"/>
    <row r="73" spans="7:7" s="254" customFormat="1"/>
    <row r="74" spans="7:7" s="254" customFormat="1"/>
    <row r="75" spans="7:7" s="254" customFormat="1"/>
    <row r="76" spans="7:7" s="254" customFormat="1"/>
    <row r="77" spans="7:7" s="254" customFormat="1"/>
    <row r="78" spans="7:7" s="254" customFormat="1"/>
    <row r="79" spans="7:7" s="254" customFormat="1"/>
    <row r="80" spans="7:7" s="254" customFormat="1"/>
    <row r="81" s="254" customFormat="1"/>
    <row r="82" s="254" customFormat="1"/>
    <row r="83" s="254" customFormat="1"/>
    <row r="84" s="254" customFormat="1"/>
    <row r="85" s="254" customFormat="1"/>
    <row r="86" s="254" customFormat="1"/>
    <row r="87" s="254" customFormat="1"/>
    <row r="88" s="254" customFormat="1"/>
    <row r="89" s="254" customFormat="1"/>
    <row r="90" s="254" customFormat="1"/>
    <row r="91" s="254" customFormat="1"/>
    <row r="92" s="254" customFormat="1"/>
    <row r="93" s="254" customFormat="1"/>
    <row r="94" s="254" customFormat="1"/>
    <row r="95" s="254" customFormat="1"/>
    <row r="96" s="254" customFormat="1"/>
    <row r="97" s="254" customFormat="1"/>
    <row r="98" s="254" customFormat="1"/>
    <row r="99" s="254" customFormat="1"/>
    <row r="100" s="254" customFormat="1"/>
    <row r="101" s="254" customFormat="1"/>
    <row r="102" s="254" customFormat="1"/>
    <row r="103" s="254" customFormat="1"/>
    <row r="104" s="254" customFormat="1"/>
    <row r="105" s="254" customFormat="1"/>
    <row r="106" s="254" customFormat="1"/>
    <row r="107" s="254" customFormat="1"/>
    <row r="108" s="254" customFormat="1"/>
    <row r="109" s="254" customFormat="1"/>
    <row r="110" s="254" customFormat="1"/>
    <row r="111" s="254" customFormat="1"/>
    <row r="112" s="254" customFormat="1"/>
    <row r="113" s="254" customFormat="1"/>
    <row r="114" s="254" customFormat="1"/>
    <row r="115" s="254" customFormat="1"/>
    <row r="116" s="254" customFormat="1"/>
    <row r="117" s="254" customFormat="1"/>
    <row r="118" s="254" customFormat="1"/>
    <row r="119" s="254" customFormat="1"/>
    <row r="120" s="254" customFormat="1"/>
    <row r="121" s="254" customFormat="1"/>
    <row r="122" s="254" customFormat="1"/>
    <row r="123" s="254" customFormat="1"/>
    <row r="124" s="254" customFormat="1"/>
    <row r="125" s="254" customFormat="1"/>
    <row r="126" s="254" customFormat="1"/>
    <row r="127" s="254" customFormat="1"/>
    <row r="128" s="254" customFormat="1"/>
    <row r="129" s="254" customFormat="1"/>
    <row r="130" s="254" customFormat="1"/>
    <row r="131" s="254" customFormat="1"/>
    <row r="132" s="254" customFormat="1"/>
    <row r="133" s="254" customFormat="1"/>
    <row r="134" s="254" customFormat="1"/>
    <row r="135" s="254" customFormat="1"/>
    <row r="136" s="254" customFormat="1"/>
    <row r="137" s="254" customFormat="1"/>
    <row r="138" s="254" customFormat="1"/>
    <row r="139" s="254" customFormat="1"/>
    <row r="140" s="254" customFormat="1"/>
    <row r="141" s="254" customFormat="1"/>
    <row r="142" s="254" customFormat="1"/>
    <row r="143" s="254" customFormat="1"/>
    <row r="144" s="254" customFormat="1"/>
    <row r="145" spans="1:22" s="254" customFormat="1"/>
    <row r="146" spans="1:22" s="254" customFormat="1"/>
    <row r="147" spans="1:22" s="254" customFormat="1"/>
    <row r="148" spans="1:22" s="254" customFormat="1"/>
    <row r="149" spans="1:22" s="254" customFormat="1"/>
    <row r="150" spans="1:22" s="254" customFormat="1"/>
    <row r="151" spans="1:22" s="254" customFormat="1"/>
    <row r="152" spans="1:22" s="254" customFormat="1"/>
    <row r="153" spans="1:22" s="254" customFormat="1"/>
    <row r="154" spans="1:22" s="254" customFormat="1"/>
    <row r="155" spans="1:22" s="254" customFormat="1"/>
    <row r="156" spans="1:22" s="254" customFormat="1"/>
    <row r="157" spans="1:22" s="254" customFormat="1"/>
    <row r="158" spans="1:22" s="254" customFormat="1"/>
    <row r="159" spans="1:22" s="254" customFormat="1"/>
    <row r="160" spans="1:22">
      <c r="A160" s="25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</row>
    <row r="161" spans="1:22">
      <c r="A161" s="25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</row>
    <row r="162" spans="1:22">
      <c r="A162" s="25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</row>
    <row r="163" spans="1:22">
      <c r="A163" s="25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</row>
    <row r="164" spans="1:22">
      <c r="A164" s="25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</row>
    <row r="165" spans="1:22">
      <c r="A165" s="25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</row>
    <row r="166" spans="1:22">
      <c r="A166" s="25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</row>
    <row r="167" spans="1:22">
      <c r="A167" s="25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</row>
    <row r="168" spans="1:22">
      <c r="A168" s="25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</row>
    <row r="169" spans="1:22">
      <c r="A169" s="25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</row>
    <row r="170" spans="1:22">
      <c r="A170" s="25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</row>
    <row r="171" spans="1:22">
      <c r="A171" s="25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</row>
  </sheetData>
  <mergeCells count="19">
    <mergeCell ref="V3:V5"/>
    <mergeCell ref="B49:G49"/>
    <mergeCell ref="U2:V2"/>
    <mergeCell ref="T1:V1"/>
    <mergeCell ref="H3:J3"/>
    <mergeCell ref="N3:N4"/>
    <mergeCell ref="B3:D3"/>
    <mergeCell ref="I49:L49"/>
    <mergeCell ref="P3:P4"/>
    <mergeCell ref="A3:A5"/>
    <mergeCell ref="O3:O5"/>
    <mergeCell ref="H1:I1"/>
    <mergeCell ref="L1:N1"/>
    <mergeCell ref="L2:N2"/>
    <mergeCell ref="F1:G1"/>
    <mergeCell ref="K3:M3"/>
    <mergeCell ref="O1:S1"/>
    <mergeCell ref="E3:G3"/>
    <mergeCell ref="Q3:U3"/>
  </mergeCells>
  <phoneticPr fontId="0" type="noConversion"/>
  <pageMargins left="0.62992125984252001" right="0.511811023622047" top="0.511811023622047" bottom="0.511811023622047" header="0" footer="0.47244094488188998"/>
  <pageSetup paperSize="141" firstPageNumber="28" orientation="portrait" useFirstPageNumber="1" r:id="rId1"/>
  <headerFooter alignWithMargins="0">
    <oddFooter>&amp;C&amp;"Times New Roman,Regular"&amp;8&amp;P</oddFooter>
  </headerFooter>
  <ignoredErrors>
    <ignoredError sqref="D14 G14 J14 M14:N14 U14:V14 D19 G19 J19 M19:N19 V1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4"/>
  <dimension ref="A1:I72"/>
  <sheetViews>
    <sheetView zoomScale="160" zoomScaleNormal="160" workbookViewId="0">
      <pane xSplit="1" ySplit="5" topLeftCell="B60" activePane="bottomRight" state="frozen"/>
      <selection pane="topRight" activeCell="B1" sqref="B1"/>
      <selection pane="bottomLeft" activeCell="A7" sqref="A7"/>
      <selection pane="bottomRight" activeCell="E71" sqref="E71"/>
    </sheetView>
  </sheetViews>
  <sheetFormatPr defaultRowHeight="12.75"/>
  <cols>
    <col min="1" max="1" width="7.85546875" customWidth="1"/>
    <col min="2" max="2" width="8.28515625" customWidth="1"/>
    <col min="3" max="3" width="9.42578125" customWidth="1"/>
    <col min="5" max="6" width="8.28515625" customWidth="1"/>
    <col min="8" max="8" width="8.5703125" customWidth="1"/>
    <col min="9" max="9" width="8.42578125" customWidth="1"/>
  </cols>
  <sheetData>
    <row r="1" spans="1:9" ht="15.75" customHeight="1">
      <c r="A1" s="1957" t="s">
        <v>2215</v>
      </c>
      <c r="B1" s="1957"/>
      <c r="C1" s="1957"/>
      <c r="D1" s="1957"/>
      <c r="E1" s="1957"/>
      <c r="F1" s="1957"/>
      <c r="G1" s="1957"/>
      <c r="H1" s="220"/>
      <c r="I1" s="221" t="s">
        <v>555</v>
      </c>
    </row>
    <row r="2" spans="1:9" ht="15" customHeight="1">
      <c r="A2" s="1957"/>
      <c r="B2" s="1957"/>
      <c r="C2" s="1957"/>
      <c r="D2" s="1957"/>
      <c r="E2" s="1957"/>
      <c r="F2" s="1957"/>
      <c r="G2" s="1957"/>
      <c r="H2" s="220"/>
    </row>
    <row r="3" spans="1:9" ht="10.5" customHeight="1">
      <c r="A3" s="222"/>
      <c r="B3" s="223"/>
      <c r="C3" s="223"/>
      <c r="D3" s="223"/>
      <c r="F3" s="224"/>
      <c r="H3" s="1958" t="s">
        <v>0</v>
      </c>
      <c r="I3" s="1958"/>
    </row>
    <row r="4" spans="1:9" s="225" customFormat="1" ht="12.95" customHeight="1">
      <c r="A4" s="1959" t="s">
        <v>764</v>
      </c>
      <c r="B4" s="1961" t="s">
        <v>578</v>
      </c>
      <c r="C4" s="1962"/>
      <c r="D4" s="1962"/>
      <c r="E4" s="1963"/>
      <c r="F4" s="1961" t="s">
        <v>579</v>
      </c>
      <c r="G4" s="1962"/>
      <c r="H4" s="1962"/>
      <c r="I4" s="1963"/>
    </row>
    <row r="5" spans="1:9" ht="36">
      <c r="A5" s="1960"/>
      <c r="B5" s="226" t="s">
        <v>1237</v>
      </c>
      <c r="C5" s="226" t="s">
        <v>1264</v>
      </c>
      <c r="D5" s="226" t="s">
        <v>1266</v>
      </c>
      <c r="E5" s="1177" t="s">
        <v>580</v>
      </c>
      <c r="F5" s="226" t="s">
        <v>1238</v>
      </c>
      <c r="G5" s="226" t="s">
        <v>1267</v>
      </c>
      <c r="H5" s="226" t="s">
        <v>1265</v>
      </c>
      <c r="I5" s="1177" t="s">
        <v>581</v>
      </c>
    </row>
    <row r="6" spans="1:9" s="114" customFormat="1" ht="9.1999999999999993" customHeight="1">
      <c r="A6" s="464" t="s">
        <v>836</v>
      </c>
      <c r="B6" s="465">
        <v>111.23</v>
      </c>
      <c r="C6" s="466">
        <v>161.38</v>
      </c>
      <c r="D6" s="466">
        <v>11.55</v>
      </c>
      <c r="E6" s="465">
        <f t="shared" ref="E6" si="0">SUM(B6:D6)</f>
        <v>284.16000000000003</v>
      </c>
      <c r="F6" s="466">
        <v>1854.1</v>
      </c>
      <c r="G6" s="472">
        <v>708.43</v>
      </c>
      <c r="H6" s="466">
        <v>321.16000000000003</v>
      </c>
      <c r="I6" s="470">
        <f t="shared" ref="I6:I26" si="1">SUM(F6:H6)</f>
        <v>2883.6899999999996</v>
      </c>
    </row>
    <row r="7" spans="1:9" s="114" customFormat="1" ht="9.1999999999999993" customHeight="1">
      <c r="A7" s="229" t="s">
        <v>837</v>
      </c>
      <c r="B7" s="230">
        <v>361.14</v>
      </c>
      <c r="C7" s="234">
        <v>297.11</v>
      </c>
      <c r="D7" s="234">
        <v>145.53</v>
      </c>
      <c r="E7" s="357">
        <v>803.78</v>
      </c>
      <c r="F7" s="234">
        <v>2123.5</v>
      </c>
      <c r="G7" s="234">
        <v>880.01</v>
      </c>
      <c r="H7" s="235">
        <v>362.1</v>
      </c>
      <c r="I7" s="235">
        <v>3365.61</v>
      </c>
    </row>
    <row r="8" spans="1:9" s="114" customFormat="1" ht="9.1999999999999993" customHeight="1">
      <c r="A8" s="464" t="s">
        <v>842</v>
      </c>
      <c r="B8" s="465">
        <v>447.22</v>
      </c>
      <c r="C8" s="466">
        <v>198.64</v>
      </c>
      <c r="D8" s="466">
        <v>98.75</v>
      </c>
      <c r="E8" s="465">
        <v>744.61</v>
      </c>
      <c r="F8" s="466">
        <v>2468.63</v>
      </c>
      <c r="G8" s="466">
        <v>974.18</v>
      </c>
      <c r="H8" s="466">
        <v>322.72000000000003</v>
      </c>
      <c r="I8" s="470">
        <v>3765.5299999999997</v>
      </c>
    </row>
    <row r="9" spans="1:9" s="114" customFormat="1" ht="9.1999999999999993" customHeight="1">
      <c r="A9" s="229" t="s">
        <v>851</v>
      </c>
      <c r="B9" s="230">
        <v>464.5</v>
      </c>
      <c r="C9" s="234">
        <v>281</v>
      </c>
      <c r="D9" s="234">
        <v>47.24</v>
      </c>
      <c r="E9" s="234">
        <v>792.74</v>
      </c>
      <c r="F9" s="234">
        <v>2857.96</v>
      </c>
      <c r="G9" s="234">
        <v>1146.22</v>
      </c>
      <c r="H9" s="235">
        <v>364.23</v>
      </c>
      <c r="I9" s="235">
        <v>4368.41</v>
      </c>
    </row>
    <row r="10" spans="1:9" s="114" customFormat="1" ht="9.1999999999999993" customHeight="1">
      <c r="A10" s="464" t="s">
        <v>574</v>
      </c>
      <c r="B10" s="465">
        <v>545.69000000000005</v>
      </c>
      <c r="C10" s="466">
        <v>197.71</v>
      </c>
      <c r="D10" s="466">
        <v>25.29</v>
      </c>
      <c r="E10" s="465">
        <f t="shared" ref="E10" si="2">SUM(B10:D10)</f>
        <v>768.69</v>
      </c>
      <c r="F10" s="470">
        <v>3719.99</v>
      </c>
      <c r="G10" s="466">
        <v>873.76</v>
      </c>
      <c r="H10" s="466">
        <v>210.68</v>
      </c>
      <c r="I10" s="470">
        <f t="shared" si="1"/>
        <v>4804.43</v>
      </c>
    </row>
    <row r="11" spans="1:9" s="23" customFormat="1" ht="9.1999999999999993" customHeight="1">
      <c r="A11" s="231" t="s">
        <v>486</v>
      </c>
      <c r="B11" s="232">
        <v>166.78</v>
      </c>
      <c r="C11" s="233">
        <v>101.7</v>
      </c>
      <c r="D11" s="233">
        <v>16.55</v>
      </c>
      <c r="E11" s="820">
        <f t="shared" ref="E11:E12" si="3">SUM(B11:D11)</f>
        <v>285.03000000000003</v>
      </c>
      <c r="F11" s="233">
        <v>3068.07</v>
      </c>
      <c r="G11" s="233">
        <v>1109.5899999999999</v>
      </c>
      <c r="H11" s="237">
        <v>221.12</v>
      </c>
      <c r="I11" s="238">
        <f t="shared" si="1"/>
        <v>4398.78</v>
      </c>
    </row>
    <row r="12" spans="1:9" s="23" customFormat="1" ht="9.1999999999999993" customHeight="1">
      <c r="A12" s="467" t="s">
        <v>487</v>
      </c>
      <c r="B12" s="468">
        <v>378.91</v>
      </c>
      <c r="C12" s="469">
        <v>96.01</v>
      </c>
      <c r="D12" s="469">
        <v>8.74</v>
      </c>
      <c r="E12" s="469">
        <f t="shared" si="3"/>
        <v>483.66</v>
      </c>
      <c r="F12" s="471">
        <v>3719.99</v>
      </c>
      <c r="G12" s="469">
        <v>873.76</v>
      </c>
      <c r="H12" s="469">
        <v>210.68</v>
      </c>
      <c r="I12" s="469">
        <f t="shared" si="1"/>
        <v>4804.43</v>
      </c>
    </row>
    <row r="13" spans="1:9" s="114" customFormat="1" ht="9.1999999999999993" customHeight="1">
      <c r="A13" s="229" t="s">
        <v>114</v>
      </c>
      <c r="B13" s="230">
        <v>535.41999999999996</v>
      </c>
      <c r="C13" s="234">
        <v>336.61</v>
      </c>
      <c r="D13" s="234">
        <v>88.56</v>
      </c>
      <c r="E13" s="234">
        <f t="shared" ref="E13:E14" si="4">SUM(B13:D13)</f>
        <v>960.58999999999992</v>
      </c>
      <c r="F13" s="236">
        <v>3909.6</v>
      </c>
      <c r="G13" s="235">
        <v>903.65</v>
      </c>
      <c r="H13" s="235">
        <v>325.94</v>
      </c>
      <c r="I13" s="235">
        <f t="shared" si="1"/>
        <v>5139.1899999999996</v>
      </c>
    </row>
    <row r="14" spans="1:9" s="23" customFormat="1" ht="9.1999999999999993" customHeight="1">
      <c r="A14" s="467" t="s">
        <v>486</v>
      </c>
      <c r="B14" s="468">
        <v>430.34</v>
      </c>
      <c r="C14" s="469">
        <v>149.72</v>
      </c>
      <c r="D14" s="469">
        <v>22.59</v>
      </c>
      <c r="E14" s="469">
        <f t="shared" si="4"/>
        <v>602.65</v>
      </c>
      <c r="F14" s="471">
        <v>3823.32</v>
      </c>
      <c r="G14" s="471">
        <v>742.04</v>
      </c>
      <c r="H14" s="471">
        <v>250.66</v>
      </c>
      <c r="I14" s="469">
        <f t="shared" si="1"/>
        <v>4816.0200000000004</v>
      </c>
    </row>
    <row r="15" spans="1:9" s="62" customFormat="1" ht="9.1999999999999993" customHeight="1">
      <c r="A15" s="231" t="s">
        <v>487</v>
      </c>
      <c r="B15" s="232">
        <v>105.08</v>
      </c>
      <c r="C15" s="232">
        <v>186.89</v>
      </c>
      <c r="D15" s="232">
        <v>65.97</v>
      </c>
      <c r="E15" s="820">
        <f t="shared" ref="E15:E16" si="5">SUM(B15:D15)</f>
        <v>357.93999999999994</v>
      </c>
      <c r="F15" s="243">
        <v>3909.6</v>
      </c>
      <c r="G15" s="243">
        <v>903.65</v>
      </c>
      <c r="H15" s="243">
        <v>325.94</v>
      </c>
      <c r="I15" s="238">
        <f t="shared" si="1"/>
        <v>5139.1899999999996</v>
      </c>
    </row>
    <row r="16" spans="1:9" s="77" customFormat="1" ht="9.1999999999999993" customHeight="1">
      <c r="A16" s="464" t="s">
        <v>110</v>
      </c>
      <c r="B16" s="465">
        <f>B17+B18</f>
        <v>515.14</v>
      </c>
      <c r="C16" s="465">
        <f>C17+C18</f>
        <v>331.1</v>
      </c>
      <c r="D16" s="465">
        <f>D17+D18</f>
        <v>66.78</v>
      </c>
      <c r="E16" s="465">
        <f t="shared" si="5"/>
        <v>913.02</v>
      </c>
      <c r="F16" s="465">
        <f>F18</f>
        <v>5014.96</v>
      </c>
      <c r="G16" s="465">
        <f>G18</f>
        <v>544.21</v>
      </c>
      <c r="H16" s="465">
        <f>H18</f>
        <v>410.29</v>
      </c>
      <c r="I16" s="470">
        <f t="shared" si="1"/>
        <v>5969.46</v>
      </c>
    </row>
    <row r="17" spans="1:9" s="62" customFormat="1" ht="9.1999999999999993" customHeight="1">
      <c r="A17" s="231" t="s">
        <v>486</v>
      </c>
      <c r="B17" s="232">
        <v>113.47</v>
      </c>
      <c r="C17" s="232">
        <v>178.05</v>
      </c>
      <c r="D17" s="232">
        <v>50.7</v>
      </c>
      <c r="E17" s="820">
        <f t="shared" ref="E17:E18" si="6">SUM(B17:D17)</f>
        <v>342.21999999999997</v>
      </c>
      <c r="F17" s="243">
        <v>4426.6899999999996</v>
      </c>
      <c r="G17" s="243">
        <v>474.06</v>
      </c>
      <c r="H17" s="243">
        <v>378.17</v>
      </c>
      <c r="I17" s="238">
        <f t="shared" si="1"/>
        <v>5278.92</v>
      </c>
    </row>
    <row r="18" spans="1:9" s="62" customFormat="1" ht="9.1999999999999993" customHeight="1">
      <c r="A18" s="467" t="s">
        <v>487</v>
      </c>
      <c r="B18" s="468">
        <v>401.67</v>
      </c>
      <c r="C18" s="468">
        <v>153.05000000000001</v>
      </c>
      <c r="D18" s="468">
        <v>16.079999999999998</v>
      </c>
      <c r="E18" s="469">
        <f t="shared" si="6"/>
        <v>570.80000000000007</v>
      </c>
      <c r="F18" s="473">
        <v>5014.96</v>
      </c>
      <c r="G18" s="473">
        <v>544.21</v>
      </c>
      <c r="H18" s="473">
        <v>410.29</v>
      </c>
      <c r="I18" s="469">
        <f t="shared" si="1"/>
        <v>5969.46</v>
      </c>
    </row>
    <row r="19" spans="1:9" s="62" customFormat="1" ht="9.1999999999999993" customHeight="1">
      <c r="A19" s="229" t="s">
        <v>253</v>
      </c>
      <c r="B19" s="357">
        <f>B20+B21</f>
        <v>249.95</v>
      </c>
      <c r="C19" s="357">
        <f>C20+C21</f>
        <v>445.19</v>
      </c>
      <c r="D19" s="357">
        <f>D20+D21</f>
        <v>83.9</v>
      </c>
      <c r="E19" s="234">
        <f t="shared" ref="E19:E20" si="7">SUM(B19:D19)</f>
        <v>779.04</v>
      </c>
      <c r="F19" s="357">
        <f>F21</f>
        <v>5143.7</v>
      </c>
      <c r="G19" s="357">
        <f>G21</f>
        <v>612.69000000000005</v>
      </c>
      <c r="H19" s="357">
        <f>H21</f>
        <v>462.67</v>
      </c>
      <c r="I19" s="235">
        <f t="shared" si="1"/>
        <v>6219.0599999999995</v>
      </c>
    </row>
    <row r="20" spans="1:9" s="62" customFormat="1" ht="9.1999999999999993" customHeight="1">
      <c r="A20" s="467" t="s">
        <v>486</v>
      </c>
      <c r="B20" s="468">
        <v>118.31</v>
      </c>
      <c r="C20" s="468">
        <v>211.57</v>
      </c>
      <c r="D20" s="468">
        <v>12.64</v>
      </c>
      <c r="E20" s="469">
        <f t="shared" si="7"/>
        <v>342.52</v>
      </c>
      <c r="F20" s="473">
        <v>5196.21</v>
      </c>
      <c r="G20" s="473">
        <v>533.65</v>
      </c>
      <c r="H20" s="473">
        <v>342.21</v>
      </c>
      <c r="I20" s="469">
        <f t="shared" si="1"/>
        <v>6072.07</v>
      </c>
    </row>
    <row r="21" spans="1:9" s="62" customFormat="1" ht="9.1999999999999993" customHeight="1">
      <c r="A21" s="231" t="s">
        <v>487</v>
      </c>
      <c r="B21" s="232">
        <v>131.63999999999999</v>
      </c>
      <c r="C21" s="232">
        <v>233.62</v>
      </c>
      <c r="D21" s="232">
        <v>71.260000000000005</v>
      </c>
      <c r="E21" s="820">
        <f t="shared" ref="E21:E22" si="8">SUM(B21:D21)</f>
        <v>436.52</v>
      </c>
      <c r="F21" s="243">
        <v>5143.7</v>
      </c>
      <c r="G21" s="243">
        <v>612.69000000000005</v>
      </c>
      <c r="H21" s="243">
        <v>462.67</v>
      </c>
      <c r="I21" s="238">
        <f t="shared" si="1"/>
        <v>6219.0599999999995</v>
      </c>
    </row>
    <row r="22" spans="1:9" s="62" customFormat="1" ht="9.1999999999999993" customHeight="1">
      <c r="A22" s="464" t="s">
        <v>1169</v>
      </c>
      <c r="B22" s="465">
        <f>B23+B24</f>
        <v>454.09999999999997</v>
      </c>
      <c r="C22" s="465">
        <f>C23+C24</f>
        <v>542.34999999999991</v>
      </c>
      <c r="D22" s="465">
        <f>D23+D24</f>
        <v>198.42999999999998</v>
      </c>
      <c r="E22" s="465">
        <f t="shared" si="8"/>
        <v>1194.8799999999999</v>
      </c>
      <c r="F22" s="465">
        <f>F24</f>
        <v>4855.47</v>
      </c>
      <c r="G22" s="465">
        <f>G24</f>
        <v>861.44</v>
      </c>
      <c r="H22" s="465">
        <f>H24</f>
        <v>533.95000000000005</v>
      </c>
      <c r="I22" s="470">
        <f t="shared" si="1"/>
        <v>6250.86</v>
      </c>
    </row>
    <row r="23" spans="1:9" s="62" customFormat="1" ht="9.1999999999999993" customHeight="1">
      <c r="A23" s="231" t="s">
        <v>486</v>
      </c>
      <c r="B23" s="232">
        <v>300.20999999999998</v>
      </c>
      <c r="C23" s="232">
        <v>256.01</v>
      </c>
      <c r="D23" s="232">
        <v>143.63999999999999</v>
      </c>
      <c r="E23" s="820">
        <f t="shared" ref="E23:E24" si="9">SUM(B23:D23)</f>
        <v>699.86</v>
      </c>
      <c r="F23" s="243">
        <v>4943.83</v>
      </c>
      <c r="G23" s="243">
        <v>670.37</v>
      </c>
      <c r="H23" s="243">
        <v>551.61</v>
      </c>
      <c r="I23" s="238">
        <f t="shared" si="1"/>
        <v>6165.8099999999995</v>
      </c>
    </row>
    <row r="24" spans="1:9" s="62" customFormat="1" ht="9.1999999999999993" customHeight="1">
      <c r="A24" s="467" t="s">
        <v>487</v>
      </c>
      <c r="B24" s="468">
        <v>153.88999999999999</v>
      </c>
      <c r="C24" s="468">
        <v>286.33999999999997</v>
      </c>
      <c r="D24" s="468">
        <v>54.79</v>
      </c>
      <c r="E24" s="469">
        <f t="shared" si="9"/>
        <v>495.02</v>
      </c>
      <c r="F24" s="473">
        <v>4855.47</v>
      </c>
      <c r="G24" s="473">
        <v>861.44</v>
      </c>
      <c r="H24" s="473">
        <v>533.95000000000005</v>
      </c>
      <c r="I24" s="469">
        <f t="shared" si="1"/>
        <v>6250.86</v>
      </c>
    </row>
    <row r="25" spans="1:9" s="62" customFormat="1" ht="9.1999999999999993" customHeight="1">
      <c r="A25" s="359" t="s">
        <v>1361</v>
      </c>
      <c r="B25" s="357">
        <f>B26+B27</f>
        <v>761.03</v>
      </c>
      <c r="C25" s="357">
        <f>C26+C27</f>
        <v>645.64</v>
      </c>
      <c r="D25" s="357">
        <f>D26+D27</f>
        <v>323.96000000000004</v>
      </c>
      <c r="E25" s="234">
        <f t="shared" ref="E25:E26" si="10">SUM(B25:D25)</f>
        <v>1730.63</v>
      </c>
      <c r="F25" s="357">
        <f>F27</f>
        <v>6333.41</v>
      </c>
      <c r="G25" s="357">
        <f>G27</f>
        <v>995.87</v>
      </c>
      <c r="H25" s="357">
        <f>H27</f>
        <v>1033.78</v>
      </c>
      <c r="I25" s="235">
        <f t="shared" si="1"/>
        <v>8363.06</v>
      </c>
    </row>
    <row r="26" spans="1:9" s="62" customFormat="1" ht="9.1999999999999993" customHeight="1">
      <c r="A26" s="467" t="s">
        <v>486</v>
      </c>
      <c r="B26" s="468">
        <v>343.74</v>
      </c>
      <c r="C26" s="468">
        <v>301.19</v>
      </c>
      <c r="D26" s="468">
        <v>152.61000000000001</v>
      </c>
      <c r="E26" s="469">
        <f t="shared" si="10"/>
        <v>797.54000000000008</v>
      </c>
      <c r="F26" s="473">
        <v>6085.39</v>
      </c>
      <c r="G26" s="473">
        <v>846.55</v>
      </c>
      <c r="H26" s="473">
        <v>818.3</v>
      </c>
      <c r="I26" s="469">
        <f t="shared" si="1"/>
        <v>7750.2400000000007</v>
      </c>
    </row>
    <row r="27" spans="1:9" s="62" customFormat="1" ht="9.1999999999999993" customHeight="1">
      <c r="A27" s="231" t="s">
        <v>487</v>
      </c>
      <c r="B27" s="820">
        <v>417.29</v>
      </c>
      <c r="C27" s="820">
        <v>344.45</v>
      </c>
      <c r="D27" s="820">
        <v>171.35</v>
      </c>
      <c r="E27" s="820">
        <f t="shared" ref="E27:E28" si="11">SUM(B27:D27)</f>
        <v>933.09</v>
      </c>
      <c r="F27" s="761">
        <v>6333.41</v>
      </c>
      <c r="G27" s="761">
        <v>995.87</v>
      </c>
      <c r="H27" s="761">
        <v>1033.78</v>
      </c>
      <c r="I27" s="238">
        <f t="shared" ref="I27:I46" si="12">SUM(F27:H27)</f>
        <v>8363.06</v>
      </c>
    </row>
    <row r="28" spans="1:9" s="62" customFormat="1" ht="9.1999999999999993" customHeight="1">
      <c r="A28" s="464" t="s">
        <v>1693</v>
      </c>
      <c r="B28" s="465">
        <f>B29+B32+B31</f>
        <v>233.83999999999997</v>
      </c>
      <c r="C28" s="465">
        <f>C29+C32+C31</f>
        <v>795.78</v>
      </c>
      <c r="D28" s="465">
        <f>D29+D32+D31</f>
        <v>450.71999999999997</v>
      </c>
      <c r="E28" s="465">
        <f t="shared" si="11"/>
        <v>1480.34</v>
      </c>
      <c r="F28" s="465">
        <f>F32</f>
        <v>6375.35</v>
      </c>
      <c r="G28" s="465">
        <f>G32</f>
        <v>964.83</v>
      </c>
      <c r="H28" s="465">
        <f>H32</f>
        <v>2000.05</v>
      </c>
      <c r="I28" s="470">
        <f t="shared" si="12"/>
        <v>9340.23</v>
      </c>
    </row>
    <row r="29" spans="1:9" s="62" customFormat="1" ht="9.1999999999999993" customHeight="1">
      <c r="A29" s="858" t="s">
        <v>486</v>
      </c>
      <c r="B29" s="820">
        <v>123.77</v>
      </c>
      <c r="C29" s="820">
        <v>352.66</v>
      </c>
      <c r="D29" s="820">
        <v>189.64</v>
      </c>
      <c r="E29" s="820">
        <f t="shared" ref="E29:E32" si="13">SUM(B29:D29)</f>
        <v>666.06999999999994</v>
      </c>
      <c r="F29" s="761">
        <v>6345.56</v>
      </c>
      <c r="G29" s="761">
        <v>969.93</v>
      </c>
      <c r="H29" s="761">
        <v>1278</v>
      </c>
      <c r="I29" s="238">
        <f t="shared" si="12"/>
        <v>8593.4900000000016</v>
      </c>
    </row>
    <row r="30" spans="1:9" s="62" customFormat="1" ht="9.1999999999999993" customHeight="1">
      <c r="A30" s="467" t="s">
        <v>487</v>
      </c>
      <c r="B30" s="468">
        <f>B31+B32</f>
        <v>110.07</v>
      </c>
      <c r="C30" s="468">
        <f>C31+C32</f>
        <v>443.12</v>
      </c>
      <c r="D30" s="468">
        <f>D31+D32</f>
        <v>261.08</v>
      </c>
      <c r="E30" s="469">
        <f t="shared" si="13"/>
        <v>814.27</v>
      </c>
      <c r="F30" s="473">
        <v>6375.35</v>
      </c>
      <c r="G30" s="473">
        <v>964.83</v>
      </c>
      <c r="H30" s="473">
        <v>2000.05</v>
      </c>
      <c r="I30" s="469">
        <f t="shared" si="12"/>
        <v>9340.23</v>
      </c>
    </row>
    <row r="31" spans="1:9" s="62" customFormat="1" ht="9.1999999999999993" customHeight="1">
      <c r="A31" s="1016" t="s">
        <v>2035</v>
      </c>
      <c r="B31" s="820">
        <v>71.7</v>
      </c>
      <c r="C31" s="820">
        <v>246.42</v>
      </c>
      <c r="D31" s="820">
        <v>129.38</v>
      </c>
      <c r="E31" s="820">
        <f t="shared" ref="E31" si="14">SUM(B31:D31)</f>
        <v>447.5</v>
      </c>
      <c r="F31" s="761">
        <v>6228.02</v>
      </c>
      <c r="G31" s="761">
        <v>850.53</v>
      </c>
      <c r="H31" s="761">
        <v>1768.18</v>
      </c>
      <c r="I31" s="238">
        <f t="shared" si="12"/>
        <v>8846.73</v>
      </c>
    </row>
    <row r="32" spans="1:9" s="62" customFormat="1" ht="9.1999999999999993" customHeight="1">
      <c r="A32" s="467" t="s">
        <v>2036</v>
      </c>
      <c r="B32" s="468">
        <v>38.369999999999997</v>
      </c>
      <c r="C32" s="468">
        <v>196.7</v>
      </c>
      <c r="D32" s="468">
        <v>131.69999999999999</v>
      </c>
      <c r="E32" s="469">
        <f t="shared" si="13"/>
        <v>366.77</v>
      </c>
      <c r="F32" s="473">
        <v>6375.35</v>
      </c>
      <c r="G32" s="473">
        <v>964.83</v>
      </c>
      <c r="H32" s="473">
        <v>2000.05</v>
      </c>
      <c r="I32" s="469">
        <f t="shared" si="12"/>
        <v>9340.23</v>
      </c>
    </row>
    <row r="33" spans="1:9" s="62" customFormat="1" ht="9.1999999999999993" customHeight="1">
      <c r="A33" s="359" t="s">
        <v>1795</v>
      </c>
      <c r="B33" s="357">
        <f>B34+B37</f>
        <v>528.03</v>
      </c>
      <c r="C33" s="357">
        <f>C34+C37</f>
        <v>1141.3400000000001</v>
      </c>
      <c r="D33" s="357">
        <f>D34+D37</f>
        <v>164.5</v>
      </c>
      <c r="E33" s="234">
        <f t="shared" ref="E33:E34" si="15">SUM(B33:D33)</f>
        <v>1833.8700000000001</v>
      </c>
      <c r="F33" s="924">
        <f>F39</f>
        <v>9027.07</v>
      </c>
      <c r="G33" s="924">
        <f>G39</f>
        <v>1326.11</v>
      </c>
      <c r="H33" s="924">
        <f>H39</f>
        <v>2147.9499999999998</v>
      </c>
      <c r="I33" s="235">
        <f t="shared" si="12"/>
        <v>12501.130000000001</v>
      </c>
    </row>
    <row r="34" spans="1:9" s="62" customFormat="1" ht="9.1999999999999993" customHeight="1">
      <c r="A34" s="467" t="s">
        <v>486</v>
      </c>
      <c r="B34" s="468">
        <f>B35+B36</f>
        <v>170.23000000000002</v>
      </c>
      <c r="C34" s="468">
        <f>C35+C36</f>
        <v>545.69000000000005</v>
      </c>
      <c r="D34" s="468">
        <f>D35+D36</f>
        <v>21.090000000000003</v>
      </c>
      <c r="E34" s="469">
        <f t="shared" si="15"/>
        <v>737.0100000000001</v>
      </c>
      <c r="F34" s="982">
        <v>6717.59</v>
      </c>
      <c r="G34" s="982">
        <v>1142.17</v>
      </c>
      <c r="H34" s="982">
        <v>2169.04</v>
      </c>
      <c r="I34" s="469">
        <f t="shared" si="12"/>
        <v>10028.799999999999</v>
      </c>
    </row>
    <row r="35" spans="1:9" s="62" customFormat="1" ht="9.1999999999999993" customHeight="1">
      <c r="A35" s="858" t="s">
        <v>2037</v>
      </c>
      <c r="B35" s="820">
        <v>51.06</v>
      </c>
      <c r="C35" s="820">
        <v>260.08</v>
      </c>
      <c r="D35" s="820">
        <v>29.96</v>
      </c>
      <c r="E35" s="820">
        <f t="shared" ref="E35:E46" si="16">SUM(B35:D35)</f>
        <v>341.09999999999997</v>
      </c>
      <c r="F35" s="761">
        <v>6372.25</v>
      </c>
      <c r="G35" s="761">
        <v>1086.7</v>
      </c>
      <c r="H35" s="761">
        <v>2120.88</v>
      </c>
      <c r="I35" s="238">
        <f t="shared" si="12"/>
        <v>9579.83</v>
      </c>
    </row>
    <row r="36" spans="1:9" s="62" customFormat="1" ht="9.1999999999999993" customHeight="1">
      <c r="A36" s="980" t="s">
        <v>2263</v>
      </c>
      <c r="B36" s="981">
        <v>119.17</v>
      </c>
      <c r="C36" s="981">
        <v>285.61</v>
      </c>
      <c r="D36" s="981">
        <v>-8.8699999999999992</v>
      </c>
      <c r="E36" s="469">
        <f t="shared" si="16"/>
        <v>395.91</v>
      </c>
      <c r="F36" s="982">
        <v>6717.59</v>
      </c>
      <c r="G36" s="982">
        <v>1142.17</v>
      </c>
      <c r="H36" s="982">
        <v>2169.04</v>
      </c>
      <c r="I36" s="469">
        <f t="shared" si="12"/>
        <v>10028.799999999999</v>
      </c>
    </row>
    <row r="37" spans="1:9" s="62" customFormat="1" ht="9.1999999999999993" customHeight="1">
      <c r="A37" s="360" t="s">
        <v>487</v>
      </c>
      <c r="B37" s="820">
        <f>B38+B39</f>
        <v>357.8</v>
      </c>
      <c r="C37" s="820">
        <f>C38+C39</f>
        <v>595.65</v>
      </c>
      <c r="D37" s="820">
        <f>D38+D39</f>
        <v>143.41</v>
      </c>
      <c r="E37" s="820">
        <f t="shared" si="16"/>
        <v>1096.8600000000001</v>
      </c>
      <c r="F37" s="1003">
        <v>9027.07</v>
      </c>
      <c r="G37" s="1003">
        <v>1326.11</v>
      </c>
      <c r="H37" s="1003">
        <v>2147.9499999999998</v>
      </c>
      <c r="I37" s="238">
        <f t="shared" si="12"/>
        <v>12501.130000000001</v>
      </c>
    </row>
    <row r="38" spans="1:9" s="62" customFormat="1" ht="9.1999999999999993" customHeight="1">
      <c r="A38" s="980" t="s">
        <v>2035</v>
      </c>
      <c r="B38" s="981">
        <v>195.69</v>
      </c>
      <c r="C38" s="981">
        <v>330.5</v>
      </c>
      <c r="D38" s="981">
        <v>80.73</v>
      </c>
      <c r="E38" s="469">
        <f t="shared" si="16"/>
        <v>606.92000000000007</v>
      </c>
      <c r="F38" s="982">
        <v>8996.68</v>
      </c>
      <c r="G38" s="982">
        <v>1401.28</v>
      </c>
      <c r="H38" s="982">
        <v>2287.89</v>
      </c>
      <c r="I38" s="469">
        <f t="shared" si="12"/>
        <v>12685.85</v>
      </c>
    </row>
    <row r="39" spans="1:9" s="62" customFormat="1" ht="9.1999999999999993" customHeight="1">
      <c r="A39" s="360" t="s">
        <v>2036</v>
      </c>
      <c r="B39" s="1017">
        <v>162.11000000000001</v>
      </c>
      <c r="C39" s="1017">
        <v>265.14999999999998</v>
      </c>
      <c r="D39" s="1017">
        <v>62.68</v>
      </c>
      <c r="E39" s="820">
        <f t="shared" si="16"/>
        <v>489.94</v>
      </c>
      <c r="F39" s="1003">
        <v>9027.07</v>
      </c>
      <c r="G39" s="1003">
        <v>1326.11</v>
      </c>
      <c r="H39" s="1003">
        <v>2147.9499999999998</v>
      </c>
      <c r="I39" s="238">
        <f t="shared" si="12"/>
        <v>12501.130000000001</v>
      </c>
    </row>
    <row r="40" spans="1:9" s="62" customFormat="1" ht="9.1999999999999993" customHeight="1">
      <c r="A40" s="1019" t="s">
        <v>1996</v>
      </c>
      <c r="B40" s="465">
        <f>B41+B44</f>
        <v>505.55</v>
      </c>
      <c r="C40" s="465">
        <f>C41+C44</f>
        <v>1154.4499999999998</v>
      </c>
      <c r="D40" s="465">
        <f>D41+D44</f>
        <v>343.53</v>
      </c>
      <c r="E40" s="465">
        <f t="shared" si="16"/>
        <v>2003.5299999999997</v>
      </c>
      <c r="F40" s="1065">
        <f>F46</f>
        <v>9549.39</v>
      </c>
      <c r="G40" s="1065">
        <f>G46</f>
        <v>1585.21</v>
      </c>
      <c r="H40" s="1065">
        <f>H46</f>
        <v>2311.54</v>
      </c>
      <c r="I40" s="470">
        <f t="shared" si="12"/>
        <v>13446.14</v>
      </c>
    </row>
    <row r="41" spans="1:9" s="62" customFormat="1" ht="9.1999999999999993" customHeight="1">
      <c r="A41" s="360" t="s">
        <v>486</v>
      </c>
      <c r="B41" s="1017">
        <f>B42+B43</f>
        <v>338.87</v>
      </c>
      <c r="C41" s="1017">
        <f>C42+C43</f>
        <v>549.08999999999992</v>
      </c>
      <c r="D41" s="1017">
        <f>D42+D43</f>
        <v>250.57</v>
      </c>
      <c r="E41" s="820">
        <f t="shared" si="16"/>
        <v>1138.53</v>
      </c>
      <c r="F41" s="1003">
        <v>9276.15</v>
      </c>
      <c r="G41" s="1003">
        <v>1325.46</v>
      </c>
      <c r="H41" s="1003">
        <v>2310.5300000000002</v>
      </c>
      <c r="I41" s="238">
        <f t="shared" si="12"/>
        <v>12912.140000000001</v>
      </c>
    </row>
    <row r="42" spans="1:9" s="62" customFormat="1" ht="9.1999999999999993" customHeight="1">
      <c r="A42" s="980" t="s">
        <v>2037</v>
      </c>
      <c r="B42" s="981">
        <v>224.91</v>
      </c>
      <c r="C42" s="981">
        <v>244.38</v>
      </c>
      <c r="D42" s="981">
        <v>128.79</v>
      </c>
      <c r="E42" s="469">
        <f t="shared" si="16"/>
        <v>598.07999999999993</v>
      </c>
      <c r="F42" s="982">
        <v>9211.5499999999993</v>
      </c>
      <c r="G42" s="982">
        <v>1257.28</v>
      </c>
      <c r="H42" s="982">
        <v>2141.58</v>
      </c>
      <c r="I42" s="469">
        <f t="shared" si="12"/>
        <v>12610.41</v>
      </c>
    </row>
    <row r="43" spans="1:9" s="62" customFormat="1" ht="9.1999999999999993" customHeight="1">
      <c r="A43" s="360" t="s">
        <v>2263</v>
      </c>
      <c r="B43" s="1017">
        <v>113.96</v>
      </c>
      <c r="C43" s="1017">
        <v>304.70999999999998</v>
      </c>
      <c r="D43" s="1017">
        <v>121.78</v>
      </c>
      <c r="E43" s="820">
        <f t="shared" si="16"/>
        <v>540.44999999999993</v>
      </c>
      <c r="F43" s="1003">
        <v>9276.15</v>
      </c>
      <c r="G43" s="1003">
        <v>1325.46</v>
      </c>
      <c r="H43" s="1003">
        <v>2310.5300000000002</v>
      </c>
      <c r="I43" s="238">
        <f t="shared" si="12"/>
        <v>12912.140000000001</v>
      </c>
    </row>
    <row r="44" spans="1:9" s="62" customFormat="1" ht="9.1999999999999993" customHeight="1">
      <c r="A44" s="980" t="s">
        <v>487</v>
      </c>
      <c r="B44" s="981">
        <f>B45+B46</f>
        <v>166.68</v>
      </c>
      <c r="C44" s="981">
        <f>C45+C46</f>
        <v>605.36</v>
      </c>
      <c r="D44" s="981">
        <f>D45+D46</f>
        <v>92.960000000000008</v>
      </c>
      <c r="E44" s="469">
        <f t="shared" si="16"/>
        <v>865</v>
      </c>
      <c r="F44" s="982">
        <f>F46</f>
        <v>9549.39</v>
      </c>
      <c r="G44" s="982">
        <f>G46</f>
        <v>1585.21</v>
      </c>
      <c r="H44" s="982">
        <f>H46</f>
        <v>2311.54</v>
      </c>
      <c r="I44" s="469">
        <f t="shared" si="12"/>
        <v>13446.14</v>
      </c>
    </row>
    <row r="45" spans="1:9" s="62" customFormat="1" ht="9.1999999999999993" customHeight="1">
      <c r="A45" s="360" t="s">
        <v>2035</v>
      </c>
      <c r="B45" s="1017">
        <v>90.29</v>
      </c>
      <c r="C45" s="1017">
        <v>299.86</v>
      </c>
      <c r="D45" s="1017">
        <v>20.53</v>
      </c>
      <c r="E45" s="820">
        <f t="shared" si="16"/>
        <v>410.68000000000006</v>
      </c>
      <c r="F45" s="1003">
        <v>9674.09</v>
      </c>
      <c r="G45" s="1003">
        <v>1567.33</v>
      </c>
      <c r="H45" s="1003">
        <v>2298.65</v>
      </c>
      <c r="I45" s="238">
        <f t="shared" si="12"/>
        <v>13540.07</v>
      </c>
    </row>
    <row r="46" spans="1:9" s="62" customFormat="1" ht="9.1999999999999993" customHeight="1">
      <c r="A46" s="980" t="s">
        <v>2036</v>
      </c>
      <c r="B46" s="981">
        <v>76.39</v>
      </c>
      <c r="C46" s="981">
        <v>305.5</v>
      </c>
      <c r="D46" s="981">
        <v>72.430000000000007</v>
      </c>
      <c r="E46" s="469">
        <f t="shared" si="16"/>
        <v>454.32</v>
      </c>
      <c r="F46" s="982">
        <v>9549.39</v>
      </c>
      <c r="G46" s="982">
        <v>1585.21</v>
      </c>
      <c r="H46" s="982">
        <v>2311.54</v>
      </c>
      <c r="I46" s="469">
        <f t="shared" si="12"/>
        <v>13446.14</v>
      </c>
    </row>
    <row r="47" spans="1:9" s="62" customFormat="1" ht="9.1999999999999993" customHeight="1">
      <c r="A47" s="359" t="s">
        <v>2092</v>
      </c>
      <c r="B47" s="1269">
        <f>B48+B51</f>
        <v>1006.74</v>
      </c>
      <c r="C47" s="1269">
        <f>C48+C51</f>
        <v>1253</v>
      </c>
      <c r="D47" s="1269">
        <f>D48+D51</f>
        <v>195.07</v>
      </c>
      <c r="E47" s="1269">
        <f t="shared" ref="E47" si="17">SUM(B47:D47)</f>
        <v>2454.81</v>
      </c>
      <c r="F47" s="1268">
        <f>F53</f>
        <v>9527.51</v>
      </c>
      <c r="G47" s="1268">
        <f>G53</f>
        <v>2699.93</v>
      </c>
      <c r="H47" s="1268">
        <f>H53</f>
        <v>2239.13</v>
      </c>
      <c r="I47" s="1270">
        <f t="shared" ref="I47" si="18">SUM(F47:H47)</f>
        <v>14466.57</v>
      </c>
    </row>
    <row r="48" spans="1:9" s="62" customFormat="1" ht="9.1999999999999993" customHeight="1">
      <c r="A48" s="980" t="s">
        <v>486</v>
      </c>
      <c r="B48" s="981">
        <f>B49+B50</f>
        <v>744.7</v>
      </c>
      <c r="C48" s="981">
        <f>C49+C50</f>
        <v>610.03</v>
      </c>
      <c r="D48" s="981">
        <f>D49+D50</f>
        <v>112.99000000000001</v>
      </c>
      <c r="E48" s="469">
        <f t="shared" ref="E48" si="19">SUM(B48:D48)</f>
        <v>1467.72</v>
      </c>
      <c r="F48" s="982">
        <v>10735.38</v>
      </c>
      <c r="G48" s="982">
        <v>1640.2</v>
      </c>
      <c r="H48" s="982">
        <v>2163.7399999999998</v>
      </c>
      <c r="I48" s="469">
        <f>SUM(F48:H48)</f>
        <v>14539.32</v>
      </c>
    </row>
    <row r="49" spans="1:9" s="62" customFormat="1" ht="9.1999999999999993" customHeight="1">
      <c r="A49" s="360" t="s">
        <v>2037</v>
      </c>
      <c r="B49" s="1017">
        <v>258.52</v>
      </c>
      <c r="C49" s="1017">
        <v>294.55</v>
      </c>
      <c r="D49" s="1017">
        <v>60.92</v>
      </c>
      <c r="E49" s="820">
        <f t="shared" ref="E49" si="20">SUM(B49:D49)</f>
        <v>613.9899999999999</v>
      </c>
      <c r="F49" s="1003">
        <v>9846.48</v>
      </c>
      <c r="G49" s="1003">
        <v>1517.16</v>
      </c>
      <c r="H49" s="1003">
        <v>2430.59</v>
      </c>
      <c r="I49" s="238">
        <f>SUM(F49:H49)</f>
        <v>13794.23</v>
      </c>
    </row>
    <row r="50" spans="1:9" s="62" customFormat="1" ht="9.1999999999999993" customHeight="1">
      <c r="A50" s="980" t="s">
        <v>2263</v>
      </c>
      <c r="B50" s="981">
        <v>486.18</v>
      </c>
      <c r="C50" s="981">
        <v>315.48</v>
      </c>
      <c r="D50" s="981">
        <v>52.07</v>
      </c>
      <c r="E50" s="981">
        <f t="shared" ref="E50" si="21">SUM(B50:D50)</f>
        <v>853.73000000000013</v>
      </c>
      <c r="F50" s="982">
        <v>10735.38</v>
      </c>
      <c r="G50" s="982">
        <v>1640.2</v>
      </c>
      <c r="H50" s="982">
        <v>2163.7399999999998</v>
      </c>
      <c r="I50" s="469">
        <f>SUM(F50:H50)</f>
        <v>14539.32</v>
      </c>
    </row>
    <row r="51" spans="1:9" s="603" customFormat="1" ht="9.1999999999999993" customHeight="1">
      <c r="A51" s="360" t="s">
        <v>487</v>
      </c>
      <c r="B51" s="1017">
        <f>B52+B53</f>
        <v>262.03999999999996</v>
      </c>
      <c r="C51" s="1017">
        <f>C52+C53</f>
        <v>642.97</v>
      </c>
      <c r="D51" s="1017">
        <f>D52+D53</f>
        <v>82.08</v>
      </c>
      <c r="E51" s="238">
        <f t="shared" ref="E51" si="22">SUM(B51:D51)</f>
        <v>987.09</v>
      </c>
      <c r="F51" s="1003">
        <f>F53</f>
        <v>9527.51</v>
      </c>
      <c r="G51" s="1003">
        <f>G53</f>
        <v>2699.93</v>
      </c>
      <c r="H51" s="1003">
        <f>H53</f>
        <v>2239.13</v>
      </c>
      <c r="I51" s="238">
        <f t="shared" ref="I51" si="23">SUM(F51:H51)</f>
        <v>14466.57</v>
      </c>
    </row>
    <row r="52" spans="1:9" s="62" customFormat="1" ht="9.1999999999999993" customHeight="1">
      <c r="A52" s="980" t="s">
        <v>2035</v>
      </c>
      <c r="B52" s="981">
        <v>140.35</v>
      </c>
      <c r="C52" s="981">
        <v>319.3</v>
      </c>
      <c r="D52" s="981">
        <v>36.19</v>
      </c>
      <c r="E52" s="468">
        <f t="shared" ref="E52:E60" si="24">SUM(B52:D52)</f>
        <v>495.84</v>
      </c>
      <c r="F52" s="982">
        <v>9528.91</v>
      </c>
      <c r="G52" s="982">
        <v>2705.15</v>
      </c>
      <c r="H52" s="982">
        <v>2144.1</v>
      </c>
      <c r="I52" s="468">
        <f>SUM(F52:H52)</f>
        <v>14378.16</v>
      </c>
    </row>
    <row r="53" spans="1:9" s="62" customFormat="1" ht="9.1999999999999993" customHeight="1">
      <c r="A53" s="360" t="s">
        <v>2036</v>
      </c>
      <c r="B53" s="1017">
        <v>121.69</v>
      </c>
      <c r="C53" s="1017">
        <v>323.67</v>
      </c>
      <c r="D53" s="1017">
        <v>45.89</v>
      </c>
      <c r="E53" s="1017">
        <f t="shared" si="24"/>
        <v>491.25</v>
      </c>
      <c r="F53" s="1003">
        <v>9527.51</v>
      </c>
      <c r="G53" s="1003">
        <v>2699.93</v>
      </c>
      <c r="H53" s="1003">
        <v>2239.13</v>
      </c>
      <c r="I53" s="820">
        <f>SUM(F53:H53)</f>
        <v>14466.57</v>
      </c>
    </row>
    <row r="54" spans="1:9" s="62" customFormat="1" ht="9.1999999999999993" customHeight="1">
      <c r="A54" s="464" t="s">
        <v>2320</v>
      </c>
      <c r="B54" s="1560">
        <f>B55+B58</f>
        <v>614.76</v>
      </c>
      <c r="C54" s="1560">
        <f>C55+C58</f>
        <v>1253.44</v>
      </c>
      <c r="D54" s="1560">
        <f>D55+D58</f>
        <v>712.24</v>
      </c>
      <c r="E54" s="1560">
        <f t="shared" ref="E54" si="25">SUM(B54:D54)</f>
        <v>2580.44</v>
      </c>
      <c r="F54" s="1065">
        <f>F60</f>
        <v>9895.7800000000007</v>
      </c>
      <c r="G54" s="1065">
        <f>G60</f>
        <v>3080.35</v>
      </c>
      <c r="H54" s="1065">
        <f>H60</f>
        <v>2815.21</v>
      </c>
      <c r="I54" s="1561">
        <f t="shared" ref="I54" si="26">SUM(F54:H54)</f>
        <v>15791.34</v>
      </c>
    </row>
    <row r="55" spans="1:9" s="603" customFormat="1" ht="9.1999999999999993" customHeight="1">
      <c r="A55" s="360" t="s">
        <v>486</v>
      </c>
      <c r="B55" s="1017">
        <f>B56+B57</f>
        <v>276.86</v>
      </c>
      <c r="C55" s="1017">
        <f>C56+C57</f>
        <v>636.45000000000005</v>
      </c>
      <c r="D55" s="1017">
        <f>D56+D57</f>
        <v>251.16000000000003</v>
      </c>
      <c r="E55" s="238">
        <f t="shared" ref="E55" si="27">SUM(B55:D55)</f>
        <v>1164.47</v>
      </c>
      <c r="F55" s="1003">
        <v>9601.6299999999992</v>
      </c>
      <c r="G55" s="1003">
        <v>2697.3</v>
      </c>
      <c r="H55" s="1003">
        <v>2258.29</v>
      </c>
      <c r="I55" s="238">
        <v>14557.220000000001</v>
      </c>
    </row>
    <row r="56" spans="1:9" s="603" customFormat="1" ht="10.5" customHeight="1">
      <c r="A56" s="980" t="s">
        <v>2037</v>
      </c>
      <c r="B56" s="981">
        <v>154.41</v>
      </c>
      <c r="C56" s="981">
        <v>291.88</v>
      </c>
      <c r="D56" s="981">
        <v>60.86</v>
      </c>
      <c r="E56" s="981">
        <f t="shared" si="24"/>
        <v>507.15</v>
      </c>
      <c r="F56" s="982">
        <v>9696.59</v>
      </c>
      <c r="G56" s="982">
        <v>2787.24</v>
      </c>
      <c r="H56" s="982">
        <v>2263.13</v>
      </c>
      <c r="I56" s="982">
        <f>SUM(F56:H56)</f>
        <v>14746.96</v>
      </c>
    </row>
    <row r="57" spans="1:9" s="603" customFormat="1" ht="9.75" customHeight="1">
      <c r="A57" s="360" t="s">
        <v>2263</v>
      </c>
      <c r="B57" s="1017">
        <v>122.45</v>
      </c>
      <c r="C57" s="1017">
        <v>344.57</v>
      </c>
      <c r="D57" s="1017">
        <v>190.3</v>
      </c>
      <c r="E57" s="1017">
        <f t="shared" si="24"/>
        <v>657.31999999999994</v>
      </c>
      <c r="F57" s="1003">
        <v>9601.6299999999992</v>
      </c>
      <c r="G57" s="1003">
        <v>2697.3</v>
      </c>
      <c r="H57" s="1003">
        <v>2258.29</v>
      </c>
      <c r="I57" s="1003">
        <f>SUM(F57:H57)</f>
        <v>14557.220000000001</v>
      </c>
    </row>
    <row r="58" spans="1:9" s="603" customFormat="1" ht="9.75" customHeight="1">
      <c r="A58" s="980" t="s">
        <v>487</v>
      </c>
      <c r="B58" s="981">
        <f>B59+B60</f>
        <v>337.9</v>
      </c>
      <c r="C58" s="981">
        <f>C59+C60</f>
        <v>616.99</v>
      </c>
      <c r="D58" s="981">
        <f>D59+D60</f>
        <v>461.08000000000004</v>
      </c>
      <c r="E58" s="469">
        <f t="shared" si="24"/>
        <v>1415.97</v>
      </c>
      <c r="F58" s="982">
        <v>9895.7800000000007</v>
      </c>
      <c r="G58" s="982">
        <v>3080.35</v>
      </c>
      <c r="H58" s="982">
        <v>2815.21</v>
      </c>
      <c r="I58" s="982">
        <v>15791.34</v>
      </c>
    </row>
    <row r="59" spans="1:9" s="603" customFormat="1" ht="10.5" customHeight="1">
      <c r="A59" s="360" t="s">
        <v>2035</v>
      </c>
      <c r="B59" s="1003">
        <v>111.22</v>
      </c>
      <c r="C59" s="1003">
        <v>324.95999999999998</v>
      </c>
      <c r="D59" s="1003">
        <v>67.599999999999994</v>
      </c>
      <c r="E59" s="1003">
        <f t="shared" si="24"/>
        <v>503.78</v>
      </c>
      <c r="F59" s="1003">
        <v>9470.5</v>
      </c>
      <c r="G59" s="1003">
        <v>2885.89</v>
      </c>
      <c r="H59" s="1003">
        <v>2283.5</v>
      </c>
      <c r="I59" s="1003">
        <f>SUM(F59:H59)</f>
        <v>14639.89</v>
      </c>
    </row>
    <row r="60" spans="1:9" s="603" customFormat="1" ht="10.5" customHeight="1" thickBot="1">
      <c r="A60" s="1559" t="s">
        <v>2036</v>
      </c>
      <c r="B60" s="1439">
        <v>226.68</v>
      </c>
      <c r="C60" s="1439">
        <v>292.02999999999997</v>
      </c>
      <c r="D60" s="1439">
        <v>393.48</v>
      </c>
      <c r="E60" s="1439">
        <f t="shared" si="24"/>
        <v>912.19</v>
      </c>
      <c r="F60" s="1439">
        <v>9895.7800000000007</v>
      </c>
      <c r="G60" s="1439">
        <v>3080.35</v>
      </c>
      <c r="H60" s="1439">
        <v>2815.21</v>
      </c>
      <c r="I60" s="1439">
        <f>SUM(F60:H60)</f>
        <v>15791.34</v>
      </c>
    </row>
    <row r="61" spans="1:9" s="340" customFormat="1" ht="10.5" customHeight="1">
      <c r="A61" s="359" t="s">
        <v>897</v>
      </c>
      <c r="B61" s="1955" t="s">
        <v>2281</v>
      </c>
      <c r="C61" s="1955"/>
      <c r="D61" s="1955"/>
      <c r="E61" s="1955"/>
      <c r="F61" s="1955"/>
      <c r="G61" s="1955"/>
      <c r="H61" s="1955"/>
      <c r="I61" s="1955"/>
    </row>
    <row r="62" spans="1:9" s="227" customFormat="1" ht="11.25" customHeight="1">
      <c r="A62" s="23"/>
      <c r="B62" s="1956" t="s">
        <v>2282</v>
      </c>
      <c r="C62" s="1956"/>
      <c r="D62" s="1956"/>
      <c r="E62" s="1956"/>
      <c r="F62" s="1956"/>
      <c r="G62" s="1956"/>
      <c r="H62" s="1956"/>
      <c r="I62" s="1956"/>
    </row>
    <row r="63" spans="1:9" ht="10.5" customHeight="1">
      <c r="A63" s="1"/>
      <c r="B63" s="94"/>
      <c r="C63" s="358"/>
      <c r="D63" s="18"/>
      <c r="E63" s="1111"/>
      <c r="F63" s="358"/>
      <c r="G63" s="358"/>
      <c r="H63" s="358"/>
      <c r="I63" s="358"/>
    </row>
    <row r="64" spans="1:9" ht="11.25" customHeight="1">
      <c r="A64" s="858" t="s">
        <v>1359</v>
      </c>
      <c r="B64" s="1954" t="s">
        <v>2173</v>
      </c>
      <c r="C64" s="1954"/>
      <c r="D64" s="1954"/>
      <c r="E64" s="1954"/>
      <c r="F64" s="44"/>
      <c r="G64" s="358"/>
      <c r="H64" s="358"/>
      <c r="I64" s="358"/>
    </row>
    <row r="65" spans="5:5" ht="10.5" customHeight="1"/>
    <row r="66" spans="5:5" ht="11.25" customHeight="1">
      <c r="E66" s="1018"/>
    </row>
    <row r="67" spans="5:5" ht="11.25" customHeight="1">
      <c r="E67" s="1018"/>
    </row>
    <row r="68" spans="5:5" ht="12" customHeight="1"/>
    <row r="69" spans="5:5" ht="11.25" customHeight="1"/>
    <row r="70" spans="5:5" ht="9.75" customHeight="1"/>
    <row r="71" spans="5:5" ht="11.25" customHeight="1"/>
    <row r="72" spans="5:5" ht="10.5" customHeight="1"/>
  </sheetData>
  <mergeCells count="8">
    <mergeCell ref="B64:E64"/>
    <mergeCell ref="B61:I61"/>
    <mergeCell ref="B62:I62"/>
    <mergeCell ref="A1:G2"/>
    <mergeCell ref="H3:I3"/>
    <mergeCell ref="A4:A5"/>
    <mergeCell ref="B4:E4"/>
    <mergeCell ref="F4:I4"/>
  </mergeCells>
  <phoneticPr fontId="57" type="noConversion"/>
  <pageMargins left="0.59055118110236204" right="0.511811023622047" top="0.39370078740157499" bottom="0.511811023622047" header="0" footer="0.39370078740157499"/>
  <pageSetup paperSize="141" firstPageNumber="31" orientation="portrait" useFirstPageNumber="1" r:id="rId1"/>
  <headerFooter>
    <oddFooter>&amp;C&amp;"Times New Roman,Regular"&amp;8&amp;P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5"/>
  <dimension ref="A1:AP52"/>
  <sheetViews>
    <sheetView zoomScale="130" zoomScaleNormal="130" workbookViewId="0">
      <pane xSplit="1" ySplit="6" topLeftCell="E38" activePane="bottomRight" state="frozen"/>
      <selection pane="topRight" activeCell="B1" sqref="B1"/>
      <selection pane="bottomLeft" activeCell="A7" sqref="A7"/>
      <selection pane="bottomRight" activeCell="O48" sqref="O48"/>
    </sheetView>
  </sheetViews>
  <sheetFormatPr defaultColWidth="9.140625" defaultRowHeight="9"/>
  <cols>
    <col min="1" max="1" width="9.85546875" style="94" customWidth="1"/>
    <col min="2" max="2" width="5.28515625" style="44" customWidth="1"/>
    <col min="3" max="3" width="6.85546875" style="44" customWidth="1"/>
    <col min="4" max="4" width="4.85546875" style="44" customWidth="1"/>
    <col min="5" max="5" width="5.5703125" style="44" customWidth="1"/>
    <col min="6" max="6" width="5.42578125" style="44" customWidth="1"/>
    <col min="7" max="7" width="8.85546875" style="44" customWidth="1"/>
    <col min="8" max="8" width="6.85546875" style="44" customWidth="1"/>
    <col min="9" max="9" width="5.42578125" style="44" customWidth="1"/>
    <col min="10" max="10" width="5.5703125" style="44" customWidth="1"/>
    <col min="11" max="12" width="6.42578125" style="44" customWidth="1"/>
    <col min="13" max="13" width="8.28515625" style="44" customWidth="1"/>
    <col min="14" max="14" width="8.85546875" style="44" customWidth="1"/>
    <col min="15" max="15" width="8.5703125" style="44" customWidth="1"/>
    <col min="16" max="16" width="9" style="44" customWidth="1"/>
    <col min="17" max="17" width="8.140625" style="44" customWidth="1"/>
    <col min="18" max="18" width="7.7109375" style="44" customWidth="1"/>
    <col min="19" max="19" width="7.42578125" style="44" customWidth="1"/>
    <col min="20" max="20" width="7.85546875" style="44" customWidth="1"/>
    <col min="21" max="21" width="9.5703125" style="94" customWidth="1"/>
    <col min="22" max="22" width="9.7109375" style="94" customWidth="1"/>
    <col min="23" max="24" width="6" style="44" customWidth="1"/>
    <col min="25" max="25" width="7.5703125" style="44" customWidth="1"/>
    <col min="26" max="26" width="6.85546875" style="44" customWidth="1"/>
    <col min="27" max="27" width="6.7109375" style="44" customWidth="1"/>
    <col min="28" max="28" width="6.85546875" style="44" customWidth="1"/>
    <col min="29" max="29" width="6.5703125" style="44" customWidth="1"/>
    <col min="30" max="30" width="7.28515625" style="44" customWidth="1"/>
    <col min="31" max="31" width="8.140625" style="44" customWidth="1"/>
    <col min="32" max="32" width="6.85546875" style="44" customWidth="1"/>
    <col min="33" max="33" width="6.42578125" style="44" customWidth="1"/>
    <col min="34" max="34" width="7.7109375" style="44" customWidth="1"/>
    <col min="35" max="35" width="7" style="44" customWidth="1"/>
    <col min="36" max="36" width="7.140625" style="44" customWidth="1"/>
    <col min="37" max="37" width="7.7109375" style="44" customWidth="1"/>
    <col min="38" max="38" width="7.85546875" style="44" customWidth="1"/>
    <col min="39" max="39" width="9.7109375" style="44" customWidth="1"/>
    <col min="40" max="40" width="7.7109375" style="44" customWidth="1"/>
    <col min="41" max="41" width="8.28515625" style="44" customWidth="1"/>
    <col min="42" max="42" width="9.7109375" style="94" customWidth="1"/>
    <col min="43" max="16384" width="9.140625" style="44"/>
  </cols>
  <sheetData>
    <row r="1" spans="1:42" s="31" customFormat="1" ht="15.75">
      <c r="A1" s="1980" t="s">
        <v>936</v>
      </c>
      <c r="B1" s="1980"/>
      <c r="C1" s="1980"/>
      <c r="D1" s="1980"/>
      <c r="E1" s="84"/>
      <c r="F1" s="84"/>
      <c r="J1" s="1978" t="s">
        <v>166</v>
      </c>
      <c r="K1" s="1978"/>
      <c r="L1" s="1978"/>
      <c r="M1" s="1964" t="s">
        <v>165</v>
      </c>
      <c r="N1" s="1964"/>
      <c r="S1" s="1978" t="s">
        <v>190</v>
      </c>
      <c r="T1" s="1978"/>
      <c r="U1" s="1978"/>
      <c r="AE1" s="1978" t="s">
        <v>166</v>
      </c>
      <c r="AF1" s="1978"/>
      <c r="AG1" s="1964" t="s">
        <v>165</v>
      </c>
      <c r="AH1" s="1964"/>
      <c r="AI1" s="1964"/>
      <c r="AN1" s="1978" t="s">
        <v>288</v>
      </c>
      <c r="AO1" s="1978"/>
      <c r="AP1" s="1978"/>
    </row>
    <row r="2" spans="1:42" s="29" customFormat="1" ht="11.25" customHeight="1">
      <c r="A2" s="85"/>
      <c r="B2" s="85"/>
      <c r="C2" s="85"/>
      <c r="D2" s="85"/>
      <c r="E2" s="86"/>
      <c r="F2" s="86"/>
      <c r="G2" s="87"/>
      <c r="H2" s="87"/>
      <c r="I2" s="87"/>
      <c r="M2" s="87"/>
      <c r="S2" s="85"/>
      <c r="T2" s="1970" t="s">
        <v>41</v>
      </c>
      <c r="U2" s="1970"/>
      <c r="AO2" s="1970" t="s">
        <v>41</v>
      </c>
      <c r="AP2" s="1970"/>
    </row>
    <row r="3" spans="1:42" s="162" customFormat="1" ht="13.5" customHeight="1">
      <c r="A3" s="1979" t="s">
        <v>38</v>
      </c>
      <c r="B3" s="1974" t="s">
        <v>225</v>
      </c>
      <c r="C3" s="1965"/>
      <c r="D3" s="1965"/>
      <c r="E3" s="1965"/>
      <c r="F3" s="1965"/>
      <c r="G3" s="1965"/>
      <c r="H3" s="1965"/>
      <c r="I3" s="1965"/>
      <c r="J3" s="1965"/>
      <c r="K3" s="1965"/>
      <c r="L3" s="1966"/>
      <c r="M3" s="1974" t="s">
        <v>226</v>
      </c>
      <c r="N3" s="1965"/>
      <c r="O3" s="1965"/>
      <c r="P3" s="1965"/>
      <c r="Q3" s="1965"/>
      <c r="R3" s="1965"/>
      <c r="S3" s="1965"/>
      <c r="T3" s="1966"/>
      <c r="U3" s="1979" t="s">
        <v>38</v>
      </c>
      <c r="V3" s="1971" t="s">
        <v>38</v>
      </c>
      <c r="W3" s="1974" t="s">
        <v>227</v>
      </c>
      <c r="X3" s="1965"/>
      <c r="Y3" s="1965"/>
      <c r="Z3" s="1965"/>
      <c r="AA3" s="1965"/>
      <c r="AB3" s="1965"/>
      <c r="AC3" s="1965"/>
      <c r="AD3" s="1965"/>
      <c r="AE3" s="1965"/>
      <c r="AF3" s="1965"/>
      <c r="AG3" s="1965"/>
      <c r="AH3" s="1965" t="s">
        <v>228</v>
      </c>
      <c r="AI3" s="1965"/>
      <c r="AJ3" s="1965"/>
      <c r="AK3" s="1965"/>
      <c r="AL3" s="1965"/>
      <c r="AM3" s="1965"/>
      <c r="AN3" s="1966"/>
      <c r="AO3" s="1967" t="s">
        <v>1513</v>
      </c>
      <c r="AP3" s="1979" t="s">
        <v>764</v>
      </c>
    </row>
    <row r="4" spans="1:42" s="111" customFormat="1" ht="11.25" customHeight="1">
      <c r="A4" s="1972"/>
      <c r="B4" s="1988" t="s">
        <v>1532</v>
      </c>
      <c r="C4" s="1982" t="s">
        <v>141</v>
      </c>
      <c r="D4" s="1981" t="s">
        <v>142</v>
      </c>
      <c r="E4" s="1981" t="s">
        <v>1212</v>
      </c>
      <c r="F4" s="1981" t="s">
        <v>143</v>
      </c>
      <c r="G4" s="1984" t="s">
        <v>1213</v>
      </c>
      <c r="H4" s="1982" t="s">
        <v>2217</v>
      </c>
      <c r="I4" s="1981" t="s">
        <v>1214</v>
      </c>
      <c r="J4" s="1981" t="s">
        <v>1215</v>
      </c>
      <c r="K4" s="1981" t="s">
        <v>955</v>
      </c>
      <c r="L4" s="1989" t="s">
        <v>286</v>
      </c>
      <c r="M4" s="1983" t="s">
        <v>774</v>
      </c>
      <c r="N4" s="1983"/>
      <c r="O4" s="1983"/>
      <c r="P4" s="1983" t="s">
        <v>282</v>
      </c>
      <c r="Q4" s="1983"/>
      <c r="R4" s="1983"/>
      <c r="S4" s="1983"/>
      <c r="T4" s="1983"/>
      <c r="U4" s="1972"/>
      <c r="V4" s="1972"/>
      <c r="W4" s="1975" t="s">
        <v>287</v>
      </c>
      <c r="X4" s="1976"/>
      <c r="Y4" s="1976"/>
      <c r="Z4" s="1976"/>
      <c r="AA4" s="1976"/>
      <c r="AB4" s="1976"/>
      <c r="AC4" s="1976"/>
      <c r="AD4" s="1976"/>
      <c r="AE4" s="1976"/>
      <c r="AF4" s="1976"/>
      <c r="AG4" s="1976"/>
      <c r="AH4" s="1976"/>
      <c r="AI4" s="1976"/>
      <c r="AJ4" s="1976"/>
      <c r="AK4" s="1976"/>
      <c r="AL4" s="1976"/>
      <c r="AM4" s="1976"/>
      <c r="AN4" s="1977"/>
      <c r="AO4" s="1968"/>
      <c r="AP4" s="1972"/>
    </row>
    <row r="5" spans="1:42" s="89" customFormat="1" ht="44.25" customHeight="1">
      <c r="A5" s="1972"/>
      <c r="B5" s="1988"/>
      <c r="C5" s="1982"/>
      <c r="D5" s="1981"/>
      <c r="E5" s="1981"/>
      <c r="F5" s="1981"/>
      <c r="G5" s="1985"/>
      <c r="H5" s="1982"/>
      <c r="I5" s="1981"/>
      <c r="J5" s="1981"/>
      <c r="K5" s="1981"/>
      <c r="L5" s="1989"/>
      <c r="M5" s="1281" t="s">
        <v>775</v>
      </c>
      <c r="N5" s="42" t="s">
        <v>776</v>
      </c>
      <c r="O5" s="42" t="s">
        <v>951</v>
      </c>
      <c r="P5" s="42" t="s">
        <v>2079</v>
      </c>
      <c r="Q5" s="42" t="s">
        <v>777</v>
      </c>
      <c r="R5" s="42" t="s">
        <v>1216</v>
      </c>
      <c r="S5" s="42" t="s">
        <v>1217</v>
      </c>
      <c r="T5" s="169" t="s">
        <v>1270</v>
      </c>
      <c r="U5" s="1972"/>
      <c r="V5" s="1972"/>
      <c r="W5" s="170" t="s">
        <v>891</v>
      </c>
      <c r="X5" s="210" t="s">
        <v>161</v>
      </c>
      <c r="Y5" s="210" t="s">
        <v>1510</v>
      </c>
      <c r="Z5" s="210" t="s">
        <v>1268</v>
      </c>
      <c r="AA5" s="210" t="s">
        <v>1218</v>
      </c>
      <c r="AB5" s="210" t="s">
        <v>284</v>
      </c>
      <c r="AC5" s="210" t="s">
        <v>1215</v>
      </c>
      <c r="AD5" s="210" t="s">
        <v>162</v>
      </c>
      <c r="AE5" s="1124" t="s">
        <v>2218</v>
      </c>
      <c r="AF5" s="210" t="s">
        <v>163</v>
      </c>
      <c r="AG5" s="210" t="s">
        <v>778</v>
      </c>
      <c r="AH5" s="1123" t="s">
        <v>2219</v>
      </c>
      <c r="AI5" s="42" t="s">
        <v>1219</v>
      </c>
      <c r="AJ5" s="42" t="s">
        <v>1220</v>
      </c>
      <c r="AK5" s="42" t="s">
        <v>285</v>
      </c>
      <c r="AL5" s="42" t="s">
        <v>1269</v>
      </c>
      <c r="AM5" s="42" t="s">
        <v>1512</v>
      </c>
      <c r="AN5" s="169" t="s">
        <v>1511</v>
      </c>
      <c r="AO5" s="1969"/>
      <c r="AP5" s="1972"/>
    </row>
    <row r="6" spans="1:42" s="95" customFormat="1" ht="12" customHeight="1">
      <c r="A6" s="1973"/>
      <c r="B6" s="91">
        <v>1</v>
      </c>
      <c r="C6" s="75">
        <v>2</v>
      </c>
      <c r="D6" s="75">
        <v>3</v>
      </c>
      <c r="E6" s="75">
        <v>4</v>
      </c>
      <c r="F6" s="75">
        <v>5</v>
      </c>
      <c r="G6" s="75">
        <v>6</v>
      </c>
      <c r="H6" s="75">
        <v>7</v>
      </c>
      <c r="I6" s="75">
        <v>8</v>
      </c>
      <c r="J6" s="75">
        <v>9</v>
      </c>
      <c r="K6" s="75">
        <v>10</v>
      </c>
      <c r="L6" s="75">
        <v>11</v>
      </c>
      <c r="M6" s="76">
        <v>12</v>
      </c>
      <c r="N6" s="75">
        <v>13</v>
      </c>
      <c r="O6" s="75" t="s">
        <v>952</v>
      </c>
      <c r="P6" s="75">
        <v>15</v>
      </c>
      <c r="Q6" s="75">
        <v>16</v>
      </c>
      <c r="R6" s="75">
        <v>17</v>
      </c>
      <c r="S6" s="75">
        <v>18</v>
      </c>
      <c r="T6" s="76">
        <v>19</v>
      </c>
      <c r="U6" s="1973"/>
      <c r="V6" s="1973"/>
      <c r="W6" s="91">
        <v>20</v>
      </c>
      <c r="X6" s="75">
        <v>21</v>
      </c>
      <c r="Y6" s="75">
        <v>22</v>
      </c>
      <c r="Z6" s="75">
        <v>23</v>
      </c>
      <c r="AA6" s="75">
        <v>24</v>
      </c>
      <c r="AB6" s="75">
        <v>25</v>
      </c>
      <c r="AC6" s="75">
        <v>26</v>
      </c>
      <c r="AD6" s="75">
        <v>27</v>
      </c>
      <c r="AE6" s="75">
        <v>28</v>
      </c>
      <c r="AF6" s="75">
        <v>29</v>
      </c>
      <c r="AG6" s="75">
        <v>30</v>
      </c>
      <c r="AH6" s="75">
        <v>31</v>
      </c>
      <c r="AI6" s="75">
        <v>32</v>
      </c>
      <c r="AJ6" s="75">
        <v>33</v>
      </c>
      <c r="AK6" s="75">
        <v>34</v>
      </c>
      <c r="AL6" s="75">
        <v>35</v>
      </c>
      <c r="AM6" s="75">
        <v>36</v>
      </c>
      <c r="AN6" s="75" t="s">
        <v>953</v>
      </c>
      <c r="AO6" s="92" t="s">
        <v>954</v>
      </c>
      <c r="AP6" s="1973"/>
    </row>
    <row r="7" spans="1:42" s="81" customFormat="1" ht="12.6" customHeight="1">
      <c r="A7" s="474" t="s">
        <v>114</v>
      </c>
      <c r="B7" s="475">
        <v>923</v>
      </c>
      <c r="C7" s="446">
        <v>2348</v>
      </c>
      <c r="D7" s="446">
        <v>82</v>
      </c>
      <c r="E7" s="446">
        <v>1963</v>
      </c>
      <c r="F7" s="446">
        <v>3131</v>
      </c>
      <c r="G7" s="446">
        <v>67257</v>
      </c>
      <c r="H7" s="475">
        <v>661</v>
      </c>
      <c r="I7" s="475">
        <v>0</v>
      </c>
      <c r="J7" s="475">
        <v>712</v>
      </c>
      <c r="K7" s="475">
        <v>20421</v>
      </c>
      <c r="L7" s="475">
        <v>97498</v>
      </c>
      <c r="M7" s="475">
        <v>1645.4</v>
      </c>
      <c r="N7" s="475">
        <v>4428.7</v>
      </c>
      <c r="O7" s="475">
        <v>6070.1</v>
      </c>
      <c r="P7" s="475">
        <v>664.1</v>
      </c>
      <c r="Q7" s="475">
        <v>428</v>
      </c>
      <c r="R7" s="475">
        <v>1095</v>
      </c>
      <c r="S7" s="475">
        <v>5951.6</v>
      </c>
      <c r="T7" s="475">
        <v>1610</v>
      </c>
      <c r="U7" s="476" t="s">
        <v>114</v>
      </c>
      <c r="V7" s="474" t="s">
        <v>114</v>
      </c>
      <c r="W7" s="442">
        <v>2843</v>
      </c>
      <c r="X7" s="442">
        <v>2160</v>
      </c>
      <c r="Y7" s="442">
        <v>4011</v>
      </c>
      <c r="Z7" s="442">
        <v>13729</v>
      </c>
      <c r="AA7" s="442">
        <v>6604.8</v>
      </c>
      <c r="AB7" s="442">
        <v>548</v>
      </c>
      <c r="AC7" s="442">
        <v>6559.5</v>
      </c>
      <c r="AD7" s="442">
        <v>1779</v>
      </c>
      <c r="AE7" s="442">
        <v>5779</v>
      </c>
      <c r="AF7" s="442">
        <v>8880</v>
      </c>
      <c r="AG7" s="442">
        <v>5448</v>
      </c>
      <c r="AH7" s="442">
        <v>14444</v>
      </c>
      <c r="AI7" s="477">
        <v>774</v>
      </c>
      <c r="AJ7" s="477">
        <v>10336</v>
      </c>
      <c r="AK7" s="477">
        <v>9764</v>
      </c>
      <c r="AL7" s="477">
        <v>45346.400000000001</v>
      </c>
      <c r="AM7" s="477">
        <v>148752.4</v>
      </c>
      <c r="AN7" s="475">
        <v>154822.5</v>
      </c>
      <c r="AO7" s="475">
        <v>-57324.5</v>
      </c>
      <c r="AP7" s="460" t="s">
        <v>114</v>
      </c>
    </row>
    <row r="8" spans="1:42" s="81" customFormat="1" ht="12.6" customHeight="1">
      <c r="A8" s="1143" t="s">
        <v>110</v>
      </c>
      <c r="B8" s="1144">
        <v>1328</v>
      </c>
      <c r="C8" s="41">
        <v>3656</v>
      </c>
      <c r="D8" s="41">
        <v>37</v>
      </c>
      <c r="E8" s="41">
        <v>2431</v>
      </c>
      <c r="F8" s="41">
        <v>3208</v>
      </c>
      <c r="G8" s="41">
        <v>67248</v>
      </c>
      <c r="H8" s="1144">
        <v>993</v>
      </c>
      <c r="I8" s="1144">
        <v>0</v>
      </c>
      <c r="J8" s="1144">
        <v>236</v>
      </c>
      <c r="K8" s="1144">
        <v>23011</v>
      </c>
      <c r="L8" s="1144">
        <v>102148</v>
      </c>
      <c r="M8" s="1144">
        <v>522</v>
      </c>
      <c r="N8" s="1144">
        <v>5267</v>
      </c>
      <c r="O8" s="1144">
        <v>5789</v>
      </c>
      <c r="P8" s="1144">
        <v>736</v>
      </c>
      <c r="Q8" s="1144">
        <v>755</v>
      </c>
      <c r="R8" s="1144">
        <v>900</v>
      </c>
      <c r="S8" s="1144">
        <v>7260</v>
      </c>
      <c r="T8" s="1144">
        <v>2422</v>
      </c>
      <c r="U8" s="1145" t="s">
        <v>110</v>
      </c>
      <c r="V8" s="1143" t="s">
        <v>110</v>
      </c>
      <c r="W8" s="35">
        <v>4497</v>
      </c>
      <c r="X8" s="35">
        <v>2305</v>
      </c>
      <c r="Y8" s="35">
        <v>3700</v>
      </c>
      <c r="Z8" s="35">
        <v>13984</v>
      </c>
      <c r="AA8" s="35">
        <v>6722</v>
      </c>
      <c r="AB8" s="35">
        <v>713</v>
      </c>
      <c r="AC8" s="35">
        <v>4960</v>
      </c>
      <c r="AD8" s="35">
        <v>1899</v>
      </c>
      <c r="AE8" s="35">
        <v>6683</v>
      </c>
      <c r="AF8" s="35">
        <v>9959</v>
      </c>
      <c r="AG8" s="35">
        <v>4971</v>
      </c>
      <c r="AH8" s="35">
        <v>13742</v>
      </c>
      <c r="AI8" s="1133">
        <v>814</v>
      </c>
      <c r="AJ8" s="1133">
        <v>10052</v>
      </c>
      <c r="AK8" s="1133">
        <v>11032</v>
      </c>
      <c r="AL8" s="1133">
        <v>50346</v>
      </c>
      <c r="AM8" s="1133">
        <v>158452</v>
      </c>
      <c r="AN8" s="1144">
        <v>164241</v>
      </c>
      <c r="AO8" s="1144">
        <v>-62093</v>
      </c>
      <c r="AP8" s="100" t="s">
        <v>110</v>
      </c>
    </row>
    <row r="9" spans="1:42" s="81" customFormat="1" ht="12.6" customHeight="1">
      <c r="A9" s="474" t="s">
        <v>253</v>
      </c>
      <c r="B9" s="475">
        <v>1888</v>
      </c>
      <c r="C9" s="446">
        <v>4750</v>
      </c>
      <c r="D9" s="446">
        <v>19</v>
      </c>
      <c r="E9" s="446">
        <v>3365</v>
      </c>
      <c r="F9" s="446">
        <v>4149</v>
      </c>
      <c r="G9" s="446">
        <v>96711</v>
      </c>
      <c r="H9" s="475">
        <v>851</v>
      </c>
      <c r="I9" s="475">
        <v>0</v>
      </c>
      <c r="J9" s="475">
        <v>182</v>
      </c>
      <c r="K9" s="475">
        <v>32516.062909</v>
      </c>
      <c r="L9" s="475">
        <v>144431.062909</v>
      </c>
      <c r="M9" s="475">
        <v>5943</v>
      </c>
      <c r="N9" s="475">
        <v>7721</v>
      </c>
      <c r="O9" s="475">
        <v>13664</v>
      </c>
      <c r="P9" s="475">
        <v>1153</v>
      </c>
      <c r="Q9" s="475">
        <v>898</v>
      </c>
      <c r="R9" s="475">
        <v>736</v>
      </c>
      <c r="S9" s="475">
        <v>7600</v>
      </c>
      <c r="T9" s="475">
        <v>2073</v>
      </c>
      <c r="U9" s="476" t="s">
        <v>253</v>
      </c>
      <c r="V9" s="474" t="s">
        <v>253</v>
      </c>
      <c r="W9" s="442">
        <v>4667</v>
      </c>
      <c r="X9" s="442">
        <v>3182</v>
      </c>
      <c r="Y9" s="442">
        <v>6350</v>
      </c>
      <c r="Z9" s="442">
        <v>23060</v>
      </c>
      <c r="AA9" s="442">
        <v>8938</v>
      </c>
      <c r="AB9" s="442">
        <v>824</v>
      </c>
      <c r="AC9" s="442">
        <v>8817</v>
      </c>
      <c r="AD9" s="442">
        <v>2371</v>
      </c>
      <c r="AE9" s="442">
        <v>9278</v>
      </c>
      <c r="AF9" s="442">
        <v>19115</v>
      </c>
      <c r="AG9" s="442">
        <v>9927</v>
      </c>
      <c r="AH9" s="442">
        <v>19102</v>
      </c>
      <c r="AI9" s="477">
        <v>1283</v>
      </c>
      <c r="AJ9" s="477">
        <v>14290</v>
      </c>
      <c r="AK9" s="477">
        <v>16589</v>
      </c>
      <c r="AL9" s="477">
        <v>66111</v>
      </c>
      <c r="AM9" s="477">
        <v>226364</v>
      </c>
      <c r="AN9" s="475">
        <v>240028</v>
      </c>
      <c r="AO9" s="475">
        <v>-95596.937090999985</v>
      </c>
      <c r="AP9" s="460" t="s">
        <v>253</v>
      </c>
    </row>
    <row r="10" spans="1:42" s="95" customFormat="1" ht="12.6" customHeight="1">
      <c r="A10" s="378" t="s">
        <v>1169</v>
      </c>
      <c r="B10" s="98">
        <v>1866</v>
      </c>
      <c r="C10" s="98">
        <v>5200</v>
      </c>
      <c r="D10" s="98">
        <v>28</v>
      </c>
      <c r="E10" s="98">
        <v>4115</v>
      </c>
      <c r="F10" s="98">
        <v>4758</v>
      </c>
      <c r="G10" s="98">
        <v>122701</v>
      </c>
      <c r="H10" s="98">
        <v>975</v>
      </c>
      <c r="I10" s="98">
        <v>0</v>
      </c>
      <c r="J10" s="98">
        <v>130</v>
      </c>
      <c r="K10" s="1146">
        <v>40540.264029999998</v>
      </c>
      <c r="L10" s="1146">
        <v>180313.26402999999</v>
      </c>
      <c r="M10" s="98">
        <v>2188</v>
      </c>
      <c r="N10" s="98">
        <v>4763</v>
      </c>
      <c r="O10" s="98">
        <v>6951</v>
      </c>
      <c r="P10" s="98">
        <v>1750</v>
      </c>
      <c r="Q10" s="98">
        <v>1080</v>
      </c>
      <c r="R10" s="98">
        <v>1420</v>
      </c>
      <c r="S10" s="98">
        <v>13051</v>
      </c>
      <c r="T10" s="98">
        <v>1911</v>
      </c>
      <c r="U10" s="1031" t="s">
        <v>1169</v>
      </c>
      <c r="V10" s="378" t="s">
        <v>1169</v>
      </c>
      <c r="W10" s="98">
        <v>9390</v>
      </c>
      <c r="X10" s="98">
        <v>3994</v>
      </c>
      <c r="Y10" s="98">
        <v>8387</v>
      </c>
      <c r="Z10" s="98">
        <v>30484</v>
      </c>
      <c r="AA10" s="98">
        <v>9575</v>
      </c>
      <c r="AB10" s="98">
        <v>934</v>
      </c>
      <c r="AC10" s="98">
        <v>10907</v>
      </c>
      <c r="AD10" s="98">
        <v>2977</v>
      </c>
      <c r="AE10" s="98">
        <v>10835</v>
      </c>
      <c r="AF10" s="98">
        <v>16601</v>
      </c>
      <c r="AG10" s="98">
        <v>10833</v>
      </c>
      <c r="AH10" s="98">
        <v>24168</v>
      </c>
      <c r="AI10" s="98">
        <v>3250</v>
      </c>
      <c r="AJ10" s="98">
        <v>17637</v>
      </c>
      <c r="AK10" s="98">
        <v>15765</v>
      </c>
      <c r="AL10" s="98">
        <v>79063</v>
      </c>
      <c r="AM10" s="98">
        <v>274012</v>
      </c>
      <c r="AN10" s="98">
        <v>280963</v>
      </c>
      <c r="AO10" s="1146">
        <v>-100649.73597000001</v>
      </c>
      <c r="AP10" s="1031" t="s">
        <v>1169</v>
      </c>
    </row>
    <row r="11" spans="1:42" s="405" customFormat="1" ht="12.6" customHeight="1">
      <c r="A11" s="474" t="s">
        <v>1361</v>
      </c>
      <c r="B11" s="475">
        <v>1699</v>
      </c>
      <c r="C11" s="446">
        <v>5989</v>
      </c>
      <c r="D11" s="446">
        <v>17</v>
      </c>
      <c r="E11" s="446">
        <v>4778</v>
      </c>
      <c r="F11" s="446">
        <v>3399</v>
      </c>
      <c r="G11" s="446">
        <v>128285</v>
      </c>
      <c r="H11" s="475">
        <v>431</v>
      </c>
      <c r="I11" s="475">
        <v>0</v>
      </c>
      <c r="J11" s="475">
        <v>0</v>
      </c>
      <c r="K11" s="475">
        <v>44838.842640000003</v>
      </c>
      <c r="L11" s="475">
        <v>189436.84263999999</v>
      </c>
      <c r="M11" s="475">
        <v>239</v>
      </c>
      <c r="N11" s="475">
        <v>5575</v>
      </c>
      <c r="O11" s="475">
        <v>5814</v>
      </c>
      <c r="P11" s="475">
        <v>1708</v>
      </c>
      <c r="Q11" s="475">
        <v>947</v>
      </c>
      <c r="R11" s="475">
        <v>1932</v>
      </c>
      <c r="S11" s="475">
        <v>11185</v>
      </c>
      <c r="T11" s="475">
        <v>3373</v>
      </c>
      <c r="U11" s="476" t="s">
        <v>1361</v>
      </c>
      <c r="V11" s="474" t="s">
        <v>1361</v>
      </c>
      <c r="W11" s="442">
        <v>5853</v>
      </c>
      <c r="X11" s="442">
        <v>3888</v>
      </c>
      <c r="Y11" s="442">
        <v>8801</v>
      </c>
      <c r="Z11" s="442">
        <v>29122</v>
      </c>
      <c r="AA11" s="442">
        <v>10405</v>
      </c>
      <c r="AB11" s="442">
        <v>952</v>
      </c>
      <c r="AC11" s="442">
        <v>9563</v>
      </c>
      <c r="AD11" s="442">
        <v>3190</v>
      </c>
      <c r="AE11" s="442">
        <v>10905</v>
      </c>
      <c r="AF11" s="442">
        <v>16004</v>
      </c>
      <c r="AG11" s="442">
        <v>10849</v>
      </c>
      <c r="AH11" s="442">
        <v>26133</v>
      </c>
      <c r="AI11" s="477">
        <v>3627</v>
      </c>
      <c r="AJ11" s="477">
        <v>18642</v>
      </c>
      <c r="AK11" s="477">
        <v>14672</v>
      </c>
      <c r="AL11" s="477">
        <v>74763</v>
      </c>
      <c r="AM11" s="477">
        <v>266514</v>
      </c>
      <c r="AN11" s="475">
        <v>272328</v>
      </c>
      <c r="AO11" s="475">
        <v>-82891.157360000012</v>
      </c>
      <c r="AP11" s="460" t="s">
        <v>1361</v>
      </c>
    </row>
    <row r="12" spans="1:42" s="391" customFormat="1" ht="12.6" customHeight="1">
      <c r="A12" s="732" t="s">
        <v>1693</v>
      </c>
      <c r="B12" s="39">
        <v>948</v>
      </c>
      <c r="C12" s="39">
        <v>5315</v>
      </c>
      <c r="D12" s="39">
        <v>17</v>
      </c>
      <c r="E12" s="39">
        <v>3759</v>
      </c>
      <c r="F12" s="39">
        <v>4098</v>
      </c>
      <c r="G12" s="39">
        <v>146626</v>
      </c>
      <c r="H12" s="39">
        <v>134</v>
      </c>
      <c r="I12" s="39">
        <v>0</v>
      </c>
      <c r="J12" s="39">
        <v>0</v>
      </c>
      <c r="K12" s="212">
        <v>52476.544890000005</v>
      </c>
      <c r="L12" s="212">
        <v>213373.54489000002</v>
      </c>
      <c r="M12" s="39">
        <v>2701</v>
      </c>
      <c r="N12" s="39">
        <v>8685</v>
      </c>
      <c r="O12" s="39">
        <v>11386</v>
      </c>
      <c r="P12" s="39">
        <v>2249</v>
      </c>
      <c r="Q12" s="39">
        <v>1423</v>
      </c>
      <c r="R12" s="39">
        <v>3952</v>
      </c>
      <c r="S12" s="39">
        <v>13686</v>
      </c>
      <c r="T12" s="39">
        <v>3536</v>
      </c>
      <c r="U12" s="733" t="s">
        <v>1693</v>
      </c>
      <c r="V12" s="732" t="s">
        <v>1693</v>
      </c>
      <c r="W12" s="39">
        <v>7014</v>
      </c>
      <c r="X12" s="39">
        <v>4812</v>
      </c>
      <c r="Y12" s="39">
        <v>7218</v>
      </c>
      <c r="Z12" s="39">
        <v>31628</v>
      </c>
      <c r="AA12" s="39">
        <v>11644</v>
      </c>
      <c r="AB12" s="39">
        <v>931</v>
      </c>
      <c r="AC12" s="39">
        <v>7977</v>
      </c>
      <c r="AD12" s="39">
        <v>4185</v>
      </c>
      <c r="AE12" s="39">
        <v>13937</v>
      </c>
      <c r="AF12" s="39">
        <v>18850</v>
      </c>
      <c r="AG12" s="39">
        <v>11705</v>
      </c>
      <c r="AH12" s="39">
        <v>27853</v>
      </c>
      <c r="AI12" s="39">
        <v>3833</v>
      </c>
      <c r="AJ12" s="39">
        <v>20654</v>
      </c>
      <c r="AK12" s="39">
        <v>18122</v>
      </c>
      <c r="AL12" s="39">
        <v>89977</v>
      </c>
      <c r="AM12" s="39">
        <v>305186</v>
      </c>
      <c r="AN12" s="39">
        <v>316572</v>
      </c>
      <c r="AO12" s="212">
        <v>-103198.45510999998</v>
      </c>
      <c r="AP12" s="733" t="s">
        <v>1693</v>
      </c>
    </row>
    <row r="13" spans="1:42" s="361" customFormat="1" ht="12.6" customHeight="1">
      <c r="A13" s="474" t="s">
        <v>1795</v>
      </c>
      <c r="B13" s="475">
        <v>856</v>
      </c>
      <c r="C13" s="475">
        <v>5351</v>
      </c>
      <c r="D13" s="475">
        <v>33</v>
      </c>
      <c r="E13" s="475">
        <v>3081</v>
      </c>
      <c r="F13" s="475">
        <v>3988</v>
      </c>
      <c r="G13" s="475">
        <v>156045</v>
      </c>
      <c r="H13" s="475">
        <v>291</v>
      </c>
      <c r="I13" s="475">
        <v>0</v>
      </c>
      <c r="J13" s="475">
        <v>0</v>
      </c>
      <c r="K13" s="475">
        <v>56840.869556799982</v>
      </c>
      <c r="L13" s="475">
        <v>226485.8695568</v>
      </c>
      <c r="M13" s="475">
        <v>4309.6000000000004</v>
      </c>
      <c r="N13" s="475">
        <v>7914.6</v>
      </c>
      <c r="O13" s="475">
        <v>12224.2</v>
      </c>
      <c r="P13" s="475">
        <v>2409</v>
      </c>
      <c r="Q13" s="475">
        <v>1668</v>
      </c>
      <c r="R13" s="475">
        <v>2745</v>
      </c>
      <c r="S13" s="475">
        <v>12223</v>
      </c>
      <c r="T13" s="475">
        <v>3057</v>
      </c>
      <c r="U13" s="476" t="s">
        <v>1795</v>
      </c>
      <c r="V13" s="474" t="s">
        <v>1795</v>
      </c>
      <c r="W13" s="1518">
        <v>5770</v>
      </c>
      <c r="X13" s="1518">
        <v>4632</v>
      </c>
      <c r="Y13" s="1518">
        <v>6629</v>
      </c>
      <c r="Z13" s="1518">
        <v>26175</v>
      </c>
      <c r="AA13" s="1518">
        <v>12192</v>
      </c>
      <c r="AB13" s="1518">
        <v>875</v>
      </c>
      <c r="AC13" s="1518">
        <v>9647</v>
      </c>
      <c r="AD13" s="1518">
        <v>4312</v>
      </c>
      <c r="AE13" s="1518">
        <v>14333</v>
      </c>
      <c r="AF13" s="1518">
        <v>17672</v>
      </c>
      <c r="AG13" s="1518">
        <v>12377</v>
      </c>
      <c r="AH13" s="1518">
        <v>28569</v>
      </c>
      <c r="AI13" s="1518">
        <v>4078</v>
      </c>
      <c r="AJ13" s="1518">
        <v>22909</v>
      </c>
      <c r="AK13" s="1518">
        <v>20294</v>
      </c>
      <c r="AL13" s="1518">
        <v>90395</v>
      </c>
      <c r="AM13" s="1518">
        <v>302961</v>
      </c>
      <c r="AN13" s="1519">
        <v>315185.2</v>
      </c>
      <c r="AO13" s="1519">
        <v>-88699.330443200015</v>
      </c>
      <c r="AP13" s="476" t="s">
        <v>1795</v>
      </c>
    </row>
    <row r="14" spans="1:42" s="391" customFormat="1" ht="12.6" customHeight="1">
      <c r="A14" s="983" t="s">
        <v>1996</v>
      </c>
      <c r="B14" s="1041">
        <v>1257</v>
      </c>
      <c r="C14" s="1041">
        <v>5700</v>
      </c>
      <c r="D14" s="1041">
        <v>15</v>
      </c>
      <c r="E14" s="1041">
        <v>2133</v>
      </c>
      <c r="F14" s="1041">
        <v>3003</v>
      </c>
      <c r="G14" s="1041">
        <v>163120</v>
      </c>
      <c r="H14" s="1041">
        <v>101</v>
      </c>
      <c r="I14" s="1041">
        <v>0</v>
      </c>
      <c r="J14" s="1041">
        <v>0</v>
      </c>
      <c r="K14" s="1041">
        <v>61472.895545300002</v>
      </c>
      <c r="L14" s="1041">
        <v>236801.89554530004</v>
      </c>
      <c r="M14" s="1041">
        <v>931.40000000000009</v>
      </c>
      <c r="N14" s="1041">
        <v>7159.0999999999995</v>
      </c>
      <c r="O14" s="1041">
        <v>8090.4999999999991</v>
      </c>
      <c r="P14" s="1041">
        <v>1766.1999999999998</v>
      </c>
      <c r="Q14" s="1041">
        <v>1597.8</v>
      </c>
      <c r="R14" s="1041">
        <v>4083.2</v>
      </c>
      <c r="S14" s="1041">
        <v>10409.300000000001</v>
      </c>
      <c r="T14" s="1041">
        <v>3625.2000000000003</v>
      </c>
      <c r="U14" s="984" t="s">
        <v>1996</v>
      </c>
      <c r="V14" s="983" t="s">
        <v>1996</v>
      </c>
      <c r="W14" s="1041">
        <v>5171.3999999999996</v>
      </c>
      <c r="X14" s="1041">
        <v>3467.4</v>
      </c>
      <c r="Y14" s="1041">
        <v>2985.2</v>
      </c>
      <c r="Z14" s="1041">
        <v>17826.600000000002</v>
      </c>
      <c r="AA14" s="1041">
        <v>13214.499999999998</v>
      </c>
      <c r="AB14" s="1041">
        <v>937.49999999999989</v>
      </c>
      <c r="AC14" s="1041">
        <v>8170.1</v>
      </c>
      <c r="AD14" s="1041">
        <v>4271.7</v>
      </c>
      <c r="AE14" s="1041">
        <v>14233.1</v>
      </c>
      <c r="AF14" s="1041">
        <v>16844</v>
      </c>
      <c r="AG14" s="1041">
        <v>12884.699999999999</v>
      </c>
      <c r="AH14" s="1041">
        <v>32259.099999999995</v>
      </c>
      <c r="AI14" s="1041">
        <v>4713.0999999999995</v>
      </c>
      <c r="AJ14" s="1041">
        <v>21924.899999999998</v>
      </c>
      <c r="AK14" s="1041">
        <v>23920.3</v>
      </c>
      <c r="AL14" s="1041">
        <v>101483.00000000001</v>
      </c>
      <c r="AM14" s="1041">
        <v>305788.3</v>
      </c>
      <c r="AN14" s="1041">
        <v>313878.80000000005</v>
      </c>
      <c r="AO14" s="1041">
        <v>-77076.904454699994</v>
      </c>
      <c r="AP14" s="984" t="s">
        <v>1996</v>
      </c>
    </row>
    <row r="15" spans="1:42" s="391" customFormat="1" ht="12.6" customHeight="1">
      <c r="A15" s="1047" t="s">
        <v>2092</v>
      </c>
      <c r="B15" s="891">
        <f>SUM(B16:B27)</f>
        <v>1381</v>
      </c>
      <c r="C15" s="891">
        <f t="shared" ref="C15:T15" si="0">SUM(C16:C27)</f>
        <v>6117</v>
      </c>
      <c r="D15" s="891">
        <f t="shared" si="0"/>
        <v>30</v>
      </c>
      <c r="E15" s="891">
        <f t="shared" si="0"/>
        <v>1463</v>
      </c>
      <c r="F15" s="891">
        <f t="shared" si="0"/>
        <v>3681</v>
      </c>
      <c r="G15" s="891">
        <f t="shared" si="0"/>
        <v>166762</v>
      </c>
      <c r="H15" s="891">
        <f t="shared" si="0"/>
        <v>130</v>
      </c>
      <c r="I15" s="891">
        <f t="shared" si="0"/>
        <v>0</v>
      </c>
      <c r="J15" s="891">
        <f t="shared" si="0"/>
        <v>44</v>
      </c>
      <c r="K15" s="891">
        <f t="shared" si="0"/>
        <v>60048.485022404995</v>
      </c>
      <c r="L15" s="891">
        <f t="shared" si="0"/>
        <v>239656.48502240499</v>
      </c>
      <c r="M15" s="891">
        <f t="shared" si="0"/>
        <v>604.1</v>
      </c>
      <c r="N15" s="891">
        <f t="shared" si="0"/>
        <v>8157.0999999999995</v>
      </c>
      <c r="O15" s="891">
        <f t="shared" si="0"/>
        <v>8761.1999999999989</v>
      </c>
      <c r="P15" s="891">
        <f t="shared" si="0"/>
        <v>1998.8999999999999</v>
      </c>
      <c r="Q15" s="891">
        <f t="shared" si="0"/>
        <v>2051.1</v>
      </c>
      <c r="R15" s="891">
        <f t="shared" si="0"/>
        <v>3273.5</v>
      </c>
      <c r="S15" s="891">
        <f t="shared" si="0"/>
        <v>11837.800000000001</v>
      </c>
      <c r="T15" s="891">
        <f t="shared" si="0"/>
        <v>4669.3999999999996</v>
      </c>
      <c r="U15" s="1048" t="s">
        <v>2092</v>
      </c>
      <c r="V15" s="1047" t="s">
        <v>2092</v>
      </c>
      <c r="W15" s="891">
        <f t="shared" ref="W15:AO15" si="1">SUM(W16:W27)</f>
        <v>6647.9999999999991</v>
      </c>
      <c r="X15" s="891">
        <f t="shared" si="1"/>
        <v>3764.1999999999994</v>
      </c>
      <c r="Y15" s="891">
        <f t="shared" si="1"/>
        <v>4222.1000000000004</v>
      </c>
      <c r="Z15" s="891">
        <f t="shared" si="1"/>
        <v>21980.199999999997</v>
      </c>
      <c r="AA15" s="891">
        <f t="shared" si="1"/>
        <v>14792.9</v>
      </c>
      <c r="AB15" s="891">
        <f t="shared" si="1"/>
        <v>1159.8999999999999</v>
      </c>
      <c r="AC15" s="891">
        <f t="shared" si="1"/>
        <v>5742.4</v>
      </c>
      <c r="AD15" s="891">
        <f t="shared" si="1"/>
        <v>4436.5000000000009</v>
      </c>
      <c r="AE15" s="891">
        <f t="shared" si="1"/>
        <v>15330.1</v>
      </c>
      <c r="AF15" s="891">
        <f t="shared" si="1"/>
        <v>20702.7</v>
      </c>
      <c r="AG15" s="891">
        <f t="shared" si="1"/>
        <v>13181.199999999999</v>
      </c>
      <c r="AH15" s="891">
        <f t="shared" si="1"/>
        <v>32746.7</v>
      </c>
      <c r="AI15" s="891">
        <f t="shared" si="1"/>
        <v>4836.7999999999993</v>
      </c>
      <c r="AJ15" s="891">
        <f t="shared" si="1"/>
        <v>25854.7</v>
      </c>
      <c r="AK15" s="891">
        <f t="shared" si="1"/>
        <v>28625.800000000007</v>
      </c>
      <c r="AL15" s="891">
        <f t="shared" si="1"/>
        <v>107960.99999999999</v>
      </c>
      <c r="AM15" s="891">
        <f t="shared" si="1"/>
        <v>335815.89999999997</v>
      </c>
      <c r="AN15" s="891">
        <f t="shared" si="1"/>
        <v>344577.1</v>
      </c>
      <c r="AO15" s="891">
        <f t="shared" si="1"/>
        <v>-104920.61497759499</v>
      </c>
      <c r="AP15" s="1048" t="s">
        <v>2092</v>
      </c>
    </row>
    <row r="16" spans="1:42" s="391" customFormat="1" ht="12.6" customHeight="1">
      <c r="A16" s="732" t="s">
        <v>843</v>
      </c>
      <c r="B16" s="585">
        <v>158</v>
      </c>
      <c r="C16" s="585">
        <v>471</v>
      </c>
      <c r="D16" s="585">
        <v>1</v>
      </c>
      <c r="E16" s="585">
        <v>108</v>
      </c>
      <c r="F16" s="350">
        <f>25+274</f>
        <v>299</v>
      </c>
      <c r="G16" s="350">
        <v>13232</v>
      </c>
      <c r="H16" s="585">
        <v>0</v>
      </c>
      <c r="I16" s="585">
        <v>0</v>
      </c>
      <c r="J16" s="585">
        <v>0</v>
      </c>
      <c r="K16" s="585">
        <f t="shared" ref="K16:K24" si="2">L16-SUM(B16:J16)</f>
        <v>3971.4079999999994</v>
      </c>
      <c r="L16" s="586">
        <f>15585+33.87*78.4</f>
        <v>18240.407999999999</v>
      </c>
      <c r="M16" s="586">
        <v>17.7</v>
      </c>
      <c r="N16" s="586">
        <v>454.59999999999997</v>
      </c>
      <c r="O16" s="586">
        <f t="shared" ref="O16:O27" si="3">M16+N16</f>
        <v>472.29999999999995</v>
      </c>
      <c r="P16" s="586">
        <v>150.5</v>
      </c>
      <c r="Q16" s="586">
        <v>128.6</v>
      </c>
      <c r="R16" s="586">
        <v>383.3</v>
      </c>
      <c r="S16" s="586">
        <v>689.2</v>
      </c>
      <c r="T16" s="586">
        <v>210.8</v>
      </c>
      <c r="U16" s="733" t="s">
        <v>843</v>
      </c>
      <c r="V16" s="732" t="s">
        <v>843</v>
      </c>
      <c r="W16" s="1024">
        <v>566.29999999999995</v>
      </c>
      <c r="X16" s="1024">
        <v>234.7</v>
      </c>
      <c r="Y16" s="586">
        <v>305.10000000000002</v>
      </c>
      <c r="Z16" s="586">
        <v>1331.8</v>
      </c>
      <c r="AA16" s="586">
        <v>1141.9000000000001</v>
      </c>
      <c r="AB16" s="586">
        <v>64.900000000000006</v>
      </c>
      <c r="AC16" s="586">
        <v>418</v>
      </c>
      <c r="AD16" s="586">
        <v>398.2</v>
      </c>
      <c r="AE16" s="586">
        <v>1033.3</v>
      </c>
      <c r="AF16" s="586">
        <v>1093.0999999999999</v>
      </c>
      <c r="AG16" s="586">
        <v>1130.4000000000001</v>
      </c>
      <c r="AH16" s="586">
        <v>2622.1</v>
      </c>
      <c r="AI16" s="586">
        <v>382.7</v>
      </c>
      <c r="AJ16" s="586">
        <v>1631</v>
      </c>
      <c r="AK16" s="586">
        <v>1988</v>
      </c>
      <c r="AL16" s="586">
        <v>6991.9000000000024</v>
      </c>
      <c r="AM16" s="586">
        <f t="shared" ref="AM16:AM23" si="4">SUM(P16:T16)+SUM(W16:AL16)</f>
        <v>22895.800000000003</v>
      </c>
      <c r="AN16" s="586">
        <f t="shared" ref="AN16:AN23" si="5">O16+AM16</f>
        <v>23368.100000000002</v>
      </c>
      <c r="AO16" s="350">
        <f t="shared" ref="AO16:AO27" si="6">L16-AN16</f>
        <v>-5127.6920000000027</v>
      </c>
      <c r="AP16" s="733" t="s">
        <v>843</v>
      </c>
    </row>
    <row r="17" spans="1:42" s="391" customFormat="1" ht="12.6" customHeight="1">
      <c r="A17" s="474" t="s">
        <v>160</v>
      </c>
      <c r="B17" s="606">
        <v>143</v>
      </c>
      <c r="C17" s="606">
        <v>455</v>
      </c>
      <c r="D17" s="606">
        <v>1</v>
      </c>
      <c r="E17" s="606">
        <v>98</v>
      </c>
      <c r="F17" s="434">
        <f>33+340</f>
        <v>373</v>
      </c>
      <c r="G17" s="434">
        <v>15147</v>
      </c>
      <c r="H17" s="606">
        <v>0</v>
      </c>
      <c r="I17" s="606">
        <v>0</v>
      </c>
      <c r="J17" s="606">
        <v>44</v>
      </c>
      <c r="K17" s="606">
        <f t="shared" si="2"/>
        <v>5576.9392000000007</v>
      </c>
      <c r="L17" s="440">
        <f>17864+78.4*50.688</f>
        <v>21837.939200000001</v>
      </c>
      <c r="M17" s="440">
        <v>10</v>
      </c>
      <c r="N17" s="440">
        <v>509.29999999999995</v>
      </c>
      <c r="O17" s="440">
        <f t="shared" si="3"/>
        <v>519.29999999999995</v>
      </c>
      <c r="P17" s="440">
        <v>139.30000000000001</v>
      </c>
      <c r="Q17" s="440">
        <v>186</v>
      </c>
      <c r="R17" s="440">
        <v>126.7</v>
      </c>
      <c r="S17" s="440">
        <v>650.4</v>
      </c>
      <c r="T17" s="440">
        <v>234.89999999999998</v>
      </c>
      <c r="U17" s="476" t="s">
        <v>160</v>
      </c>
      <c r="V17" s="474" t="s">
        <v>844</v>
      </c>
      <c r="W17" s="1028">
        <v>497.4</v>
      </c>
      <c r="X17" s="1028">
        <v>338.6</v>
      </c>
      <c r="Y17" s="440">
        <v>288.29999999999995</v>
      </c>
      <c r="Z17" s="440">
        <v>1584.1000000000001</v>
      </c>
      <c r="AA17" s="440">
        <v>1143.5</v>
      </c>
      <c r="AB17" s="440">
        <v>86.3</v>
      </c>
      <c r="AC17" s="440">
        <v>492.9</v>
      </c>
      <c r="AD17" s="440">
        <v>387</v>
      </c>
      <c r="AE17" s="440">
        <v>1155.5</v>
      </c>
      <c r="AF17" s="440">
        <v>1383.8000000000002</v>
      </c>
      <c r="AG17" s="440">
        <v>1298.5</v>
      </c>
      <c r="AH17" s="440">
        <v>3089.3999999999996</v>
      </c>
      <c r="AI17" s="440">
        <v>352.3</v>
      </c>
      <c r="AJ17" s="440">
        <v>2003.6999999999998</v>
      </c>
      <c r="AK17" s="440">
        <v>2032.5</v>
      </c>
      <c r="AL17" s="440">
        <v>9150.4999999999964</v>
      </c>
      <c r="AM17" s="440">
        <f t="shared" si="4"/>
        <v>26621.599999999995</v>
      </c>
      <c r="AN17" s="440">
        <f t="shared" si="5"/>
        <v>27140.899999999994</v>
      </c>
      <c r="AO17" s="434">
        <f t="shared" si="6"/>
        <v>-5302.9607999999935</v>
      </c>
      <c r="AP17" s="476" t="s">
        <v>844</v>
      </c>
    </row>
    <row r="18" spans="1:42" s="391" customFormat="1" ht="12.6" customHeight="1">
      <c r="A18" s="732" t="s">
        <v>838</v>
      </c>
      <c r="B18" s="585">
        <v>92</v>
      </c>
      <c r="C18" s="585">
        <v>463</v>
      </c>
      <c r="D18" s="585">
        <v>0</v>
      </c>
      <c r="E18" s="585">
        <v>142</v>
      </c>
      <c r="F18" s="350">
        <f>30+306</f>
        <v>336</v>
      </c>
      <c r="G18" s="350">
        <v>13712</v>
      </c>
      <c r="H18" s="585">
        <v>0</v>
      </c>
      <c r="I18" s="585">
        <v>0</v>
      </c>
      <c r="J18" s="585">
        <v>0</v>
      </c>
      <c r="K18" s="585">
        <f t="shared" si="2"/>
        <v>3944.2335999999996</v>
      </c>
      <c r="L18" s="586">
        <f>16235+78.4*31.304</f>
        <v>18689.2336</v>
      </c>
      <c r="M18" s="586">
        <v>7.8</v>
      </c>
      <c r="N18" s="586">
        <v>636.29999999999995</v>
      </c>
      <c r="O18" s="586">
        <f t="shared" si="3"/>
        <v>644.09999999999991</v>
      </c>
      <c r="P18" s="586">
        <v>75.8</v>
      </c>
      <c r="Q18" s="586">
        <v>169.3</v>
      </c>
      <c r="R18" s="586">
        <v>91.6</v>
      </c>
      <c r="S18" s="586">
        <v>897</v>
      </c>
      <c r="T18" s="586">
        <v>131.5</v>
      </c>
      <c r="U18" s="733" t="s">
        <v>838</v>
      </c>
      <c r="V18" s="732" t="s">
        <v>838</v>
      </c>
      <c r="W18" s="1024">
        <v>324.09999999999997</v>
      </c>
      <c r="X18" s="1024">
        <v>259.39999999999998</v>
      </c>
      <c r="Y18" s="586">
        <v>260.39999999999998</v>
      </c>
      <c r="Z18" s="586">
        <v>1590.6</v>
      </c>
      <c r="AA18" s="586">
        <v>1073</v>
      </c>
      <c r="AB18" s="586">
        <v>84.9</v>
      </c>
      <c r="AC18" s="586">
        <v>585.29999999999995</v>
      </c>
      <c r="AD18" s="586">
        <v>310.89999999999998</v>
      </c>
      <c r="AE18" s="586">
        <v>1097.1999999999998</v>
      </c>
      <c r="AF18" s="586">
        <v>1426</v>
      </c>
      <c r="AG18" s="586">
        <v>1113.9000000000001</v>
      </c>
      <c r="AH18" s="586">
        <v>2675.9</v>
      </c>
      <c r="AI18" s="586">
        <v>388.6</v>
      </c>
      <c r="AJ18" s="586">
        <v>2083.4</v>
      </c>
      <c r="AK18" s="586">
        <v>2024.3</v>
      </c>
      <c r="AL18" s="586">
        <v>7720.8999999999987</v>
      </c>
      <c r="AM18" s="586">
        <f t="shared" si="4"/>
        <v>24383.999999999996</v>
      </c>
      <c r="AN18" s="586">
        <f t="shared" si="5"/>
        <v>25028.099999999995</v>
      </c>
      <c r="AO18" s="350">
        <f t="shared" si="6"/>
        <v>-6338.8663999999953</v>
      </c>
      <c r="AP18" s="733" t="s">
        <v>838</v>
      </c>
    </row>
    <row r="19" spans="1:42" s="391" customFormat="1" ht="12.6" customHeight="1">
      <c r="A19" s="653" t="s">
        <v>845</v>
      </c>
      <c r="B19" s="606">
        <v>102</v>
      </c>
      <c r="C19" s="606">
        <v>493</v>
      </c>
      <c r="D19" s="606">
        <v>1</v>
      </c>
      <c r="E19" s="606">
        <v>118</v>
      </c>
      <c r="F19" s="606">
        <f>35+298</f>
        <v>333</v>
      </c>
      <c r="G19" s="606">
        <v>13710</v>
      </c>
      <c r="H19" s="606">
        <v>0</v>
      </c>
      <c r="I19" s="606">
        <v>0</v>
      </c>
      <c r="J19" s="606">
        <v>0</v>
      </c>
      <c r="K19" s="606">
        <f t="shared" si="2"/>
        <v>4635.3020047999998</v>
      </c>
      <c r="L19" s="606">
        <f>16295+78.4008*39.506</f>
        <v>19392.3020048</v>
      </c>
      <c r="M19" s="606">
        <v>18.100000000000001</v>
      </c>
      <c r="N19" s="606">
        <v>1403.9</v>
      </c>
      <c r="O19" s="606">
        <f t="shared" si="3"/>
        <v>1422</v>
      </c>
      <c r="P19" s="434">
        <v>89.6</v>
      </c>
      <c r="Q19" s="434">
        <v>141.19999999999999</v>
      </c>
      <c r="R19" s="434">
        <v>448.7</v>
      </c>
      <c r="S19" s="434">
        <v>919.6</v>
      </c>
      <c r="T19" s="434">
        <v>298.39999999999998</v>
      </c>
      <c r="U19" s="1075" t="s">
        <v>845</v>
      </c>
      <c r="V19" s="1076" t="s">
        <v>845</v>
      </c>
      <c r="W19" s="434">
        <v>606</v>
      </c>
      <c r="X19" s="434">
        <v>264.5</v>
      </c>
      <c r="Y19" s="434">
        <v>520.70000000000005</v>
      </c>
      <c r="Z19" s="434">
        <v>1590.3</v>
      </c>
      <c r="AA19" s="434">
        <v>1147.8</v>
      </c>
      <c r="AB19" s="434">
        <v>75.800000000000011</v>
      </c>
      <c r="AC19" s="434">
        <v>711</v>
      </c>
      <c r="AD19" s="434">
        <v>373.6</v>
      </c>
      <c r="AE19" s="434">
        <v>1232.0999999999999</v>
      </c>
      <c r="AF19" s="434">
        <v>1286.5999999999999</v>
      </c>
      <c r="AG19" s="434">
        <v>1139.1999999999998</v>
      </c>
      <c r="AH19" s="434">
        <v>2482</v>
      </c>
      <c r="AI19" s="434">
        <v>377.40000000000003</v>
      </c>
      <c r="AJ19" s="434">
        <v>1952.6</v>
      </c>
      <c r="AK19" s="434">
        <v>2483.7999999999997</v>
      </c>
      <c r="AL19" s="434">
        <v>8559.3000000000011</v>
      </c>
      <c r="AM19" s="434">
        <f t="shared" si="4"/>
        <v>26700.200000000004</v>
      </c>
      <c r="AN19" s="434">
        <f t="shared" si="5"/>
        <v>28122.200000000004</v>
      </c>
      <c r="AO19" s="434">
        <f t="shared" si="6"/>
        <v>-8729.8979952000045</v>
      </c>
      <c r="AP19" s="1075" t="s">
        <v>845</v>
      </c>
    </row>
    <row r="20" spans="1:42" s="391" customFormat="1" ht="12.6" customHeight="1">
      <c r="A20" s="584" t="s">
        <v>846</v>
      </c>
      <c r="B20" s="585">
        <v>139</v>
      </c>
      <c r="C20" s="585">
        <v>514</v>
      </c>
      <c r="D20" s="585">
        <v>1</v>
      </c>
      <c r="E20" s="585">
        <v>160</v>
      </c>
      <c r="F20" s="585">
        <f>49+346</f>
        <v>395</v>
      </c>
      <c r="G20" s="585">
        <v>14010</v>
      </c>
      <c r="H20" s="585">
        <v>0</v>
      </c>
      <c r="I20" s="585">
        <v>0</v>
      </c>
      <c r="J20" s="585">
        <v>0</v>
      </c>
      <c r="K20" s="585">
        <f t="shared" si="2"/>
        <v>4522.152646399998</v>
      </c>
      <c r="L20" s="585">
        <f>16832+78.5472*37.037</f>
        <v>19741.152646399998</v>
      </c>
      <c r="M20" s="585">
        <v>19.3</v>
      </c>
      <c r="N20" s="585">
        <v>591.5</v>
      </c>
      <c r="O20" s="585">
        <f t="shared" si="3"/>
        <v>610.79999999999995</v>
      </c>
      <c r="P20" s="350">
        <v>143.80000000000001</v>
      </c>
      <c r="Q20" s="350">
        <v>160.60000000000002</v>
      </c>
      <c r="R20" s="350">
        <v>299.39999999999998</v>
      </c>
      <c r="S20" s="350">
        <v>1189.4000000000001</v>
      </c>
      <c r="T20" s="350">
        <v>425.79999999999995</v>
      </c>
      <c r="U20" s="1090" t="s">
        <v>846</v>
      </c>
      <c r="V20" s="1091" t="s">
        <v>846</v>
      </c>
      <c r="W20" s="350">
        <v>366</v>
      </c>
      <c r="X20" s="350">
        <v>327.2</v>
      </c>
      <c r="Y20" s="350">
        <v>299.3</v>
      </c>
      <c r="Z20" s="350">
        <v>2542.2999999999997</v>
      </c>
      <c r="AA20" s="350">
        <v>1308</v>
      </c>
      <c r="AB20" s="350">
        <v>107.9</v>
      </c>
      <c r="AC20" s="350">
        <v>605.9</v>
      </c>
      <c r="AD20" s="350">
        <v>409</v>
      </c>
      <c r="AE20" s="350">
        <v>1276.4000000000001</v>
      </c>
      <c r="AF20" s="350">
        <v>1248.6000000000001</v>
      </c>
      <c r="AG20" s="350">
        <v>1071.8999999999999</v>
      </c>
      <c r="AH20" s="350">
        <v>2800.2</v>
      </c>
      <c r="AI20" s="350">
        <v>387.5</v>
      </c>
      <c r="AJ20" s="350">
        <v>2731.9</v>
      </c>
      <c r="AK20" s="350">
        <v>3348.3</v>
      </c>
      <c r="AL20" s="350">
        <v>9900.5000000000036</v>
      </c>
      <c r="AM20" s="350">
        <f t="shared" si="4"/>
        <v>30949.9</v>
      </c>
      <c r="AN20" s="350">
        <f t="shared" si="5"/>
        <v>31560.7</v>
      </c>
      <c r="AO20" s="350">
        <f t="shared" si="6"/>
        <v>-11819.547353600003</v>
      </c>
      <c r="AP20" s="1090" t="s">
        <v>846</v>
      </c>
    </row>
    <row r="21" spans="1:42" s="391" customFormat="1" ht="12.6" customHeight="1">
      <c r="A21" s="653" t="s">
        <v>839</v>
      </c>
      <c r="B21" s="606">
        <v>142</v>
      </c>
      <c r="C21" s="606">
        <v>547</v>
      </c>
      <c r="D21" s="606">
        <v>2</v>
      </c>
      <c r="E21" s="606">
        <v>136</v>
      </c>
      <c r="F21" s="606">
        <f>37+232</f>
        <v>269</v>
      </c>
      <c r="G21" s="606">
        <v>12768</v>
      </c>
      <c r="H21" s="606">
        <v>55</v>
      </c>
      <c r="I21" s="606">
        <v>0</v>
      </c>
      <c r="J21" s="606">
        <v>0</v>
      </c>
      <c r="K21" s="606">
        <f t="shared" si="2"/>
        <v>5693.2291072000007</v>
      </c>
      <c r="L21" s="606">
        <f>15517+78.8029*51.968</f>
        <v>19612.229107200001</v>
      </c>
      <c r="M21" s="606">
        <v>14.7</v>
      </c>
      <c r="N21" s="606">
        <v>586.6</v>
      </c>
      <c r="O21" s="434">
        <f t="shared" si="3"/>
        <v>601.30000000000007</v>
      </c>
      <c r="P21" s="434">
        <v>208.7</v>
      </c>
      <c r="Q21" s="434">
        <v>127.3</v>
      </c>
      <c r="R21" s="434">
        <v>96.5</v>
      </c>
      <c r="S21" s="434">
        <v>1048.3000000000002</v>
      </c>
      <c r="T21" s="434">
        <v>263.89999999999998</v>
      </c>
      <c r="U21" s="1075" t="s">
        <v>839</v>
      </c>
      <c r="V21" s="1076" t="s">
        <v>839</v>
      </c>
      <c r="W21" s="434">
        <v>708.5</v>
      </c>
      <c r="X21" s="434">
        <v>290.89999999999998</v>
      </c>
      <c r="Y21" s="434">
        <v>267.5</v>
      </c>
      <c r="Z21" s="434">
        <v>1256.7</v>
      </c>
      <c r="AA21" s="434">
        <v>1347.7</v>
      </c>
      <c r="AB21" s="434">
        <v>107.1</v>
      </c>
      <c r="AC21" s="434">
        <v>331.8</v>
      </c>
      <c r="AD21" s="434">
        <v>345.9</v>
      </c>
      <c r="AE21" s="434">
        <v>1288</v>
      </c>
      <c r="AF21" s="434">
        <v>1794.7</v>
      </c>
      <c r="AG21" s="434">
        <v>1024.8</v>
      </c>
      <c r="AH21" s="434">
        <v>2716.7</v>
      </c>
      <c r="AI21" s="434">
        <v>357.7</v>
      </c>
      <c r="AJ21" s="434">
        <v>2279.9</v>
      </c>
      <c r="AK21" s="434">
        <v>2573.2000000000003</v>
      </c>
      <c r="AL21" s="434">
        <v>9765</v>
      </c>
      <c r="AM21" s="434">
        <f t="shared" si="4"/>
        <v>28200.799999999999</v>
      </c>
      <c r="AN21" s="434">
        <f t="shared" si="5"/>
        <v>28802.1</v>
      </c>
      <c r="AO21" s="434">
        <f t="shared" si="6"/>
        <v>-9189.8708927999978</v>
      </c>
      <c r="AP21" s="1075" t="s">
        <v>839</v>
      </c>
    </row>
    <row r="22" spans="1:42" s="391" customFormat="1" ht="12.6" customHeight="1">
      <c r="A22" s="584" t="s">
        <v>847</v>
      </c>
      <c r="B22" s="585">
        <v>125</v>
      </c>
      <c r="C22" s="585">
        <v>490</v>
      </c>
      <c r="D22" s="585">
        <v>1</v>
      </c>
      <c r="E22" s="585">
        <v>137</v>
      </c>
      <c r="F22" s="585">
        <f>50+299</f>
        <v>349</v>
      </c>
      <c r="G22" s="585">
        <v>14767</v>
      </c>
      <c r="H22" s="585">
        <v>0</v>
      </c>
      <c r="I22" s="585">
        <v>0</v>
      </c>
      <c r="J22" s="585">
        <v>0</v>
      </c>
      <c r="K22" s="585">
        <f t="shared" si="2"/>
        <v>5572.9334520000011</v>
      </c>
      <c r="L22" s="585">
        <f>17559+78.8573*49.24</f>
        <v>21441.933452000001</v>
      </c>
      <c r="M22" s="585">
        <v>48.7</v>
      </c>
      <c r="N22" s="585">
        <v>364.7</v>
      </c>
      <c r="O22" s="585">
        <f t="shared" si="3"/>
        <v>413.4</v>
      </c>
      <c r="P22" s="350">
        <v>166.3</v>
      </c>
      <c r="Q22" s="350">
        <v>175.5</v>
      </c>
      <c r="R22" s="350">
        <v>370.90000000000003</v>
      </c>
      <c r="S22" s="350">
        <v>1229.4000000000001</v>
      </c>
      <c r="T22" s="350">
        <v>518.4</v>
      </c>
      <c r="U22" s="1090" t="s">
        <v>847</v>
      </c>
      <c r="V22" s="1091" t="s">
        <v>847</v>
      </c>
      <c r="W22" s="350">
        <v>1192</v>
      </c>
      <c r="X22" s="350">
        <v>376.29999999999995</v>
      </c>
      <c r="Y22" s="350">
        <v>324.89999999999998</v>
      </c>
      <c r="Z22" s="350">
        <v>1765.8</v>
      </c>
      <c r="AA22" s="350">
        <v>1284.5999999999999</v>
      </c>
      <c r="AB22" s="350">
        <v>91.800000000000011</v>
      </c>
      <c r="AC22" s="350">
        <v>712.1</v>
      </c>
      <c r="AD22" s="350">
        <v>377.40000000000003</v>
      </c>
      <c r="AE22" s="350">
        <v>1433.3000000000002</v>
      </c>
      <c r="AF22" s="350">
        <v>2025.8999999999999</v>
      </c>
      <c r="AG22" s="350">
        <v>1037.7</v>
      </c>
      <c r="AH22" s="350">
        <v>3068.9</v>
      </c>
      <c r="AI22" s="350">
        <v>432</v>
      </c>
      <c r="AJ22" s="350">
        <v>2337.1999999999998</v>
      </c>
      <c r="AK22" s="350">
        <v>2662.2</v>
      </c>
      <c r="AL22" s="350">
        <v>10820.899999999998</v>
      </c>
      <c r="AM22" s="350">
        <f t="shared" si="4"/>
        <v>32403.5</v>
      </c>
      <c r="AN22" s="350">
        <f t="shared" si="5"/>
        <v>32816.9</v>
      </c>
      <c r="AO22" s="350">
        <f t="shared" si="6"/>
        <v>-11374.966548</v>
      </c>
      <c r="AP22" s="1090" t="s">
        <v>847</v>
      </c>
    </row>
    <row r="23" spans="1:42" s="391" customFormat="1" ht="12.6" customHeight="1">
      <c r="A23" s="653" t="s">
        <v>848</v>
      </c>
      <c r="B23" s="606">
        <v>116</v>
      </c>
      <c r="C23" s="606">
        <v>530</v>
      </c>
      <c r="D23" s="606">
        <v>6</v>
      </c>
      <c r="E23" s="606">
        <v>93</v>
      </c>
      <c r="F23" s="606">
        <f>56+233</f>
        <v>289</v>
      </c>
      <c r="G23" s="606">
        <v>13367</v>
      </c>
      <c r="H23" s="606">
        <v>0</v>
      </c>
      <c r="I23" s="606">
        <v>0</v>
      </c>
      <c r="J23" s="606">
        <v>0</v>
      </c>
      <c r="K23" s="606">
        <f t="shared" si="2"/>
        <v>4678.6581215999977</v>
      </c>
      <c r="L23" s="606">
        <f>15857+79.2353*40.672</f>
        <v>19079.658121599998</v>
      </c>
      <c r="M23" s="606">
        <v>70.3</v>
      </c>
      <c r="N23" s="606">
        <v>868.40000000000009</v>
      </c>
      <c r="O23" s="606">
        <f t="shared" si="3"/>
        <v>938.7</v>
      </c>
      <c r="P23" s="434">
        <v>188.3</v>
      </c>
      <c r="Q23" s="434">
        <v>165.6</v>
      </c>
      <c r="R23" s="434">
        <v>92.9</v>
      </c>
      <c r="S23" s="434">
        <v>1247.3000000000002</v>
      </c>
      <c r="T23" s="434">
        <v>385.2</v>
      </c>
      <c r="U23" s="1075" t="s">
        <v>848</v>
      </c>
      <c r="V23" s="1076" t="s">
        <v>848</v>
      </c>
      <c r="W23" s="434">
        <v>540.59999999999991</v>
      </c>
      <c r="X23" s="434">
        <v>290.70000000000005</v>
      </c>
      <c r="Y23" s="434">
        <v>322.2</v>
      </c>
      <c r="Z23" s="434">
        <v>1697.5</v>
      </c>
      <c r="AA23" s="434">
        <v>1254.6999999999998</v>
      </c>
      <c r="AB23" s="434">
        <v>166.10000000000002</v>
      </c>
      <c r="AC23" s="434">
        <v>317.09999999999997</v>
      </c>
      <c r="AD23" s="434">
        <v>328.9</v>
      </c>
      <c r="AE23" s="434">
        <v>1214.5</v>
      </c>
      <c r="AF23" s="434">
        <v>1899.4</v>
      </c>
      <c r="AG23" s="434">
        <v>1001.9</v>
      </c>
      <c r="AH23" s="434">
        <v>2564.5</v>
      </c>
      <c r="AI23" s="434">
        <v>381</v>
      </c>
      <c r="AJ23" s="434">
        <v>2403.3000000000002</v>
      </c>
      <c r="AK23" s="434">
        <v>2171.2999999999997</v>
      </c>
      <c r="AL23" s="434">
        <v>7742.4</v>
      </c>
      <c r="AM23" s="434">
        <f t="shared" si="4"/>
        <v>26375.399999999998</v>
      </c>
      <c r="AN23" s="434">
        <f t="shared" si="5"/>
        <v>27314.1</v>
      </c>
      <c r="AO23" s="434">
        <f t="shared" si="6"/>
        <v>-8234.4418784000009</v>
      </c>
      <c r="AP23" s="1075" t="s">
        <v>848</v>
      </c>
    </row>
    <row r="24" spans="1:42" s="391" customFormat="1" ht="12.6" customHeight="1">
      <c r="A24" s="584" t="s">
        <v>575</v>
      </c>
      <c r="B24" s="585">
        <v>126</v>
      </c>
      <c r="C24" s="585">
        <v>560</v>
      </c>
      <c r="D24" s="585">
        <v>6</v>
      </c>
      <c r="E24" s="585">
        <v>156</v>
      </c>
      <c r="F24" s="585">
        <f>52+177</f>
        <v>229</v>
      </c>
      <c r="G24" s="585">
        <v>15070</v>
      </c>
      <c r="H24" s="585">
        <v>75</v>
      </c>
      <c r="I24" s="585">
        <v>0</v>
      </c>
      <c r="J24" s="585">
        <v>0</v>
      </c>
      <c r="K24" s="585">
        <f t="shared" si="2"/>
        <v>5389.9168687999991</v>
      </c>
      <c r="L24" s="585">
        <f>17885+79.5398*46.856</f>
        <v>21611.916868799999</v>
      </c>
      <c r="M24" s="585">
        <v>60.5</v>
      </c>
      <c r="N24" s="585">
        <v>723.3</v>
      </c>
      <c r="O24" s="585">
        <f t="shared" si="3"/>
        <v>783.8</v>
      </c>
      <c r="P24" s="350">
        <v>212.7</v>
      </c>
      <c r="Q24" s="350">
        <v>181.6</v>
      </c>
      <c r="R24" s="350">
        <v>220.7</v>
      </c>
      <c r="S24" s="350">
        <v>772.1</v>
      </c>
      <c r="T24" s="350">
        <v>595.6</v>
      </c>
      <c r="U24" s="1090" t="s">
        <v>575</v>
      </c>
      <c r="V24" s="1091" t="s">
        <v>840</v>
      </c>
      <c r="W24" s="350">
        <v>374</v>
      </c>
      <c r="X24" s="350">
        <v>420</v>
      </c>
      <c r="Y24" s="350">
        <v>323.39999999999998</v>
      </c>
      <c r="Z24" s="350">
        <v>3058</v>
      </c>
      <c r="AA24" s="350">
        <v>1334.8</v>
      </c>
      <c r="AB24" s="350">
        <v>103.4</v>
      </c>
      <c r="AC24" s="350">
        <v>516.9</v>
      </c>
      <c r="AD24" s="350">
        <v>348.5</v>
      </c>
      <c r="AE24" s="350">
        <v>1436.1</v>
      </c>
      <c r="AF24" s="350">
        <v>2470.5</v>
      </c>
      <c r="AG24" s="350">
        <v>989.9</v>
      </c>
      <c r="AH24" s="350">
        <v>2900.2999999999997</v>
      </c>
      <c r="AI24" s="350">
        <v>450.59999999999997</v>
      </c>
      <c r="AJ24" s="350">
        <v>2535.5</v>
      </c>
      <c r="AK24" s="350">
        <v>2210.2000000000003</v>
      </c>
      <c r="AL24" s="350">
        <v>8990.2999999999993</v>
      </c>
      <c r="AM24" s="350">
        <f t="shared" ref="AM24:AM25" si="7">SUM(P24:T24)+SUM(W24:AL24)</f>
        <v>30445.1</v>
      </c>
      <c r="AN24" s="350">
        <f t="shared" ref="AN24" si="8">O24+AM24</f>
        <v>31228.899999999998</v>
      </c>
      <c r="AO24" s="350">
        <f t="shared" si="6"/>
        <v>-9616.9831311999988</v>
      </c>
      <c r="AP24" s="1090" t="s">
        <v>840</v>
      </c>
    </row>
    <row r="25" spans="1:42" s="391" customFormat="1" ht="12.6" customHeight="1">
      <c r="A25" s="1076" t="s">
        <v>849</v>
      </c>
      <c r="B25" s="606">
        <v>108</v>
      </c>
      <c r="C25" s="606">
        <v>577</v>
      </c>
      <c r="D25" s="606">
        <v>5</v>
      </c>
      <c r="E25" s="606">
        <v>118</v>
      </c>
      <c r="F25" s="606">
        <f>38+196</f>
        <v>234</v>
      </c>
      <c r="G25" s="606">
        <v>13919</v>
      </c>
      <c r="H25" s="606">
        <v>0</v>
      </c>
      <c r="I25" s="606">
        <v>0</v>
      </c>
      <c r="J25" s="606">
        <v>0</v>
      </c>
      <c r="K25" s="606">
        <f t="shared" ref="K25:K26" si="9">L25-SUM(B25:J25)</f>
        <v>4848.3767775999986</v>
      </c>
      <c r="L25" s="606">
        <f>16514+79.8376*41.276</f>
        <v>19809.376777599999</v>
      </c>
      <c r="M25" s="606">
        <v>61.5</v>
      </c>
      <c r="N25" s="606">
        <v>594.20000000000005</v>
      </c>
      <c r="O25" s="606">
        <f t="shared" si="3"/>
        <v>655.7</v>
      </c>
      <c r="P25" s="434">
        <v>247.10000000000002</v>
      </c>
      <c r="Q25" s="434">
        <v>203</v>
      </c>
      <c r="R25" s="434">
        <v>244.5</v>
      </c>
      <c r="S25" s="434">
        <v>719</v>
      </c>
      <c r="T25" s="434">
        <v>701.6</v>
      </c>
      <c r="U25" s="1075" t="s">
        <v>849</v>
      </c>
      <c r="V25" s="1076" t="s">
        <v>849</v>
      </c>
      <c r="W25" s="434">
        <v>374.4</v>
      </c>
      <c r="X25" s="434">
        <v>301.3</v>
      </c>
      <c r="Y25" s="434">
        <v>309.5</v>
      </c>
      <c r="Z25" s="434">
        <v>1989</v>
      </c>
      <c r="AA25" s="434">
        <v>1304.5</v>
      </c>
      <c r="AB25" s="434">
        <v>92.9</v>
      </c>
      <c r="AC25" s="434">
        <v>492.40000000000003</v>
      </c>
      <c r="AD25" s="434">
        <v>407.3</v>
      </c>
      <c r="AE25" s="434">
        <v>1560.1</v>
      </c>
      <c r="AF25" s="434">
        <v>2093.6</v>
      </c>
      <c r="AG25" s="434">
        <v>1086.6000000000001</v>
      </c>
      <c r="AH25" s="434">
        <v>2863.7</v>
      </c>
      <c r="AI25" s="434">
        <v>494.5</v>
      </c>
      <c r="AJ25" s="434">
        <v>1999.6000000000001</v>
      </c>
      <c r="AK25" s="434">
        <v>2410.8999999999996</v>
      </c>
      <c r="AL25" s="434">
        <v>10337.599999999997</v>
      </c>
      <c r="AM25" s="434">
        <f t="shared" si="7"/>
        <v>30233.099999999995</v>
      </c>
      <c r="AN25" s="434">
        <f t="shared" ref="AN25" si="10">O25+AM25</f>
        <v>30888.799999999996</v>
      </c>
      <c r="AO25" s="434">
        <f t="shared" si="6"/>
        <v>-11079.423222399997</v>
      </c>
      <c r="AP25" s="1075" t="s">
        <v>849</v>
      </c>
    </row>
    <row r="26" spans="1:42" s="391" customFormat="1" ht="12.6" customHeight="1">
      <c r="A26" s="584" t="s">
        <v>850</v>
      </c>
      <c r="B26" s="585">
        <v>71</v>
      </c>
      <c r="C26" s="585">
        <v>560</v>
      </c>
      <c r="D26" s="585">
        <v>5</v>
      </c>
      <c r="E26" s="585">
        <v>106</v>
      </c>
      <c r="F26" s="585">
        <f>52+227</f>
        <v>279</v>
      </c>
      <c r="G26" s="585">
        <v>14843</v>
      </c>
      <c r="H26" s="585">
        <v>0</v>
      </c>
      <c r="I26" s="585">
        <v>0</v>
      </c>
      <c r="J26" s="585">
        <v>0</v>
      </c>
      <c r="K26" s="585">
        <f t="shared" si="9"/>
        <v>5757.7281540049989</v>
      </c>
      <c r="L26" s="585">
        <f>17550+80.489615*50.587</f>
        <v>21621.728154004999</v>
      </c>
      <c r="M26" s="585">
        <v>77.2</v>
      </c>
      <c r="N26" s="585">
        <v>677.5</v>
      </c>
      <c r="O26" s="585">
        <f t="shared" si="3"/>
        <v>754.7</v>
      </c>
      <c r="P26" s="350">
        <v>195.10000000000002</v>
      </c>
      <c r="Q26" s="350">
        <v>222.79999999999998</v>
      </c>
      <c r="R26" s="350">
        <v>270.39999999999998</v>
      </c>
      <c r="S26" s="350">
        <v>1384.6</v>
      </c>
      <c r="T26" s="350">
        <v>640.29999999999995</v>
      </c>
      <c r="U26" s="1090" t="s">
        <v>850</v>
      </c>
      <c r="V26" s="1091" t="s">
        <v>850</v>
      </c>
      <c r="W26" s="350">
        <v>567.9</v>
      </c>
      <c r="X26" s="350">
        <v>438.5</v>
      </c>
      <c r="Y26" s="350">
        <v>391.8</v>
      </c>
      <c r="Z26" s="350">
        <v>2028.8000000000002</v>
      </c>
      <c r="AA26" s="350">
        <v>1399.3000000000002</v>
      </c>
      <c r="AB26" s="350">
        <v>107.5</v>
      </c>
      <c r="AC26" s="350">
        <v>316.5</v>
      </c>
      <c r="AD26" s="350">
        <v>423.20000000000005</v>
      </c>
      <c r="AE26" s="350">
        <v>1498.2</v>
      </c>
      <c r="AF26" s="350">
        <v>2187</v>
      </c>
      <c r="AG26" s="350">
        <v>1205.0999999999999</v>
      </c>
      <c r="AH26" s="350">
        <v>2876.8</v>
      </c>
      <c r="AI26" s="350">
        <v>485</v>
      </c>
      <c r="AJ26" s="350">
        <v>2191.9</v>
      </c>
      <c r="AK26" s="350">
        <v>2493.3999999999996</v>
      </c>
      <c r="AL26" s="350">
        <v>9667.9999999999982</v>
      </c>
      <c r="AM26" s="350">
        <f t="shared" ref="AM26" si="11">SUM(P26:T26)+SUM(W26:AL26)</f>
        <v>30992.100000000002</v>
      </c>
      <c r="AN26" s="350">
        <f t="shared" ref="AN26" si="12">O26+AM26</f>
        <v>31746.800000000003</v>
      </c>
      <c r="AO26" s="350">
        <f t="shared" si="6"/>
        <v>-10125.071845995004</v>
      </c>
      <c r="AP26" s="1090" t="s">
        <v>850</v>
      </c>
    </row>
    <row r="27" spans="1:42" s="391" customFormat="1" ht="12.6" customHeight="1">
      <c r="A27" s="653" t="s">
        <v>841</v>
      </c>
      <c r="B27" s="606">
        <v>59</v>
      </c>
      <c r="C27" s="606">
        <v>457</v>
      </c>
      <c r="D27" s="606">
        <v>1</v>
      </c>
      <c r="E27" s="606">
        <v>91</v>
      </c>
      <c r="F27" s="606">
        <f>21+275</f>
        <v>296</v>
      </c>
      <c r="G27" s="606">
        <v>12217</v>
      </c>
      <c r="H27" s="606">
        <v>0</v>
      </c>
      <c r="I27" s="606">
        <v>0</v>
      </c>
      <c r="J27" s="606">
        <v>0</v>
      </c>
      <c r="K27" s="606">
        <f t="shared" ref="K27:K29" si="13">L27-SUM(B27:J27)</f>
        <v>5457.6070899999977</v>
      </c>
      <c r="L27" s="606">
        <f>14682+80.585*48.354</f>
        <v>18578.607089999998</v>
      </c>
      <c r="M27" s="606">
        <v>198.3</v>
      </c>
      <c r="N27" s="606">
        <v>746.80000000000007</v>
      </c>
      <c r="O27" s="606">
        <f t="shared" si="3"/>
        <v>945.10000000000014</v>
      </c>
      <c r="P27" s="434">
        <v>181.7</v>
      </c>
      <c r="Q27" s="434">
        <v>189.6</v>
      </c>
      <c r="R27" s="434">
        <v>627.90000000000009</v>
      </c>
      <c r="S27" s="434">
        <v>1091.5</v>
      </c>
      <c r="T27" s="434">
        <v>263</v>
      </c>
      <c r="U27" s="1075" t="s">
        <v>841</v>
      </c>
      <c r="V27" s="1076" t="s">
        <v>841</v>
      </c>
      <c r="W27" s="434">
        <v>530.79999999999995</v>
      </c>
      <c r="X27" s="434">
        <v>222.1</v>
      </c>
      <c r="Y27" s="434">
        <v>609</v>
      </c>
      <c r="Z27" s="434">
        <v>1545.3</v>
      </c>
      <c r="AA27" s="434">
        <v>1053.1000000000001</v>
      </c>
      <c r="AB27" s="434">
        <v>71.3</v>
      </c>
      <c r="AC27" s="434">
        <v>242.5</v>
      </c>
      <c r="AD27" s="434">
        <v>326.59999999999997</v>
      </c>
      <c r="AE27" s="434">
        <v>1105.4000000000001</v>
      </c>
      <c r="AF27" s="434">
        <v>1793.5</v>
      </c>
      <c r="AG27" s="434">
        <v>1081.3</v>
      </c>
      <c r="AH27" s="434">
        <v>2086.1999999999998</v>
      </c>
      <c r="AI27" s="434">
        <v>347.5</v>
      </c>
      <c r="AJ27" s="434">
        <v>1704.7</v>
      </c>
      <c r="AK27" s="434">
        <v>2227.6999999999998</v>
      </c>
      <c r="AL27" s="434">
        <v>8313.7000000000007</v>
      </c>
      <c r="AM27" s="434">
        <f t="shared" ref="AM27" si="14">SUM(P27:T27)+SUM(W27:AL27)</f>
        <v>25614.400000000001</v>
      </c>
      <c r="AN27" s="434">
        <f t="shared" ref="AN27" si="15">O27+AM27</f>
        <v>26559.5</v>
      </c>
      <c r="AO27" s="434">
        <f t="shared" si="6"/>
        <v>-7980.8929100000023</v>
      </c>
      <c r="AP27" s="1075" t="s">
        <v>841</v>
      </c>
    </row>
    <row r="28" spans="1:42" s="391" customFormat="1" ht="12.6" customHeight="1">
      <c r="A28" s="983" t="s">
        <v>2320</v>
      </c>
      <c r="B28" s="1041">
        <f>SUM(B29:B40)</f>
        <v>1161</v>
      </c>
      <c r="C28" s="1041">
        <f t="shared" ref="C28:T28" si="16">SUM(C29:C40)</f>
        <v>6275</v>
      </c>
      <c r="D28" s="1041">
        <f t="shared" si="16"/>
        <v>21</v>
      </c>
      <c r="E28" s="1041">
        <f t="shared" si="16"/>
        <v>1282</v>
      </c>
      <c r="F28" s="1041">
        <f t="shared" si="16"/>
        <v>4089</v>
      </c>
      <c r="G28" s="1041">
        <f t="shared" si="16"/>
        <v>185413</v>
      </c>
      <c r="H28" s="1041">
        <f t="shared" si="16"/>
        <v>72</v>
      </c>
      <c r="I28" s="1041">
        <f t="shared" si="16"/>
        <v>13</v>
      </c>
      <c r="J28" s="1041">
        <f t="shared" si="16"/>
        <v>0</v>
      </c>
      <c r="K28" s="1041">
        <f t="shared" si="16"/>
        <v>68852.312488977797</v>
      </c>
      <c r="L28" s="1041">
        <f t="shared" si="16"/>
        <v>267178.3124889778</v>
      </c>
      <c r="M28" s="1041">
        <f t="shared" si="16"/>
        <v>14319</v>
      </c>
      <c r="N28" s="1041">
        <f t="shared" si="16"/>
        <v>10064.500000000002</v>
      </c>
      <c r="O28" s="1041">
        <f t="shared" si="16"/>
        <v>24383.499999999996</v>
      </c>
      <c r="P28" s="1041">
        <f t="shared" si="16"/>
        <v>2371.4</v>
      </c>
      <c r="Q28" s="1041">
        <f t="shared" si="16"/>
        <v>2362.4</v>
      </c>
      <c r="R28" s="1041">
        <f t="shared" si="16"/>
        <v>4176.3000000000011</v>
      </c>
      <c r="S28" s="1041">
        <f t="shared" si="16"/>
        <v>14447.800000000001</v>
      </c>
      <c r="T28" s="1041">
        <f t="shared" si="16"/>
        <v>3349</v>
      </c>
      <c r="U28" s="984" t="s">
        <v>2320</v>
      </c>
      <c r="V28" s="983" t="s">
        <v>2320</v>
      </c>
      <c r="W28" s="1041">
        <f t="shared" ref="W28:AO28" si="17">SUM(W29:W40)</f>
        <v>7766.4</v>
      </c>
      <c r="X28" s="1041">
        <f t="shared" si="17"/>
        <v>4264</v>
      </c>
      <c r="Y28" s="1041">
        <f t="shared" si="17"/>
        <v>4577.5</v>
      </c>
      <c r="Z28" s="1041">
        <f t="shared" si="17"/>
        <v>34122.799999999996</v>
      </c>
      <c r="AA28" s="1041">
        <f t="shared" si="17"/>
        <v>17548</v>
      </c>
      <c r="AB28" s="1041">
        <f t="shared" si="17"/>
        <v>1251.8</v>
      </c>
      <c r="AC28" s="1041">
        <f t="shared" si="17"/>
        <v>7141.9000000000015</v>
      </c>
      <c r="AD28" s="1041">
        <f t="shared" si="17"/>
        <v>5078.1000000000004</v>
      </c>
      <c r="AE28" s="1041">
        <f t="shared" si="17"/>
        <v>17772.7</v>
      </c>
      <c r="AF28" s="1041">
        <f t="shared" si="17"/>
        <v>24249.800000000003</v>
      </c>
      <c r="AG28" s="1041">
        <f t="shared" si="17"/>
        <v>15664.1</v>
      </c>
      <c r="AH28" s="1041">
        <f t="shared" si="17"/>
        <v>37509.1</v>
      </c>
      <c r="AI28" s="1041">
        <f t="shared" si="17"/>
        <v>5682</v>
      </c>
      <c r="AJ28" s="1041">
        <f t="shared" si="17"/>
        <v>31458.999999999996</v>
      </c>
      <c r="AK28" s="1041">
        <f t="shared" si="17"/>
        <v>37712.400000000009</v>
      </c>
      <c r="AL28" s="1041">
        <f t="shared" si="17"/>
        <v>132150.9</v>
      </c>
      <c r="AM28" s="1041">
        <f t="shared" si="17"/>
        <v>410657.39999999991</v>
      </c>
      <c r="AN28" s="1041">
        <f t="shared" si="17"/>
        <v>435040.89999999997</v>
      </c>
      <c r="AO28" s="1041">
        <f t="shared" si="17"/>
        <v>-167862.58751102214</v>
      </c>
      <c r="AP28" s="984" t="s">
        <v>2320</v>
      </c>
    </row>
    <row r="29" spans="1:42" s="391" customFormat="1" ht="12.6" customHeight="1">
      <c r="A29" s="474" t="s">
        <v>843</v>
      </c>
      <c r="B29" s="606">
        <v>64</v>
      </c>
      <c r="C29" s="606">
        <v>469</v>
      </c>
      <c r="D29" s="606">
        <v>1</v>
      </c>
      <c r="E29" s="606">
        <v>120</v>
      </c>
      <c r="F29" s="606">
        <f>36+349</f>
        <v>385</v>
      </c>
      <c r="G29" s="606">
        <v>15963</v>
      </c>
      <c r="H29" s="606">
        <v>0</v>
      </c>
      <c r="I29" s="606">
        <v>0</v>
      </c>
      <c r="J29" s="606">
        <v>0</v>
      </c>
      <c r="K29" s="606">
        <f t="shared" si="13"/>
        <v>6178.6473564000007</v>
      </c>
      <c r="L29" s="606">
        <f>19075+80.6262*50.922</f>
        <v>23180.647356400001</v>
      </c>
      <c r="M29" s="606">
        <v>586.29999999999995</v>
      </c>
      <c r="N29" s="606">
        <v>539</v>
      </c>
      <c r="O29" s="606">
        <f t="shared" ref="O29:O40" si="18">M29+N29</f>
        <v>1125.3</v>
      </c>
      <c r="P29" s="434">
        <v>99.8</v>
      </c>
      <c r="Q29" s="434">
        <v>212.1</v>
      </c>
      <c r="R29" s="434">
        <v>243.8</v>
      </c>
      <c r="S29" s="434">
        <v>1153.5</v>
      </c>
      <c r="T29" s="434">
        <v>208.1</v>
      </c>
      <c r="U29" s="476" t="s">
        <v>843</v>
      </c>
      <c r="V29" s="474" t="s">
        <v>843</v>
      </c>
      <c r="W29" s="434">
        <v>909.4</v>
      </c>
      <c r="X29" s="434">
        <v>321</v>
      </c>
      <c r="Y29" s="434">
        <v>276.8</v>
      </c>
      <c r="Z29" s="434">
        <v>1697.9</v>
      </c>
      <c r="AA29" s="434">
        <v>1420</v>
      </c>
      <c r="AB29" s="434">
        <v>128.80000000000001</v>
      </c>
      <c r="AC29" s="434">
        <v>262.60000000000002</v>
      </c>
      <c r="AD29" s="434">
        <v>454</v>
      </c>
      <c r="AE29" s="434">
        <v>1420.4</v>
      </c>
      <c r="AF29" s="434">
        <v>2011.7</v>
      </c>
      <c r="AG29" s="434">
        <v>1371.7</v>
      </c>
      <c r="AH29" s="434">
        <v>3537.6</v>
      </c>
      <c r="AI29" s="434">
        <v>420.5</v>
      </c>
      <c r="AJ29" s="434">
        <v>2422.8000000000002</v>
      </c>
      <c r="AK29" s="434">
        <v>2766.2</v>
      </c>
      <c r="AL29" s="434">
        <f>4341.3+3253.8+2168.8</f>
        <v>9763.9000000000015</v>
      </c>
      <c r="AM29" s="434">
        <f t="shared" ref="AM29" si="19">SUM(P29:T29)+SUM(W29:AL29)</f>
        <v>31102.600000000006</v>
      </c>
      <c r="AN29" s="434">
        <f t="shared" ref="AN29" si="20">O29+AM29</f>
        <v>32227.900000000005</v>
      </c>
      <c r="AO29" s="434">
        <f t="shared" ref="AO29:AO34" si="21">L29-AN29</f>
        <v>-9047.2526436000044</v>
      </c>
      <c r="AP29" s="476" t="s">
        <v>843</v>
      </c>
    </row>
    <row r="30" spans="1:42" s="391" customFormat="1" ht="12.6" customHeight="1">
      <c r="A30" s="732" t="s">
        <v>160</v>
      </c>
      <c r="B30" s="585">
        <v>63</v>
      </c>
      <c r="C30" s="585">
        <v>499</v>
      </c>
      <c r="D30" s="585">
        <v>2</v>
      </c>
      <c r="E30" s="585">
        <v>179</v>
      </c>
      <c r="F30" s="585">
        <f>31+478</f>
        <v>509</v>
      </c>
      <c r="G30" s="585">
        <v>16317</v>
      </c>
      <c r="H30" s="585">
        <v>0</v>
      </c>
      <c r="I30" s="585">
        <v>0</v>
      </c>
      <c r="J30" s="585">
        <v>0</v>
      </c>
      <c r="K30" s="585">
        <f t="shared" ref="K30:K31" si="22">L30-SUM(B30:J30)</f>
        <v>6453.0601239200005</v>
      </c>
      <c r="L30" s="585">
        <f>19525+80.693704*55.73</f>
        <v>24022.06012392</v>
      </c>
      <c r="M30" s="585">
        <v>1051.2</v>
      </c>
      <c r="N30" s="585">
        <v>574.9</v>
      </c>
      <c r="O30" s="585">
        <f t="shared" si="18"/>
        <v>1626.1</v>
      </c>
      <c r="P30" s="350">
        <v>110.4</v>
      </c>
      <c r="Q30" s="350">
        <v>242.6</v>
      </c>
      <c r="R30" s="350">
        <v>510.4</v>
      </c>
      <c r="S30" s="350">
        <v>1063.5999999999999</v>
      </c>
      <c r="T30" s="350">
        <v>200.8</v>
      </c>
      <c r="U30" s="733" t="s">
        <v>160</v>
      </c>
      <c r="V30" s="732" t="s">
        <v>844</v>
      </c>
      <c r="W30" s="350">
        <v>775.8</v>
      </c>
      <c r="X30" s="350">
        <v>310.39999999999998</v>
      </c>
      <c r="Y30" s="350">
        <v>278.39999999999998</v>
      </c>
      <c r="Z30" s="350">
        <v>2405.6</v>
      </c>
      <c r="AA30" s="350">
        <v>1486.8</v>
      </c>
      <c r="AB30" s="350">
        <v>110.7</v>
      </c>
      <c r="AC30" s="350">
        <v>356.6</v>
      </c>
      <c r="AD30" s="350">
        <v>402.6</v>
      </c>
      <c r="AE30" s="350">
        <v>1395.5</v>
      </c>
      <c r="AF30" s="350">
        <v>1820.5</v>
      </c>
      <c r="AG30" s="350">
        <v>1336.3</v>
      </c>
      <c r="AH30" s="350">
        <v>3130.5</v>
      </c>
      <c r="AI30" s="350">
        <v>406.2</v>
      </c>
      <c r="AJ30" s="350">
        <v>2528.1999999999998</v>
      </c>
      <c r="AK30" s="350">
        <v>2691.9</v>
      </c>
      <c r="AL30" s="350">
        <f>4081.9+3213.1+2160.2</f>
        <v>9455.2000000000007</v>
      </c>
      <c r="AM30" s="350">
        <f t="shared" ref="AM30" si="23">SUM(P30:T30)+SUM(W30:AL30)</f>
        <v>31019.000000000004</v>
      </c>
      <c r="AN30" s="350">
        <f t="shared" ref="AN30" si="24">O30+AM30</f>
        <v>32645.100000000002</v>
      </c>
      <c r="AO30" s="350">
        <f t="shared" si="21"/>
        <v>-8623.0398760800017</v>
      </c>
      <c r="AP30" s="733" t="s">
        <v>844</v>
      </c>
    </row>
    <row r="31" spans="1:42" s="391" customFormat="1" ht="12.6" customHeight="1">
      <c r="A31" s="474" t="s">
        <v>838</v>
      </c>
      <c r="B31" s="606">
        <v>71</v>
      </c>
      <c r="C31" s="606">
        <v>473</v>
      </c>
      <c r="D31" s="606">
        <v>1</v>
      </c>
      <c r="E31" s="606">
        <v>86</v>
      </c>
      <c r="F31" s="606">
        <f>36+359</f>
        <v>395</v>
      </c>
      <c r="G31" s="606">
        <v>13869</v>
      </c>
      <c r="H31" s="606">
        <v>0</v>
      </c>
      <c r="I31" s="606">
        <v>0</v>
      </c>
      <c r="J31" s="606">
        <v>0</v>
      </c>
      <c r="K31" s="606">
        <f t="shared" si="22"/>
        <v>4068.5959579999981</v>
      </c>
      <c r="L31" s="606">
        <f>16439+80.7354*31.27</f>
        <v>18963.595957999998</v>
      </c>
      <c r="M31" s="606">
        <v>1272</v>
      </c>
      <c r="N31" s="606">
        <v>1074.7</v>
      </c>
      <c r="O31" s="606">
        <f t="shared" si="18"/>
        <v>2346.6999999999998</v>
      </c>
      <c r="P31" s="434">
        <v>123.6</v>
      </c>
      <c r="Q31" s="434">
        <v>126.2</v>
      </c>
      <c r="R31" s="434">
        <v>223.5</v>
      </c>
      <c r="S31" s="434">
        <v>1123.0999999999999</v>
      </c>
      <c r="T31" s="434">
        <v>145.19999999999999</v>
      </c>
      <c r="U31" s="476" t="s">
        <v>838</v>
      </c>
      <c r="V31" s="474" t="s">
        <v>838</v>
      </c>
      <c r="W31" s="434">
        <v>843</v>
      </c>
      <c r="X31" s="434">
        <v>199.4</v>
      </c>
      <c r="Y31" s="434">
        <v>302.8</v>
      </c>
      <c r="Z31" s="434">
        <v>1954.5</v>
      </c>
      <c r="AA31" s="434">
        <v>1173.8</v>
      </c>
      <c r="AB31" s="434">
        <v>72.900000000000006</v>
      </c>
      <c r="AC31" s="434">
        <v>421.3</v>
      </c>
      <c r="AD31" s="434">
        <v>342.4</v>
      </c>
      <c r="AE31" s="434">
        <v>1252.5</v>
      </c>
      <c r="AF31" s="434">
        <v>1659.4</v>
      </c>
      <c r="AG31" s="434">
        <v>1176.2</v>
      </c>
      <c r="AH31" s="434">
        <v>2621.4</v>
      </c>
      <c r="AI31" s="434">
        <v>351.4</v>
      </c>
      <c r="AJ31" s="434">
        <v>2294.8000000000002</v>
      </c>
      <c r="AK31" s="434">
        <v>2152.4</v>
      </c>
      <c r="AL31" s="434">
        <f>4794.2+3367.2+2002.2</f>
        <v>10163.6</v>
      </c>
      <c r="AM31" s="434">
        <f t="shared" ref="AM31" si="25">SUM(P31:T31)+SUM(W31:AL31)</f>
        <v>28723.4</v>
      </c>
      <c r="AN31" s="434">
        <f t="shared" ref="AN31" si="26">O31+AM31</f>
        <v>31070.100000000002</v>
      </c>
      <c r="AO31" s="434">
        <f t="shared" si="21"/>
        <v>-12106.504042000004</v>
      </c>
      <c r="AP31" s="476" t="s">
        <v>838</v>
      </c>
    </row>
    <row r="32" spans="1:42" s="391" customFormat="1" ht="12.6" customHeight="1">
      <c r="A32" s="732" t="s">
        <v>845</v>
      </c>
      <c r="B32" s="585">
        <v>89</v>
      </c>
      <c r="C32" s="585">
        <v>587</v>
      </c>
      <c r="D32" s="585">
        <v>1</v>
      </c>
      <c r="E32" s="585">
        <v>106</v>
      </c>
      <c r="F32" s="585">
        <f>45+426</f>
        <v>471</v>
      </c>
      <c r="G32" s="585">
        <v>15365</v>
      </c>
      <c r="H32" s="585">
        <v>72</v>
      </c>
      <c r="I32" s="585">
        <v>0</v>
      </c>
      <c r="J32" s="585">
        <v>0</v>
      </c>
      <c r="K32" s="585">
        <f t="shared" ref="K32:K33" si="27">L32-SUM(B32:J32)</f>
        <v>5536.336658764998</v>
      </c>
      <c r="L32" s="585">
        <f>18698+80.820185*43.669</f>
        <v>22227.336658764998</v>
      </c>
      <c r="M32" s="585">
        <v>1484.3999999999999</v>
      </c>
      <c r="N32" s="585">
        <v>1089.2</v>
      </c>
      <c r="O32" s="585">
        <f t="shared" si="18"/>
        <v>2573.6</v>
      </c>
      <c r="P32" s="350">
        <v>219.9</v>
      </c>
      <c r="Q32" s="350">
        <v>141.80000000000001</v>
      </c>
      <c r="R32" s="350">
        <v>403.6</v>
      </c>
      <c r="S32" s="350">
        <v>1553.9</v>
      </c>
      <c r="T32" s="350">
        <v>218.5</v>
      </c>
      <c r="U32" s="733" t="s">
        <v>845</v>
      </c>
      <c r="V32" s="732" t="s">
        <v>845</v>
      </c>
      <c r="W32" s="350">
        <v>959.1</v>
      </c>
      <c r="X32" s="350">
        <v>314</v>
      </c>
      <c r="Y32" s="350">
        <v>0</v>
      </c>
      <c r="Z32" s="350">
        <v>2857.7</v>
      </c>
      <c r="AA32" s="350">
        <v>1371.9</v>
      </c>
      <c r="AB32" s="350">
        <v>85.8</v>
      </c>
      <c r="AC32" s="350">
        <v>977.59999999999991</v>
      </c>
      <c r="AD32" s="350">
        <v>458.9</v>
      </c>
      <c r="AE32" s="350">
        <v>1449.9</v>
      </c>
      <c r="AF32" s="350">
        <v>1674.3</v>
      </c>
      <c r="AG32" s="350">
        <v>1288.2</v>
      </c>
      <c r="AH32" s="350">
        <v>2750.3</v>
      </c>
      <c r="AI32" s="350">
        <v>369</v>
      </c>
      <c r="AJ32" s="350">
        <v>2298.9</v>
      </c>
      <c r="AK32" s="350">
        <v>2908.5</v>
      </c>
      <c r="AL32" s="350">
        <f>4745.2+3623.6+2318.7</f>
        <v>10687.5</v>
      </c>
      <c r="AM32" s="350">
        <f t="shared" ref="AM32" si="28">SUM(P32:T32)+SUM(W32:AL32)</f>
        <v>32989.299999999996</v>
      </c>
      <c r="AN32" s="350">
        <f t="shared" ref="AN32" si="29">O32+AM32</f>
        <v>35562.899999999994</v>
      </c>
      <c r="AO32" s="350">
        <f t="shared" si="21"/>
        <v>-13335.563341234996</v>
      </c>
      <c r="AP32" s="733" t="s">
        <v>845</v>
      </c>
    </row>
    <row r="33" spans="1:42" s="391" customFormat="1" ht="12.6" customHeight="1">
      <c r="A33" s="474" t="s">
        <v>846</v>
      </c>
      <c r="B33" s="606">
        <v>139</v>
      </c>
      <c r="C33" s="606">
        <v>615</v>
      </c>
      <c r="D33" s="606">
        <v>3</v>
      </c>
      <c r="E33" s="606">
        <v>102</v>
      </c>
      <c r="F33" s="606">
        <f>39+300</f>
        <v>339</v>
      </c>
      <c r="G33" s="606">
        <v>14715</v>
      </c>
      <c r="H33" s="606">
        <v>0</v>
      </c>
      <c r="I33" s="606">
        <v>0</v>
      </c>
      <c r="J33" s="606">
        <v>0</v>
      </c>
      <c r="K33" s="606">
        <f t="shared" si="27"/>
        <v>5867.8601950000011</v>
      </c>
      <c r="L33" s="606">
        <f>17654+81.255*50.789</f>
        <v>21780.860195000001</v>
      </c>
      <c r="M33" s="606">
        <v>1765.9</v>
      </c>
      <c r="N33" s="606">
        <v>1238.8</v>
      </c>
      <c r="O33" s="606">
        <f t="shared" si="18"/>
        <v>3004.7</v>
      </c>
      <c r="P33" s="434">
        <v>267.10000000000002</v>
      </c>
      <c r="Q33" s="434">
        <v>176.7</v>
      </c>
      <c r="R33" s="434">
        <v>409.8</v>
      </c>
      <c r="S33" s="434">
        <v>1634.2</v>
      </c>
      <c r="T33" s="434">
        <v>121.8</v>
      </c>
      <c r="U33" s="476" t="s">
        <v>846</v>
      </c>
      <c r="V33" s="474" t="s">
        <v>846</v>
      </c>
      <c r="W33" s="434">
        <v>1182.4000000000001</v>
      </c>
      <c r="X33" s="434">
        <v>258.8</v>
      </c>
      <c r="Y33" s="434">
        <v>0</v>
      </c>
      <c r="Z33" s="434">
        <v>2707.9</v>
      </c>
      <c r="AA33" s="434">
        <v>1488.5</v>
      </c>
      <c r="AB33" s="434">
        <v>109.4</v>
      </c>
      <c r="AC33" s="434">
        <v>842.7</v>
      </c>
      <c r="AD33" s="434">
        <v>406.8</v>
      </c>
      <c r="AE33" s="434">
        <v>1500.4</v>
      </c>
      <c r="AF33" s="434">
        <v>1471.2</v>
      </c>
      <c r="AG33" s="434">
        <v>1259.5999999999999</v>
      </c>
      <c r="AH33" s="434">
        <v>2933.4</v>
      </c>
      <c r="AI33" s="434">
        <v>406.2</v>
      </c>
      <c r="AJ33" s="434">
        <v>2562.6</v>
      </c>
      <c r="AK33" s="434">
        <v>2811.2</v>
      </c>
      <c r="AL33" s="434">
        <f>4500.2+3572.7+2517.3</f>
        <v>10590.2</v>
      </c>
      <c r="AM33" s="434">
        <f t="shared" ref="AM33" si="30">SUM(P33:T33)+SUM(W33:AL33)</f>
        <v>33140.9</v>
      </c>
      <c r="AN33" s="434">
        <f t="shared" ref="AN33" si="31">O33+AM33</f>
        <v>36145.599999999999</v>
      </c>
      <c r="AO33" s="434">
        <f t="shared" si="21"/>
        <v>-14364.739804999997</v>
      </c>
      <c r="AP33" s="476" t="s">
        <v>846</v>
      </c>
    </row>
    <row r="34" spans="1:42" s="391" customFormat="1" ht="12.6" customHeight="1">
      <c r="A34" s="732" t="s">
        <v>839</v>
      </c>
      <c r="B34" s="585">
        <v>93</v>
      </c>
      <c r="C34" s="585">
        <v>529</v>
      </c>
      <c r="D34" s="585">
        <v>2</v>
      </c>
      <c r="E34" s="585">
        <v>101</v>
      </c>
      <c r="F34" s="585">
        <f>56+299</f>
        <v>355</v>
      </c>
      <c r="G34" s="585">
        <v>13336</v>
      </c>
      <c r="H34" s="585">
        <v>0</v>
      </c>
      <c r="I34" s="585">
        <v>0</v>
      </c>
      <c r="J34" s="585">
        <v>0</v>
      </c>
      <c r="K34" s="585">
        <f t="shared" ref="K34" si="32">L34-SUM(B34:J34)</f>
        <v>5746.1156800000026</v>
      </c>
      <c r="L34" s="585">
        <f>16089+82.552*49.34</f>
        <v>20162.115680000003</v>
      </c>
      <c r="M34" s="585">
        <v>1468.3</v>
      </c>
      <c r="N34" s="585">
        <v>1209</v>
      </c>
      <c r="O34" s="585">
        <f t="shared" si="18"/>
        <v>2677.3</v>
      </c>
      <c r="P34" s="350">
        <v>211.9</v>
      </c>
      <c r="Q34" s="350">
        <v>129.6</v>
      </c>
      <c r="R34" s="350">
        <v>66.5</v>
      </c>
      <c r="S34" s="350">
        <v>987.2</v>
      </c>
      <c r="T34" s="350">
        <v>187</v>
      </c>
      <c r="U34" s="733" t="s">
        <v>839</v>
      </c>
      <c r="V34" s="732" t="s">
        <v>839</v>
      </c>
      <c r="W34" s="350">
        <v>288.39999999999998</v>
      </c>
      <c r="X34" s="350">
        <v>301.7</v>
      </c>
      <c r="Y34" s="350">
        <v>370.1</v>
      </c>
      <c r="Z34" s="350">
        <v>2585.9</v>
      </c>
      <c r="AA34" s="350">
        <v>1325.1</v>
      </c>
      <c r="AB34" s="350">
        <v>126.3</v>
      </c>
      <c r="AC34" s="350">
        <v>658.3</v>
      </c>
      <c r="AD34" s="350">
        <v>412.8</v>
      </c>
      <c r="AE34" s="350">
        <v>1374</v>
      </c>
      <c r="AF34" s="350">
        <v>1660.6</v>
      </c>
      <c r="AG34" s="350">
        <v>1090.5999999999999</v>
      </c>
      <c r="AH34" s="350">
        <v>2775.7</v>
      </c>
      <c r="AI34" s="350">
        <v>473.9</v>
      </c>
      <c r="AJ34" s="350">
        <v>2690.6</v>
      </c>
      <c r="AK34" s="350">
        <v>3049.6</v>
      </c>
      <c r="AL34" s="350">
        <f>5159.1+3386+2451</f>
        <v>10996.1</v>
      </c>
      <c r="AM34" s="350">
        <f t="shared" ref="AM34" si="33">SUM(P34:T34)+SUM(W34:AL34)</f>
        <v>31761.899999999998</v>
      </c>
      <c r="AN34" s="350">
        <f t="shared" ref="AN34" si="34">O34+AM34</f>
        <v>34439.199999999997</v>
      </c>
      <c r="AO34" s="350">
        <f t="shared" si="21"/>
        <v>-14277.084319999994</v>
      </c>
      <c r="AP34" s="733" t="s">
        <v>839</v>
      </c>
    </row>
    <row r="35" spans="1:42" s="391" customFormat="1" ht="12.6" customHeight="1">
      <c r="A35" s="474" t="s">
        <v>847</v>
      </c>
      <c r="B35" s="606">
        <v>119</v>
      </c>
      <c r="C35" s="606">
        <v>581</v>
      </c>
      <c r="D35" s="606">
        <v>3</v>
      </c>
      <c r="E35" s="606">
        <v>100</v>
      </c>
      <c r="F35" s="606">
        <f>49+356</f>
        <v>405</v>
      </c>
      <c r="G35" s="606">
        <v>16323</v>
      </c>
      <c r="H35" s="606">
        <v>0</v>
      </c>
      <c r="I35" s="606">
        <v>0</v>
      </c>
      <c r="J35" s="606">
        <v>0</v>
      </c>
      <c r="K35" s="606">
        <f t="shared" ref="K35" si="35">L35-SUM(B35:J35)</f>
        <v>6354.1537700000008</v>
      </c>
      <c r="L35" s="606">
        <f>19516+82.815*52.758</f>
        <v>23885.153770000001</v>
      </c>
      <c r="M35" s="606">
        <v>1998.3000000000002</v>
      </c>
      <c r="N35" s="606">
        <v>1078.0999999999999</v>
      </c>
      <c r="O35" s="606">
        <f t="shared" si="18"/>
        <v>3076.4</v>
      </c>
      <c r="P35" s="434">
        <v>163</v>
      </c>
      <c r="Q35" s="434">
        <v>344.3</v>
      </c>
      <c r="R35" s="434">
        <v>313.5</v>
      </c>
      <c r="S35" s="434">
        <v>912.5</v>
      </c>
      <c r="T35" s="434">
        <v>337.6</v>
      </c>
      <c r="U35" s="476" t="s">
        <v>847</v>
      </c>
      <c r="V35" s="474" t="s">
        <v>847</v>
      </c>
      <c r="W35" s="434">
        <v>600.70000000000005</v>
      </c>
      <c r="X35" s="434">
        <v>404.9</v>
      </c>
      <c r="Y35" s="434">
        <v>785.8</v>
      </c>
      <c r="Z35" s="434">
        <v>2588.7000000000003</v>
      </c>
      <c r="AA35" s="434">
        <v>1625.9</v>
      </c>
      <c r="AB35" s="434">
        <v>92.9</v>
      </c>
      <c r="AC35" s="434">
        <v>534.6</v>
      </c>
      <c r="AD35" s="434">
        <v>471.1</v>
      </c>
      <c r="AE35" s="434">
        <v>1588.6</v>
      </c>
      <c r="AF35" s="434">
        <v>2250.5</v>
      </c>
      <c r="AG35" s="434">
        <v>1317</v>
      </c>
      <c r="AH35" s="434">
        <v>3900.8</v>
      </c>
      <c r="AI35" s="434">
        <v>554.70000000000005</v>
      </c>
      <c r="AJ35" s="434">
        <v>2785.1</v>
      </c>
      <c r="AK35" s="434">
        <v>3783.6</v>
      </c>
      <c r="AL35" s="434">
        <f>6290+4322.2+2814.1</f>
        <v>13426.300000000001</v>
      </c>
      <c r="AM35" s="434">
        <f t="shared" ref="AM35" si="36">SUM(P35:T35)+SUM(W35:AL35)</f>
        <v>38782.1</v>
      </c>
      <c r="AN35" s="434">
        <f t="shared" ref="AN35" si="37">O35+AM35</f>
        <v>41858.5</v>
      </c>
      <c r="AO35" s="434">
        <f t="shared" ref="AO35" si="38">L35-AN35</f>
        <v>-17973.346229999999</v>
      </c>
      <c r="AP35" s="476" t="s">
        <v>847</v>
      </c>
    </row>
    <row r="36" spans="1:42" s="391" customFormat="1" ht="12.6" customHeight="1">
      <c r="A36" s="732" t="s">
        <v>848</v>
      </c>
      <c r="B36" s="585">
        <v>92</v>
      </c>
      <c r="C36" s="585">
        <v>471</v>
      </c>
      <c r="D36" s="585">
        <v>2</v>
      </c>
      <c r="E36" s="585">
        <v>63</v>
      </c>
      <c r="F36" s="585">
        <f>60+195</f>
        <v>255</v>
      </c>
      <c r="G36" s="585">
        <v>14991</v>
      </c>
      <c r="H36" s="585">
        <v>0</v>
      </c>
      <c r="I36" s="585">
        <v>0</v>
      </c>
      <c r="J36" s="585">
        <v>0</v>
      </c>
      <c r="K36" s="585">
        <f t="shared" ref="K36" si="39">L36-SUM(B36:J36)</f>
        <v>5327.0531378968008</v>
      </c>
      <c r="L36" s="585">
        <f>17444+82.919583*45.3096</f>
        <v>21201.053137896801</v>
      </c>
      <c r="M36" s="585">
        <v>1431.7</v>
      </c>
      <c r="N36" s="585">
        <v>683.7</v>
      </c>
      <c r="O36" s="585">
        <f t="shared" si="18"/>
        <v>2115.4</v>
      </c>
      <c r="P36" s="350">
        <v>215.6</v>
      </c>
      <c r="Q36" s="350">
        <v>148.80000000000001</v>
      </c>
      <c r="R36" s="350">
        <v>231.60000000000002</v>
      </c>
      <c r="S36" s="350">
        <v>1229.9000000000001</v>
      </c>
      <c r="T36" s="350">
        <v>199.3</v>
      </c>
      <c r="U36" s="733" t="s">
        <v>848</v>
      </c>
      <c r="V36" s="732" t="s">
        <v>848</v>
      </c>
      <c r="W36" s="350">
        <v>334.1</v>
      </c>
      <c r="X36" s="350">
        <v>368.1</v>
      </c>
      <c r="Y36" s="350">
        <v>412.9</v>
      </c>
      <c r="Z36" s="350">
        <v>2973.1</v>
      </c>
      <c r="AA36" s="350">
        <v>1526.9</v>
      </c>
      <c r="AB36" s="350">
        <v>104.8</v>
      </c>
      <c r="AC36" s="350">
        <v>664.5</v>
      </c>
      <c r="AD36" s="350">
        <v>404.29999999999995</v>
      </c>
      <c r="AE36" s="350">
        <v>1291.0999999999999</v>
      </c>
      <c r="AF36" s="350">
        <v>2224</v>
      </c>
      <c r="AG36" s="350">
        <v>1306.3999999999999</v>
      </c>
      <c r="AH36" s="350">
        <v>3122</v>
      </c>
      <c r="AI36" s="350">
        <v>532.6</v>
      </c>
      <c r="AJ36" s="350">
        <v>2255.1000000000004</v>
      </c>
      <c r="AK36" s="350">
        <v>3099.6</v>
      </c>
      <c r="AL36" s="350">
        <f>5564.4+3189.8+2717.3</f>
        <v>11471.5</v>
      </c>
      <c r="AM36" s="350">
        <f t="shared" ref="AM36" si="40">SUM(P36:T36)+SUM(W36:AL36)</f>
        <v>34116.199999999997</v>
      </c>
      <c r="AN36" s="350">
        <f t="shared" ref="AN36" si="41">O36+AM36</f>
        <v>36231.599999999999</v>
      </c>
      <c r="AO36" s="350">
        <f t="shared" ref="AO36" si="42">L36-AN36</f>
        <v>-15030.546862103198</v>
      </c>
      <c r="AP36" s="733" t="s">
        <v>848</v>
      </c>
    </row>
    <row r="37" spans="1:42" s="391" customFormat="1" ht="12.6" customHeight="1">
      <c r="A37" s="474" t="s">
        <v>575</v>
      </c>
      <c r="B37" s="606">
        <v>103</v>
      </c>
      <c r="C37" s="606">
        <v>480</v>
      </c>
      <c r="D37" s="606">
        <v>1</v>
      </c>
      <c r="E37" s="606">
        <v>104</v>
      </c>
      <c r="F37" s="606">
        <f>57+170</f>
        <v>227</v>
      </c>
      <c r="G37" s="606">
        <v>16505</v>
      </c>
      <c r="H37" s="606">
        <v>0</v>
      </c>
      <c r="I37" s="606">
        <v>2</v>
      </c>
      <c r="J37" s="606">
        <v>0</v>
      </c>
      <c r="K37" s="606">
        <f t="shared" ref="K37" si="43">L37-SUM(B37:J37)</f>
        <v>5736.3449599999985</v>
      </c>
      <c r="L37" s="606">
        <f>19087+82.96*49.076</f>
        <v>23158.344959999999</v>
      </c>
      <c r="M37" s="606">
        <v>1147.9000000000001</v>
      </c>
      <c r="N37" s="606">
        <v>626.9</v>
      </c>
      <c r="O37" s="606">
        <f t="shared" si="18"/>
        <v>1774.8000000000002</v>
      </c>
      <c r="P37" s="434">
        <v>291.10000000000002</v>
      </c>
      <c r="Q37" s="434">
        <v>185.9</v>
      </c>
      <c r="R37" s="434">
        <v>261.3</v>
      </c>
      <c r="S37" s="434">
        <v>1116.4000000000001</v>
      </c>
      <c r="T37" s="434">
        <v>473</v>
      </c>
      <c r="U37" s="476" t="s">
        <v>575</v>
      </c>
      <c r="V37" s="474" t="s">
        <v>840</v>
      </c>
      <c r="W37" s="434">
        <v>477.1</v>
      </c>
      <c r="X37" s="434">
        <v>366</v>
      </c>
      <c r="Y37" s="434">
        <v>392.6</v>
      </c>
      <c r="Z37" s="434">
        <v>3089.3</v>
      </c>
      <c r="AA37" s="434">
        <v>1478.7</v>
      </c>
      <c r="AB37" s="434">
        <v>118.1</v>
      </c>
      <c r="AC37" s="434">
        <v>853.8</v>
      </c>
      <c r="AD37" s="434">
        <v>407.9</v>
      </c>
      <c r="AE37" s="434">
        <v>1560.2</v>
      </c>
      <c r="AF37" s="434">
        <v>2597.1999999999998</v>
      </c>
      <c r="AG37" s="434">
        <v>1203.4000000000001</v>
      </c>
      <c r="AH37" s="434">
        <v>3059.7</v>
      </c>
      <c r="AI37" s="434">
        <v>560.1</v>
      </c>
      <c r="AJ37" s="434">
        <v>2427.1</v>
      </c>
      <c r="AK37" s="434">
        <v>3053.2</v>
      </c>
      <c r="AL37" s="434">
        <f>5536.9+3470+2242.4</f>
        <v>11249.3</v>
      </c>
      <c r="AM37" s="434">
        <f t="shared" ref="AM37" si="44">SUM(P37:T37)+SUM(W37:AL37)</f>
        <v>35221.399999999994</v>
      </c>
      <c r="AN37" s="434">
        <f t="shared" ref="AN37" si="45">O37+AM37</f>
        <v>36996.199999999997</v>
      </c>
      <c r="AO37" s="434">
        <f t="shared" ref="AO37" si="46">L37-AN37</f>
        <v>-13837.855039999999</v>
      </c>
      <c r="AP37" s="476" t="s">
        <v>840</v>
      </c>
    </row>
    <row r="38" spans="1:42" s="391" customFormat="1" ht="12.6" customHeight="1">
      <c r="A38" s="732" t="s">
        <v>849</v>
      </c>
      <c r="B38" s="585">
        <v>147</v>
      </c>
      <c r="C38" s="585">
        <v>650</v>
      </c>
      <c r="D38" s="585">
        <v>3</v>
      </c>
      <c r="E38" s="585">
        <v>121</v>
      </c>
      <c r="F38" s="585">
        <f>48+190</f>
        <v>238</v>
      </c>
      <c r="G38" s="585">
        <v>16143</v>
      </c>
      <c r="H38" s="585">
        <v>0</v>
      </c>
      <c r="I38" s="585">
        <v>1</v>
      </c>
      <c r="J38" s="585">
        <v>0</v>
      </c>
      <c r="K38" s="585">
        <f t="shared" ref="K38" si="47">L38-SUM(B38:J38)</f>
        <v>5768.2403247149996</v>
      </c>
      <c r="L38" s="585">
        <f>18944+82.974615*49.741</f>
        <v>23071.240324715</v>
      </c>
      <c r="M38" s="585">
        <v>985.6</v>
      </c>
      <c r="N38" s="585">
        <v>696.9</v>
      </c>
      <c r="O38" s="585">
        <f t="shared" si="18"/>
        <v>1682.5</v>
      </c>
      <c r="P38" s="350">
        <v>212</v>
      </c>
      <c r="Q38" s="350">
        <v>230.5</v>
      </c>
      <c r="R38" s="350">
        <v>783.7</v>
      </c>
      <c r="S38" s="350">
        <v>1388.6999999999998</v>
      </c>
      <c r="T38" s="350">
        <v>483.7</v>
      </c>
      <c r="U38" s="733" t="s">
        <v>849</v>
      </c>
      <c r="V38" s="732" t="s">
        <v>849</v>
      </c>
      <c r="W38" s="350">
        <v>728.4</v>
      </c>
      <c r="X38" s="350">
        <v>490.90000000000003</v>
      </c>
      <c r="Y38" s="350">
        <v>419.5</v>
      </c>
      <c r="Z38" s="350">
        <v>2840.2999999999997</v>
      </c>
      <c r="AA38" s="350">
        <v>1849.7</v>
      </c>
      <c r="AB38" s="350">
        <v>95.100000000000009</v>
      </c>
      <c r="AC38" s="350">
        <v>826.5</v>
      </c>
      <c r="AD38" s="350">
        <v>444.3</v>
      </c>
      <c r="AE38" s="350">
        <v>1671.3</v>
      </c>
      <c r="AF38" s="350">
        <v>2238.3000000000002</v>
      </c>
      <c r="AG38" s="350">
        <v>1432.7</v>
      </c>
      <c r="AH38" s="350">
        <v>3139.7</v>
      </c>
      <c r="AI38" s="350">
        <v>526.6</v>
      </c>
      <c r="AJ38" s="350">
        <v>3039.1</v>
      </c>
      <c r="AK38" s="350">
        <v>4146.1000000000004</v>
      </c>
      <c r="AL38" s="350">
        <f>5209.4+3704.7+2827.8</f>
        <v>11741.899999999998</v>
      </c>
      <c r="AM38" s="350">
        <f t="shared" ref="AM38" si="48">SUM(P38:T38)+SUM(W38:AL38)</f>
        <v>38728.999999999993</v>
      </c>
      <c r="AN38" s="350">
        <f t="shared" ref="AN38" si="49">O38+AM38</f>
        <v>40411.499999999993</v>
      </c>
      <c r="AO38" s="350">
        <f t="shared" ref="AO38" si="50">L38-AN38</f>
        <v>-17340.259675284993</v>
      </c>
      <c r="AP38" s="733" t="s">
        <v>849</v>
      </c>
    </row>
    <row r="39" spans="1:42" s="391" customFormat="1" ht="12.6" customHeight="1">
      <c r="A39" s="474" t="s">
        <v>850</v>
      </c>
      <c r="B39" s="606">
        <v>97</v>
      </c>
      <c r="C39" s="606">
        <v>531</v>
      </c>
      <c r="D39" s="606">
        <v>2</v>
      </c>
      <c r="E39" s="606">
        <v>108</v>
      </c>
      <c r="F39" s="606">
        <f>55+203</f>
        <v>258</v>
      </c>
      <c r="G39" s="606">
        <v>16893</v>
      </c>
      <c r="H39" s="606">
        <v>0</v>
      </c>
      <c r="I39" s="606">
        <v>7</v>
      </c>
      <c r="J39" s="606">
        <v>0</v>
      </c>
      <c r="K39" s="606">
        <f t="shared" ref="K39:K40" si="51">L39-SUM(B39:J39)</f>
        <v>6442.5867479549997</v>
      </c>
      <c r="L39" s="606">
        <f>19726+83.384615*55.317</f>
        <v>24338.586747955</v>
      </c>
      <c r="M39" s="606">
        <v>731</v>
      </c>
      <c r="N39" s="606">
        <v>899.6</v>
      </c>
      <c r="O39" s="606">
        <f t="shared" si="18"/>
        <v>1630.6</v>
      </c>
      <c r="P39" s="434">
        <v>260.8</v>
      </c>
      <c r="Q39" s="434">
        <v>241.1</v>
      </c>
      <c r="R39" s="434">
        <v>382.6</v>
      </c>
      <c r="S39" s="434">
        <v>1596.7</v>
      </c>
      <c r="T39" s="434">
        <v>605.5</v>
      </c>
      <c r="U39" s="476" t="s">
        <v>850</v>
      </c>
      <c r="V39" s="474" t="s">
        <v>850</v>
      </c>
      <c r="W39" s="434">
        <v>428.4</v>
      </c>
      <c r="X39" s="434">
        <v>502.8</v>
      </c>
      <c r="Y39" s="434">
        <v>861.1</v>
      </c>
      <c r="Z39" s="434">
        <v>4271.2</v>
      </c>
      <c r="AA39" s="434">
        <v>1528.2</v>
      </c>
      <c r="AB39" s="434">
        <v>118.3</v>
      </c>
      <c r="AC39" s="434">
        <v>615.29999999999995</v>
      </c>
      <c r="AD39" s="434">
        <v>479.2</v>
      </c>
      <c r="AE39" s="434">
        <v>1877.3</v>
      </c>
      <c r="AF39" s="434">
        <v>2644.9</v>
      </c>
      <c r="AG39" s="434">
        <v>1606.4</v>
      </c>
      <c r="AH39" s="434">
        <v>3742.1</v>
      </c>
      <c r="AI39" s="434">
        <v>613.6</v>
      </c>
      <c r="AJ39" s="434">
        <v>3265.4</v>
      </c>
      <c r="AK39" s="434">
        <v>4653.3</v>
      </c>
      <c r="AL39" s="434">
        <f>6605.9+3882.4+2907.6</f>
        <v>13395.9</v>
      </c>
      <c r="AM39" s="434">
        <f t="shared" ref="AM39" si="52">SUM(P39:T39)+SUM(W39:AL39)</f>
        <v>43690.099999999991</v>
      </c>
      <c r="AN39" s="434">
        <f t="shared" ref="AN39:AN40" si="53">O39+AM39</f>
        <v>45320.69999999999</v>
      </c>
      <c r="AO39" s="434">
        <f t="shared" ref="AO39:AO40" si="54">L39-AN39</f>
        <v>-20982.11325204499</v>
      </c>
      <c r="AP39" s="476" t="s">
        <v>850</v>
      </c>
    </row>
    <row r="40" spans="1:42" s="391" customFormat="1" ht="12.6" customHeight="1">
      <c r="A40" s="732" t="s">
        <v>841</v>
      </c>
      <c r="B40" s="585">
        <v>84</v>
      </c>
      <c r="C40" s="585">
        <v>390</v>
      </c>
      <c r="D40" s="585">
        <v>0</v>
      </c>
      <c r="E40" s="585">
        <v>92</v>
      </c>
      <c r="F40" s="585">
        <f>49+203</f>
        <v>252</v>
      </c>
      <c r="G40" s="585">
        <v>14993</v>
      </c>
      <c r="H40" s="585">
        <v>0</v>
      </c>
      <c r="I40" s="585">
        <v>3</v>
      </c>
      <c r="J40" s="585">
        <v>0</v>
      </c>
      <c r="K40" s="585">
        <f t="shared" si="51"/>
        <v>5373.3175763260006</v>
      </c>
      <c r="L40" s="585">
        <f>17454+83.701042*44.603</f>
        <v>21187.317576326001</v>
      </c>
      <c r="M40" s="585">
        <v>396.4</v>
      </c>
      <c r="N40" s="585">
        <v>353.7</v>
      </c>
      <c r="O40" s="585">
        <f t="shared" si="18"/>
        <v>750.09999999999991</v>
      </c>
      <c r="P40" s="350">
        <v>196.2</v>
      </c>
      <c r="Q40" s="350">
        <v>182.8</v>
      </c>
      <c r="R40" s="350">
        <v>346</v>
      </c>
      <c r="S40" s="350">
        <v>688.1</v>
      </c>
      <c r="T40" s="350">
        <v>168.5</v>
      </c>
      <c r="U40" s="733" t="s">
        <v>841</v>
      </c>
      <c r="V40" s="732" t="s">
        <v>841</v>
      </c>
      <c r="W40" s="350">
        <v>239.6</v>
      </c>
      <c r="X40" s="350">
        <v>426</v>
      </c>
      <c r="Y40" s="350">
        <v>477.5</v>
      </c>
      <c r="Z40" s="350">
        <v>4150.7</v>
      </c>
      <c r="AA40" s="350">
        <v>1272.5</v>
      </c>
      <c r="AB40" s="350">
        <v>88.7</v>
      </c>
      <c r="AC40" s="350">
        <v>128.1</v>
      </c>
      <c r="AD40" s="350">
        <v>393.79999999999995</v>
      </c>
      <c r="AE40" s="350">
        <v>1391.5</v>
      </c>
      <c r="AF40" s="350">
        <v>1997.1999999999998</v>
      </c>
      <c r="AG40" s="350">
        <v>1275.5999999999999</v>
      </c>
      <c r="AH40" s="350">
        <v>2795.9</v>
      </c>
      <c r="AI40" s="350">
        <v>467.2</v>
      </c>
      <c r="AJ40" s="350">
        <v>2889.3</v>
      </c>
      <c r="AK40" s="350">
        <v>2596.8000000000002</v>
      </c>
      <c r="AL40" s="350">
        <f>4220.7+2893.8+2095</f>
        <v>9209.5</v>
      </c>
      <c r="AM40" s="350">
        <f t="shared" ref="AM40" si="55">SUM(P40:T40)+SUM(W40:AL40)</f>
        <v>31381.499999999996</v>
      </c>
      <c r="AN40" s="350">
        <f t="shared" si="53"/>
        <v>32131.599999999995</v>
      </c>
      <c r="AO40" s="350">
        <f t="shared" si="54"/>
        <v>-10944.282423673994</v>
      </c>
      <c r="AP40" s="733" t="s">
        <v>841</v>
      </c>
    </row>
    <row r="41" spans="1:42" s="391" customFormat="1" ht="12.6" customHeight="1">
      <c r="A41" s="1473" t="s">
        <v>2583</v>
      </c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4"/>
      <c r="S41" s="434"/>
      <c r="T41" s="434"/>
      <c r="U41" s="1474" t="s">
        <v>2583</v>
      </c>
      <c r="V41" s="1473" t="s">
        <v>2583</v>
      </c>
      <c r="W41" s="434"/>
      <c r="X41" s="434"/>
      <c r="Y41" s="434"/>
      <c r="Z41" s="434"/>
      <c r="AA41" s="434"/>
      <c r="AB41" s="434"/>
      <c r="AC41" s="434"/>
      <c r="AD41" s="434"/>
      <c r="AE41" s="434"/>
      <c r="AF41" s="434"/>
      <c r="AG41" s="434"/>
      <c r="AH41" s="434"/>
      <c r="AI41" s="434"/>
      <c r="AJ41" s="434"/>
      <c r="AK41" s="434"/>
      <c r="AL41" s="434"/>
      <c r="AM41" s="434"/>
      <c r="AN41" s="434"/>
      <c r="AO41" s="434"/>
      <c r="AP41" s="1474" t="s">
        <v>2583</v>
      </c>
    </row>
    <row r="42" spans="1:42" s="391" customFormat="1" ht="12.6" customHeight="1">
      <c r="A42" s="732" t="s">
        <v>843</v>
      </c>
      <c r="B42" s="585">
        <v>111</v>
      </c>
      <c r="C42" s="585">
        <v>439</v>
      </c>
      <c r="D42" s="585">
        <v>0</v>
      </c>
      <c r="E42" s="585">
        <v>86</v>
      </c>
      <c r="F42" s="585">
        <f>49+222</f>
        <v>271</v>
      </c>
      <c r="G42" s="585">
        <v>18427</v>
      </c>
      <c r="H42" s="585">
        <v>99</v>
      </c>
      <c r="I42" s="585">
        <v>4</v>
      </c>
      <c r="J42" s="585">
        <v>0</v>
      </c>
      <c r="K42" s="585">
        <f>L42-SUM(B42:J42)</f>
        <v>7063.0165647039976</v>
      </c>
      <c r="L42" s="585">
        <f>21573+83.747222*58.832</f>
        <v>26500.016564703998</v>
      </c>
      <c r="M42" s="585">
        <v>284.8</v>
      </c>
      <c r="N42" s="585">
        <v>974.8</v>
      </c>
      <c r="O42" s="585">
        <f t="shared" ref="O42:O45" si="56">M42+N42</f>
        <v>1259.5999999999999</v>
      </c>
      <c r="P42" s="350">
        <v>287</v>
      </c>
      <c r="Q42" s="350">
        <v>249.8</v>
      </c>
      <c r="R42" s="350">
        <v>187.9</v>
      </c>
      <c r="S42" s="350">
        <v>1080.4000000000001</v>
      </c>
      <c r="T42" s="350">
        <v>107.7</v>
      </c>
      <c r="U42" s="733" t="s">
        <v>843</v>
      </c>
      <c r="V42" s="732" t="s">
        <v>843</v>
      </c>
      <c r="W42" s="350">
        <v>276.89999999999998</v>
      </c>
      <c r="X42" s="350">
        <v>359.1</v>
      </c>
      <c r="Y42" s="350">
        <v>458.7</v>
      </c>
      <c r="Z42" s="350">
        <v>3266.2</v>
      </c>
      <c r="AA42" s="350">
        <v>1669.1</v>
      </c>
      <c r="AB42" s="350">
        <v>98</v>
      </c>
      <c r="AC42" s="350">
        <v>346.1</v>
      </c>
      <c r="AD42" s="350">
        <v>515.20000000000005</v>
      </c>
      <c r="AE42" s="350">
        <v>1768.1</v>
      </c>
      <c r="AF42" s="350">
        <v>2521.1</v>
      </c>
      <c r="AG42" s="350">
        <v>1679</v>
      </c>
      <c r="AH42" s="350">
        <v>3610.4</v>
      </c>
      <c r="AI42" s="350">
        <v>597.4</v>
      </c>
      <c r="AJ42" s="350">
        <v>3397.3</v>
      </c>
      <c r="AK42" s="350">
        <v>3433.3</v>
      </c>
      <c r="AL42" s="350">
        <f>4989.3+3490.2+2556.8</f>
        <v>11036.3</v>
      </c>
      <c r="AM42" s="350">
        <f t="shared" ref="AM42:AM45" si="57">SUM(P42:T42)+SUM(W42:AL42)</f>
        <v>36945</v>
      </c>
      <c r="AN42" s="350">
        <f t="shared" ref="AN42:AN45" si="58">O42+AM42</f>
        <v>38204.6</v>
      </c>
      <c r="AO42" s="350">
        <f t="shared" ref="AO42:AO45" si="59">L42-AN42</f>
        <v>-11704.583435296001</v>
      </c>
      <c r="AP42" s="733" t="s">
        <v>843</v>
      </c>
    </row>
    <row r="43" spans="1:42" s="52" customFormat="1" ht="12.6" customHeight="1">
      <c r="A43" s="474" t="s">
        <v>160</v>
      </c>
      <c r="B43" s="606">
        <v>85</v>
      </c>
      <c r="C43" s="606">
        <v>405</v>
      </c>
      <c r="D43" s="606">
        <v>0</v>
      </c>
      <c r="E43" s="606">
        <v>105</v>
      </c>
      <c r="F43" s="606">
        <f>32+278</f>
        <v>310</v>
      </c>
      <c r="G43" s="606">
        <v>15450</v>
      </c>
      <c r="H43" s="606">
        <v>0</v>
      </c>
      <c r="I43" s="606">
        <v>0</v>
      </c>
      <c r="J43" s="606">
        <v>0</v>
      </c>
      <c r="K43" s="606">
        <f>L43-SUM(B43:J43)</f>
        <v>5175.7324999999983</v>
      </c>
      <c r="L43" s="606">
        <f>18000+83.75*42.158</f>
        <v>21530.732499999998</v>
      </c>
      <c r="M43" s="606">
        <v>113.8</v>
      </c>
      <c r="N43" s="606">
        <v>327.10000000000002</v>
      </c>
      <c r="O43" s="606">
        <f t="shared" si="56"/>
        <v>440.90000000000003</v>
      </c>
      <c r="P43" s="434">
        <v>133.4</v>
      </c>
      <c r="Q43" s="434">
        <v>296.10000000000002</v>
      </c>
      <c r="R43" s="434">
        <v>591.79999999999995</v>
      </c>
      <c r="S43" s="434">
        <v>1016.3</v>
      </c>
      <c r="T43" s="434">
        <v>180</v>
      </c>
      <c r="U43" s="476" t="s">
        <v>160</v>
      </c>
      <c r="V43" s="474" t="s">
        <v>844</v>
      </c>
      <c r="W43" s="434">
        <v>396.5</v>
      </c>
      <c r="X43" s="434">
        <v>293.60000000000002</v>
      </c>
      <c r="Y43" s="434">
        <v>958</v>
      </c>
      <c r="Z43" s="434">
        <v>3349.5</v>
      </c>
      <c r="AA43" s="434">
        <v>1345.9</v>
      </c>
      <c r="AB43" s="434">
        <v>74.900000000000006</v>
      </c>
      <c r="AC43" s="434">
        <v>164.1</v>
      </c>
      <c r="AD43" s="434">
        <v>406.6</v>
      </c>
      <c r="AE43" s="434">
        <v>1453.2</v>
      </c>
      <c r="AF43" s="434">
        <v>1824.3</v>
      </c>
      <c r="AG43" s="434">
        <v>1420.9</v>
      </c>
      <c r="AH43" s="434">
        <v>3079.1</v>
      </c>
      <c r="AI43" s="434">
        <v>502</v>
      </c>
      <c r="AJ43" s="434">
        <v>2258.1</v>
      </c>
      <c r="AK43" s="434">
        <v>3241.7</v>
      </c>
      <c r="AL43" s="434">
        <f>4686.3+2967.3+2113</f>
        <v>9766.6</v>
      </c>
      <c r="AM43" s="434">
        <f t="shared" si="57"/>
        <v>32752.6</v>
      </c>
      <c r="AN43" s="434">
        <f t="shared" si="58"/>
        <v>33193.5</v>
      </c>
      <c r="AO43" s="434">
        <f t="shared" si="59"/>
        <v>-11662.767500000002</v>
      </c>
      <c r="AP43" s="476" t="s">
        <v>844</v>
      </c>
    </row>
    <row r="44" spans="1:42" s="52" customFormat="1" ht="12.6" customHeight="1">
      <c r="A44" s="732" t="s">
        <v>838</v>
      </c>
      <c r="B44" s="585">
        <v>91</v>
      </c>
      <c r="C44" s="585">
        <v>471</v>
      </c>
      <c r="D44" s="585">
        <v>1</v>
      </c>
      <c r="E44" s="585">
        <v>130</v>
      </c>
      <c r="F44" s="585">
        <f>41+311</f>
        <v>352</v>
      </c>
      <c r="G44" s="585">
        <v>18378</v>
      </c>
      <c r="H44" s="585">
        <v>0</v>
      </c>
      <c r="I44" s="585">
        <v>6</v>
      </c>
      <c r="J44" s="585">
        <v>0</v>
      </c>
      <c r="K44" s="585">
        <f>L44-SUM(B44:J44)</f>
        <v>5738.0662499999999</v>
      </c>
      <c r="L44" s="585">
        <f>21519+83.75*43.559</f>
        <v>25167.06625</v>
      </c>
      <c r="M44" s="585">
        <v>102.4</v>
      </c>
      <c r="N44" s="585">
        <v>865.7</v>
      </c>
      <c r="O44" s="585">
        <f t="shared" si="56"/>
        <v>968.1</v>
      </c>
      <c r="P44" s="350">
        <v>172.4</v>
      </c>
      <c r="Q44" s="350">
        <v>197.1</v>
      </c>
      <c r="R44" s="350">
        <v>308.7</v>
      </c>
      <c r="S44" s="350">
        <v>1153.9000000000001</v>
      </c>
      <c r="T44" s="350">
        <v>215.5</v>
      </c>
      <c r="U44" s="733" t="s">
        <v>838</v>
      </c>
      <c r="V44" s="732" t="s">
        <v>838</v>
      </c>
      <c r="W44" s="350">
        <v>212.8</v>
      </c>
      <c r="X44" s="350">
        <v>457.7</v>
      </c>
      <c r="Y44" s="350">
        <v>453.4</v>
      </c>
      <c r="Z44" s="350">
        <v>3569.2</v>
      </c>
      <c r="AA44" s="350">
        <v>1670</v>
      </c>
      <c r="AB44" s="350">
        <v>140.1</v>
      </c>
      <c r="AC44" s="350">
        <v>630.4</v>
      </c>
      <c r="AD44" s="350">
        <v>519.5</v>
      </c>
      <c r="AE44" s="350">
        <v>1710.8</v>
      </c>
      <c r="AF44" s="350">
        <v>2048.1</v>
      </c>
      <c r="AG44" s="350">
        <v>1710.9</v>
      </c>
      <c r="AH44" s="350">
        <v>3784.1</v>
      </c>
      <c r="AI44" s="350">
        <v>598.1</v>
      </c>
      <c r="AJ44" s="350">
        <v>2592.1999999999998</v>
      </c>
      <c r="AK44" s="350">
        <v>3861</v>
      </c>
      <c r="AL44" s="350">
        <f>6007.8+3771.6+2987.4</f>
        <v>12766.8</v>
      </c>
      <c r="AM44" s="350">
        <f t="shared" si="57"/>
        <v>38772.699999999997</v>
      </c>
      <c r="AN44" s="350">
        <f t="shared" si="58"/>
        <v>39740.799999999996</v>
      </c>
      <c r="AO44" s="350">
        <f t="shared" si="59"/>
        <v>-14573.733749999996</v>
      </c>
      <c r="AP44" s="733" t="s">
        <v>838</v>
      </c>
    </row>
    <row r="45" spans="1:42" s="52" customFormat="1" ht="12.6" customHeight="1" thickBot="1">
      <c r="A45" s="1660" t="s">
        <v>845</v>
      </c>
      <c r="B45" s="1661">
        <v>71</v>
      </c>
      <c r="C45" s="1661">
        <v>503</v>
      </c>
      <c r="D45" s="1661">
        <v>2</v>
      </c>
      <c r="E45" s="1661">
        <v>113</v>
      </c>
      <c r="F45" s="1661">
        <f>48+312</f>
        <v>360</v>
      </c>
      <c r="G45" s="1661">
        <v>18060</v>
      </c>
      <c r="H45" s="1661">
        <v>0</v>
      </c>
      <c r="I45" s="1661">
        <v>4</v>
      </c>
      <c r="J45" s="1661">
        <v>0</v>
      </c>
      <c r="K45" s="1661">
        <f>L45-SUM(B45:J45)</f>
        <v>6207.0787500000006</v>
      </c>
      <c r="L45" s="1661">
        <f>21234+83.817*48.75</f>
        <v>25320.078750000001</v>
      </c>
      <c r="M45" s="1661">
        <v>82.5</v>
      </c>
      <c r="N45" s="1661">
        <v>914.5</v>
      </c>
      <c r="O45" s="1661">
        <f t="shared" si="56"/>
        <v>997</v>
      </c>
      <c r="P45" s="1662">
        <v>228.1</v>
      </c>
      <c r="Q45" s="1662">
        <v>187.2</v>
      </c>
      <c r="R45" s="1662">
        <v>288</v>
      </c>
      <c r="S45" s="1662">
        <v>1474.7</v>
      </c>
      <c r="T45" s="1662">
        <v>283.3</v>
      </c>
      <c r="U45" s="1663" t="s">
        <v>845</v>
      </c>
      <c r="V45" s="1660" t="s">
        <v>845</v>
      </c>
      <c r="W45" s="1662">
        <v>592.1</v>
      </c>
      <c r="X45" s="1662">
        <v>556.20000000000005</v>
      </c>
      <c r="Y45" s="1662">
        <v>969.3</v>
      </c>
      <c r="Z45" s="1662">
        <v>4377.6000000000004</v>
      </c>
      <c r="AA45" s="1662">
        <v>1673.2</v>
      </c>
      <c r="AB45" s="1662">
        <v>115.6</v>
      </c>
      <c r="AC45" s="1662">
        <v>700.1</v>
      </c>
      <c r="AD45" s="1662">
        <v>514.79999999999995</v>
      </c>
      <c r="AE45" s="1662">
        <v>1716.2</v>
      </c>
      <c r="AF45" s="1662">
        <v>2126.1</v>
      </c>
      <c r="AG45" s="1662">
        <v>1536.2</v>
      </c>
      <c r="AH45" s="1662">
        <v>3599.4</v>
      </c>
      <c r="AI45" s="1662">
        <v>567.9</v>
      </c>
      <c r="AJ45" s="1662">
        <v>3156</v>
      </c>
      <c r="AK45" s="1662">
        <v>3499.5</v>
      </c>
      <c r="AL45" s="1662">
        <f>6037.5+4664.7+2766</f>
        <v>13468.2</v>
      </c>
      <c r="AM45" s="1662">
        <f t="shared" si="57"/>
        <v>41629.700000000012</v>
      </c>
      <c r="AN45" s="1662">
        <f t="shared" si="58"/>
        <v>42626.700000000012</v>
      </c>
      <c r="AO45" s="1662">
        <f t="shared" si="59"/>
        <v>-17306.621250000011</v>
      </c>
      <c r="AP45" s="1663" t="s">
        <v>845</v>
      </c>
    </row>
    <row r="46" spans="1:42" s="52" customFormat="1" ht="10.5" customHeight="1">
      <c r="A46" s="308" t="s">
        <v>1168</v>
      </c>
      <c r="B46" s="1132" t="s">
        <v>2283</v>
      </c>
      <c r="C46" s="218"/>
      <c r="D46" s="218"/>
      <c r="E46" s="218"/>
      <c r="F46" s="218"/>
      <c r="G46" s="218"/>
      <c r="H46" s="218"/>
      <c r="I46" s="218"/>
      <c r="J46" s="60"/>
      <c r="K46" s="585"/>
      <c r="L46" s="218"/>
      <c r="M46" s="309" t="s">
        <v>2396</v>
      </c>
      <c r="N46" s="1806" t="s">
        <v>2870</v>
      </c>
      <c r="O46" s="1806"/>
      <c r="P46" s="1806"/>
      <c r="Q46" s="1806"/>
      <c r="R46" s="1806"/>
      <c r="S46" s="1806"/>
      <c r="T46" s="1806"/>
      <c r="U46" s="1806"/>
      <c r="V46" s="300" t="s">
        <v>32</v>
      </c>
      <c r="W46" s="1987" t="s">
        <v>2177</v>
      </c>
      <c r="X46" s="1987"/>
      <c r="Y46" s="1987"/>
      <c r="Z46" s="1987"/>
      <c r="AA46" s="1987"/>
      <c r="AB46" s="1987"/>
      <c r="AC46" s="1987"/>
      <c r="AD46" s="13"/>
      <c r="AE46" s="60"/>
      <c r="AF46" s="299"/>
      <c r="AG46" s="299"/>
      <c r="AH46" s="202"/>
      <c r="AI46" s="202"/>
      <c r="AJ46" s="202"/>
      <c r="AK46" s="202"/>
      <c r="AL46" s="202"/>
      <c r="AM46" s="586"/>
      <c r="AN46" s="299"/>
      <c r="AO46" s="299"/>
      <c r="AP46" s="310"/>
    </row>
    <row r="47" spans="1:42" s="52" customFormat="1" ht="10.5" customHeight="1">
      <c r="A47" s="298" t="s">
        <v>1167</v>
      </c>
      <c r="B47" s="1987" t="s">
        <v>2172</v>
      </c>
      <c r="C47" s="1987"/>
      <c r="D47" s="1987"/>
      <c r="E47" s="1987"/>
      <c r="F47" s="1987"/>
      <c r="G47" s="1987"/>
      <c r="H47" s="1987"/>
      <c r="I47" s="299"/>
      <c r="J47" s="299"/>
      <c r="K47" s="299"/>
      <c r="L47" s="218"/>
      <c r="N47" s="311"/>
      <c r="O47" s="1986"/>
      <c r="P47" s="1986"/>
      <c r="U47" s="301"/>
      <c r="V47" s="310"/>
      <c r="W47" s="1986" t="s">
        <v>631</v>
      </c>
      <c r="X47" s="1986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310"/>
    </row>
    <row r="48" spans="1:42">
      <c r="A48" s="298"/>
      <c r="B48" s="1986"/>
      <c r="C48" s="1986"/>
      <c r="D48" s="1986" t="s">
        <v>631</v>
      </c>
      <c r="E48" s="1986"/>
      <c r="F48" s="13"/>
      <c r="G48" s="13"/>
      <c r="H48" s="13"/>
      <c r="I48" s="299"/>
      <c r="J48" s="299"/>
      <c r="K48" s="299"/>
      <c r="L48" s="218"/>
      <c r="M48" s="52"/>
      <c r="N48" s="311"/>
      <c r="O48" s="1025"/>
      <c r="P48" s="1025"/>
      <c r="Q48" s="52"/>
      <c r="R48" s="52"/>
      <c r="S48" s="52"/>
      <c r="T48" s="52"/>
      <c r="U48" s="301"/>
      <c r="V48" s="31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310"/>
    </row>
    <row r="49" spans="2:42" ht="11.25">
      <c r="K49" s="586"/>
      <c r="L49" s="1032"/>
    </row>
    <row r="52" spans="2:42">
      <c r="B52" s="1032"/>
      <c r="C52" s="1032"/>
      <c r="D52" s="1032"/>
      <c r="E52" s="1032"/>
      <c r="F52" s="1032"/>
      <c r="G52" s="1032"/>
      <c r="H52" s="1032"/>
      <c r="I52" s="1032"/>
      <c r="J52" s="1032"/>
      <c r="K52" s="1032"/>
      <c r="L52" s="1032"/>
      <c r="M52" s="1032"/>
      <c r="N52" s="1032"/>
      <c r="O52" s="1032"/>
      <c r="P52" s="1032"/>
      <c r="Q52" s="1032"/>
      <c r="R52" s="1032"/>
      <c r="S52" s="1032"/>
      <c r="T52" s="1032"/>
      <c r="U52" s="1032"/>
      <c r="V52" s="1032"/>
      <c r="W52" s="1032"/>
      <c r="X52" s="1032"/>
      <c r="Y52" s="1032"/>
      <c r="Z52" s="1032"/>
      <c r="AA52" s="1032"/>
      <c r="AB52" s="1032"/>
      <c r="AC52" s="1032"/>
      <c r="AD52" s="1032"/>
      <c r="AE52" s="1032"/>
      <c r="AF52" s="1032"/>
      <c r="AG52" s="1032"/>
      <c r="AH52" s="1032"/>
      <c r="AI52" s="1032"/>
      <c r="AJ52" s="1032"/>
      <c r="AK52" s="1032"/>
      <c r="AL52" s="1032"/>
      <c r="AM52" s="1032"/>
      <c r="AN52" s="1032"/>
      <c r="AO52" s="1032"/>
      <c r="AP52" s="1032"/>
    </row>
  </sheetData>
  <mergeCells count="39">
    <mergeCell ref="P4:T4"/>
    <mergeCell ref="B4:B5"/>
    <mergeCell ref="C4:C5"/>
    <mergeCell ref="F4:F5"/>
    <mergeCell ref="L4:L5"/>
    <mergeCell ref="J4:J5"/>
    <mergeCell ref="B48:C48"/>
    <mergeCell ref="D48:E48"/>
    <mergeCell ref="W47:X47"/>
    <mergeCell ref="B47:H47"/>
    <mergeCell ref="N46:U46"/>
    <mergeCell ref="O47:P47"/>
    <mergeCell ref="W46:AC46"/>
    <mergeCell ref="A1:D1"/>
    <mergeCell ref="T2:U2"/>
    <mergeCell ref="D4:D5"/>
    <mergeCell ref="H4:H5"/>
    <mergeCell ref="I4:I5"/>
    <mergeCell ref="B3:L3"/>
    <mergeCell ref="M1:N1"/>
    <mergeCell ref="K4:K5"/>
    <mergeCell ref="S1:U1"/>
    <mergeCell ref="J1:L1"/>
    <mergeCell ref="M4:O4"/>
    <mergeCell ref="G4:G5"/>
    <mergeCell ref="A3:A6"/>
    <mergeCell ref="E4:E5"/>
    <mergeCell ref="M3:T3"/>
    <mergeCell ref="U3:U6"/>
    <mergeCell ref="AG1:AI1"/>
    <mergeCell ref="AH3:AN3"/>
    <mergeCell ref="AO3:AO5"/>
    <mergeCell ref="AO2:AP2"/>
    <mergeCell ref="V3:V6"/>
    <mergeCell ref="W3:AG3"/>
    <mergeCell ref="W4:AN4"/>
    <mergeCell ref="AN1:AP1"/>
    <mergeCell ref="AP3:AP6"/>
    <mergeCell ref="AE1:AF1"/>
  </mergeCells>
  <phoneticPr fontId="0" type="noConversion"/>
  <pageMargins left="0.62992125984252001" right="0.511811023622047" top="0.511811023622047" bottom="0.511811023622047" header="0" footer="0.39370078740157499"/>
  <pageSetup paperSize="141" firstPageNumber="32" orientation="portrait" useFirstPageNumber="1" r:id="rId1"/>
  <headerFooter alignWithMargins="0">
    <oddFooter>&amp;C&amp;"Times New Roman,Regular"&amp;8&amp;P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6"/>
  <dimension ref="A1:AC40"/>
  <sheetViews>
    <sheetView zoomScale="140" zoomScaleNormal="140" workbookViewId="0">
      <pane xSplit="1" ySplit="6" topLeftCell="S26" activePane="bottomRight" state="frozen"/>
      <selection pane="topRight" activeCell="B1" sqref="B1"/>
      <selection pane="bottomLeft" activeCell="A7" sqref="A7"/>
      <selection pane="bottomRight" activeCell="Y51" sqref="Y51"/>
    </sheetView>
  </sheetViews>
  <sheetFormatPr defaultColWidth="9.140625" defaultRowHeight="12.75"/>
  <cols>
    <col min="1" max="1" width="9.85546875" style="2" customWidth="1"/>
    <col min="2" max="2" width="10.7109375" style="2" customWidth="1"/>
    <col min="3" max="3" width="10.5703125" style="2" customWidth="1"/>
    <col min="4" max="4" width="10.7109375" style="2" customWidth="1"/>
    <col min="5" max="5" width="11" style="2" customWidth="1"/>
    <col min="6" max="6" width="10.7109375" style="2" customWidth="1"/>
    <col min="7" max="7" width="11.28515625" style="2" customWidth="1"/>
    <col min="8" max="8" width="12.140625" style="2" customWidth="1"/>
    <col min="9" max="9" width="11.28515625" style="2" customWidth="1"/>
    <col min="10" max="10" width="10.7109375" style="2" customWidth="1"/>
    <col min="11" max="11" width="10.5703125" style="2" customWidth="1"/>
    <col min="12" max="12" width="10.7109375" style="2" customWidth="1"/>
    <col min="13" max="13" width="10.85546875" style="2" customWidth="1"/>
    <col min="14" max="14" width="9.85546875" style="2" customWidth="1"/>
    <col min="15" max="15" width="9.7109375" style="2" customWidth="1"/>
    <col min="16" max="16" width="10.7109375" style="2" customWidth="1"/>
    <col min="17" max="17" width="11" style="2" customWidth="1"/>
    <col min="18" max="18" width="10.85546875" style="2" customWidth="1"/>
    <col min="19" max="19" width="11.28515625" style="2" customWidth="1"/>
    <col min="20" max="20" width="10.7109375" style="2" customWidth="1"/>
    <col min="21" max="21" width="10.85546875" style="2" customWidth="1"/>
    <col min="22" max="22" width="10.7109375" style="2" customWidth="1"/>
    <col min="23" max="23" width="11" style="2" customWidth="1"/>
    <col min="24" max="24" width="10.7109375" style="2" customWidth="1"/>
    <col min="25" max="26" width="10.85546875" style="2" customWidth="1"/>
    <col min="27" max="28" width="10.7109375" style="2" customWidth="1"/>
    <col min="29" max="16384" width="9.140625" style="2"/>
  </cols>
  <sheetData>
    <row r="1" spans="1:29" s="32" customFormat="1" ht="15.75" customHeight="1">
      <c r="A1" s="1995" t="s">
        <v>167</v>
      </c>
      <c r="B1" s="1995"/>
      <c r="C1" s="1995"/>
      <c r="D1" s="1995"/>
      <c r="E1" s="1995"/>
      <c r="F1" s="1995"/>
      <c r="G1" s="1995"/>
      <c r="H1" s="1996" t="s">
        <v>168</v>
      </c>
      <c r="I1" s="1996"/>
      <c r="J1" s="1996"/>
      <c r="K1" s="1996"/>
      <c r="M1" s="1995" t="s">
        <v>294</v>
      </c>
      <c r="N1" s="1995"/>
      <c r="O1" s="1995" t="s">
        <v>167</v>
      </c>
      <c r="P1" s="1995"/>
      <c r="Q1" s="1995"/>
      <c r="R1" s="1995"/>
      <c r="S1" s="1995"/>
      <c r="T1" s="1995"/>
      <c r="U1" s="1995"/>
      <c r="V1" s="1996" t="s">
        <v>168</v>
      </c>
      <c r="W1" s="1996"/>
      <c r="X1" s="1996"/>
      <c r="Y1" s="1996"/>
      <c r="Z1" s="33"/>
      <c r="AA1" s="1994" t="s">
        <v>500</v>
      </c>
      <c r="AB1" s="1994"/>
      <c r="AC1" s="33"/>
    </row>
    <row r="2" spans="1:29" s="29" customFormat="1" ht="13.5" customHeight="1">
      <c r="A2" s="104"/>
      <c r="P2" s="105"/>
      <c r="Q2" s="105"/>
      <c r="R2" s="105"/>
      <c r="S2" s="105"/>
      <c r="T2" s="106"/>
      <c r="U2" s="106"/>
      <c r="V2" s="106"/>
      <c r="W2" s="106"/>
      <c r="X2" s="106"/>
      <c r="Y2" s="106"/>
      <c r="Z2" s="106"/>
      <c r="AA2" s="106"/>
      <c r="AB2" s="106"/>
      <c r="AC2" s="106"/>
    </row>
    <row r="3" spans="1:29" s="162" customFormat="1" ht="20.25" customHeight="1">
      <c r="A3" s="1997" t="s">
        <v>764</v>
      </c>
      <c r="B3" s="2000" t="s">
        <v>229</v>
      </c>
      <c r="C3" s="2000"/>
      <c r="D3" s="2000" t="s">
        <v>230</v>
      </c>
      <c r="E3" s="2000"/>
      <c r="F3" s="2000" t="s">
        <v>231</v>
      </c>
      <c r="G3" s="2000"/>
      <c r="H3" s="2000" t="s">
        <v>776</v>
      </c>
      <c r="I3" s="2000"/>
      <c r="J3" s="2000" t="s">
        <v>498</v>
      </c>
      <c r="K3" s="2000"/>
      <c r="L3" s="2000" t="s">
        <v>499</v>
      </c>
      <c r="M3" s="2000"/>
      <c r="N3" s="1997" t="s">
        <v>764</v>
      </c>
      <c r="O3" s="1997" t="s">
        <v>764</v>
      </c>
      <c r="P3" s="2000" t="s">
        <v>501</v>
      </c>
      <c r="Q3" s="2000"/>
      <c r="R3" s="2000" t="s">
        <v>502</v>
      </c>
      <c r="S3" s="2000"/>
      <c r="T3" s="2000" t="s">
        <v>503</v>
      </c>
      <c r="U3" s="2000"/>
      <c r="V3" s="2000" t="s">
        <v>142</v>
      </c>
      <c r="W3" s="2000"/>
      <c r="X3" s="2000" t="s">
        <v>504</v>
      </c>
      <c r="Y3" s="2000"/>
      <c r="Z3" s="2000" t="s">
        <v>163</v>
      </c>
      <c r="AA3" s="2000"/>
      <c r="AB3" s="1997" t="s">
        <v>764</v>
      </c>
    </row>
    <row r="4" spans="1:29" s="1074" customFormat="1" ht="23.25" customHeight="1">
      <c r="A4" s="1998"/>
      <c r="B4" s="1990" t="s">
        <v>2584</v>
      </c>
      <c r="C4" s="1990" t="s">
        <v>1271</v>
      </c>
      <c r="D4" s="1990" t="s">
        <v>2584</v>
      </c>
      <c r="E4" s="1990" t="s">
        <v>1271</v>
      </c>
      <c r="F4" s="1990" t="s">
        <v>2584</v>
      </c>
      <c r="G4" s="1990" t="s">
        <v>1271</v>
      </c>
      <c r="H4" s="1990" t="s">
        <v>2584</v>
      </c>
      <c r="I4" s="1990" t="s">
        <v>1271</v>
      </c>
      <c r="J4" s="1990" t="s">
        <v>2584</v>
      </c>
      <c r="K4" s="1990" t="s">
        <v>1271</v>
      </c>
      <c r="L4" s="1990" t="s">
        <v>2584</v>
      </c>
      <c r="M4" s="1990" t="s">
        <v>1271</v>
      </c>
      <c r="N4" s="1998"/>
      <c r="O4" s="1998"/>
      <c r="P4" s="1990" t="s">
        <v>2584</v>
      </c>
      <c r="Q4" s="1990" t="s">
        <v>1271</v>
      </c>
      <c r="R4" s="1990" t="s">
        <v>2584</v>
      </c>
      <c r="S4" s="1990" t="s">
        <v>1271</v>
      </c>
      <c r="T4" s="1990" t="s">
        <v>2584</v>
      </c>
      <c r="U4" s="1990" t="s">
        <v>1271</v>
      </c>
      <c r="V4" s="1990" t="s">
        <v>2584</v>
      </c>
      <c r="W4" s="1990" t="s">
        <v>1271</v>
      </c>
      <c r="X4" s="1990" t="s">
        <v>2584</v>
      </c>
      <c r="Y4" s="1990" t="s">
        <v>1271</v>
      </c>
      <c r="Z4" s="1990" t="s">
        <v>2584</v>
      </c>
      <c r="AA4" s="1990" t="s">
        <v>1271</v>
      </c>
      <c r="AB4" s="1998"/>
    </row>
    <row r="5" spans="1:29" s="1074" customFormat="1" ht="21" customHeight="1">
      <c r="A5" s="1999"/>
      <c r="B5" s="1991"/>
      <c r="C5" s="1991"/>
      <c r="D5" s="1991"/>
      <c r="E5" s="1991"/>
      <c r="F5" s="1991"/>
      <c r="G5" s="1991"/>
      <c r="H5" s="1991"/>
      <c r="I5" s="1991"/>
      <c r="J5" s="1991"/>
      <c r="K5" s="1991"/>
      <c r="L5" s="1991"/>
      <c r="M5" s="1991"/>
      <c r="N5" s="1999"/>
      <c r="O5" s="1999"/>
      <c r="P5" s="1991"/>
      <c r="Q5" s="1991"/>
      <c r="R5" s="1991"/>
      <c r="S5" s="1991"/>
      <c r="T5" s="1991"/>
      <c r="U5" s="1991"/>
      <c r="V5" s="1991"/>
      <c r="W5" s="1991"/>
      <c r="X5" s="1991"/>
      <c r="Y5" s="1991"/>
      <c r="Z5" s="1991"/>
      <c r="AA5" s="1991"/>
      <c r="AB5" s="1999"/>
    </row>
    <row r="6" spans="1:29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10"/>
    </row>
    <row r="7" spans="1:29" s="10" customFormat="1" ht="21.95" customHeight="1">
      <c r="A7" s="892" t="s">
        <v>827</v>
      </c>
      <c r="B7" s="1029">
        <v>1791</v>
      </c>
      <c r="C7" s="1029">
        <v>4111</v>
      </c>
      <c r="D7" s="1029">
        <v>8509</v>
      </c>
      <c r="E7" s="1029">
        <v>13824</v>
      </c>
      <c r="F7" s="1029">
        <v>6538</v>
      </c>
      <c r="G7" s="1029">
        <v>6582</v>
      </c>
      <c r="H7" s="1029">
        <v>1245</v>
      </c>
      <c r="I7" s="1029">
        <v>1580</v>
      </c>
      <c r="J7" s="1029">
        <v>7446</v>
      </c>
      <c r="K7" s="1029">
        <v>445</v>
      </c>
      <c r="L7" s="1029">
        <v>245</v>
      </c>
      <c r="M7" s="1029">
        <v>833</v>
      </c>
      <c r="N7" s="839" t="s">
        <v>827</v>
      </c>
      <c r="O7" s="1030" t="s">
        <v>827</v>
      </c>
      <c r="P7" s="1029">
        <v>32</v>
      </c>
      <c r="Q7" s="1029">
        <v>133</v>
      </c>
      <c r="R7" s="1029">
        <v>168</v>
      </c>
      <c r="S7" s="1029">
        <v>512</v>
      </c>
      <c r="T7" s="1029">
        <v>38</v>
      </c>
      <c r="U7" s="1029">
        <v>89</v>
      </c>
      <c r="V7" s="1029">
        <v>52</v>
      </c>
      <c r="W7" s="1029">
        <v>118</v>
      </c>
      <c r="X7" s="1029">
        <v>964</v>
      </c>
      <c r="Y7" s="1029">
        <v>1383</v>
      </c>
      <c r="Z7" s="1029">
        <v>13</v>
      </c>
      <c r="AA7" s="1029">
        <v>86</v>
      </c>
      <c r="AB7" s="497" t="s">
        <v>827</v>
      </c>
    </row>
    <row r="8" spans="1:29" s="10" customFormat="1" ht="21.95" customHeight="1">
      <c r="A8" s="378" t="s">
        <v>828</v>
      </c>
      <c r="B8" s="98">
        <v>1676</v>
      </c>
      <c r="C8" s="98">
        <v>3840</v>
      </c>
      <c r="D8" s="98">
        <v>8790</v>
      </c>
      <c r="E8" s="98">
        <v>13953</v>
      </c>
      <c r="F8" s="98">
        <v>7221</v>
      </c>
      <c r="G8" s="98">
        <v>6804</v>
      </c>
      <c r="H8" s="98">
        <v>1369</v>
      </c>
      <c r="I8" s="98">
        <v>1732</v>
      </c>
      <c r="J8" s="98">
        <v>7165</v>
      </c>
      <c r="K8" s="98">
        <v>431</v>
      </c>
      <c r="L8" s="98">
        <v>246</v>
      </c>
      <c r="M8" s="98">
        <v>830</v>
      </c>
      <c r="N8" s="1031" t="s">
        <v>828</v>
      </c>
      <c r="O8" s="378" t="s">
        <v>828</v>
      </c>
      <c r="P8" s="98">
        <v>32</v>
      </c>
      <c r="Q8" s="98">
        <v>136</v>
      </c>
      <c r="R8" s="98">
        <v>170</v>
      </c>
      <c r="S8" s="98">
        <v>509</v>
      </c>
      <c r="T8" s="98">
        <v>39</v>
      </c>
      <c r="U8" s="98">
        <v>90</v>
      </c>
      <c r="V8" s="98">
        <v>48</v>
      </c>
      <c r="W8" s="98">
        <v>119</v>
      </c>
      <c r="X8" s="98">
        <v>739</v>
      </c>
      <c r="Y8" s="98">
        <v>1133</v>
      </c>
      <c r="Z8" s="98">
        <v>13</v>
      </c>
      <c r="AA8" s="98">
        <v>86</v>
      </c>
      <c r="AB8" s="1031" t="s">
        <v>828</v>
      </c>
    </row>
    <row r="9" spans="1:29" s="10" customFormat="1" ht="21.95" customHeight="1">
      <c r="A9" s="1030" t="s">
        <v>829</v>
      </c>
      <c r="B9" s="1029">
        <v>1871</v>
      </c>
      <c r="C9" s="1029">
        <v>3935</v>
      </c>
      <c r="D9" s="1029">
        <v>9552</v>
      </c>
      <c r="E9" s="1029">
        <v>14399</v>
      </c>
      <c r="F9" s="1029">
        <v>7460</v>
      </c>
      <c r="G9" s="1029">
        <v>6876</v>
      </c>
      <c r="H9" s="1029">
        <v>1454</v>
      </c>
      <c r="I9" s="1029">
        <v>1749</v>
      </c>
      <c r="J9" s="1029">
        <v>7520</v>
      </c>
      <c r="K9" s="1029">
        <v>434</v>
      </c>
      <c r="L9" s="1029">
        <v>249</v>
      </c>
      <c r="M9" s="1029">
        <v>831</v>
      </c>
      <c r="N9" s="497" t="s">
        <v>829</v>
      </c>
      <c r="O9" s="1030" t="s">
        <v>829</v>
      </c>
      <c r="P9" s="1029">
        <v>34</v>
      </c>
      <c r="Q9" s="1029">
        <v>136</v>
      </c>
      <c r="R9" s="1029">
        <v>171</v>
      </c>
      <c r="S9" s="1029">
        <v>510</v>
      </c>
      <c r="T9" s="1029">
        <v>38</v>
      </c>
      <c r="U9" s="1029">
        <v>86</v>
      </c>
      <c r="V9" s="1029">
        <v>53</v>
      </c>
      <c r="W9" s="1029">
        <v>119</v>
      </c>
      <c r="X9" s="1029">
        <v>883</v>
      </c>
      <c r="Y9" s="1029">
        <v>1253</v>
      </c>
      <c r="Z9" s="1029">
        <v>14</v>
      </c>
      <c r="AA9" s="1029">
        <v>91</v>
      </c>
      <c r="AB9" s="497" t="s">
        <v>829</v>
      </c>
    </row>
    <row r="10" spans="1:29" s="10" customFormat="1" ht="21.95" customHeight="1">
      <c r="A10" s="378" t="s">
        <v>830</v>
      </c>
      <c r="B10" s="98">
        <v>1875</v>
      </c>
      <c r="C10" s="98">
        <v>3868</v>
      </c>
      <c r="D10" s="98">
        <v>8850</v>
      </c>
      <c r="E10" s="98">
        <v>14353</v>
      </c>
      <c r="F10" s="98">
        <v>8137</v>
      </c>
      <c r="G10" s="98">
        <v>7138</v>
      </c>
      <c r="H10" s="98">
        <v>1803</v>
      </c>
      <c r="I10" s="98">
        <v>1988</v>
      </c>
      <c r="J10" s="98">
        <v>7379</v>
      </c>
      <c r="K10" s="98">
        <v>433</v>
      </c>
      <c r="L10" s="98">
        <v>254</v>
      </c>
      <c r="M10" s="98">
        <v>849</v>
      </c>
      <c r="N10" s="1031" t="s">
        <v>830</v>
      </c>
      <c r="O10" s="378" t="s">
        <v>830</v>
      </c>
      <c r="P10" s="98">
        <v>34</v>
      </c>
      <c r="Q10" s="98">
        <v>135</v>
      </c>
      <c r="R10" s="98">
        <v>163</v>
      </c>
      <c r="S10" s="98">
        <v>508</v>
      </c>
      <c r="T10" s="98">
        <v>37</v>
      </c>
      <c r="U10" s="98">
        <v>81</v>
      </c>
      <c r="V10" s="98">
        <v>51</v>
      </c>
      <c r="W10" s="98">
        <v>120</v>
      </c>
      <c r="X10" s="98">
        <v>1057</v>
      </c>
      <c r="Y10" s="98">
        <v>1427</v>
      </c>
      <c r="Z10" s="98">
        <v>14</v>
      </c>
      <c r="AA10" s="98">
        <v>86</v>
      </c>
      <c r="AB10" s="1031" t="s">
        <v>830</v>
      </c>
    </row>
    <row r="11" spans="1:29" s="10" customFormat="1" ht="21.95" customHeight="1">
      <c r="A11" s="1030" t="s">
        <v>831</v>
      </c>
      <c r="B11" s="1029">
        <v>1617</v>
      </c>
      <c r="C11" s="1029">
        <v>3519</v>
      </c>
      <c r="D11" s="1029">
        <v>7736</v>
      </c>
      <c r="E11" s="1029">
        <v>12762</v>
      </c>
      <c r="F11" s="1029">
        <v>10552</v>
      </c>
      <c r="G11" s="1029">
        <v>8715</v>
      </c>
      <c r="H11" s="1029">
        <v>1988</v>
      </c>
      <c r="I11" s="1029">
        <v>2180</v>
      </c>
      <c r="J11" s="1029">
        <v>6951</v>
      </c>
      <c r="K11" s="1029">
        <v>430</v>
      </c>
      <c r="L11" s="1029">
        <v>253</v>
      </c>
      <c r="M11" s="1029">
        <v>850</v>
      </c>
      <c r="N11" s="497" t="s">
        <v>831</v>
      </c>
      <c r="O11" s="1030" t="s">
        <v>831</v>
      </c>
      <c r="P11" s="1029">
        <v>34</v>
      </c>
      <c r="Q11" s="1029">
        <v>137</v>
      </c>
      <c r="R11" s="1029">
        <v>165</v>
      </c>
      <c r="S11" s="1029">
        <v>508</v>
      </c>
      <c r="T11" s="1029">
        <v>29</v>
      </c>
      <c r="U11" s="1029">
        <v>78</v>
      </c>
      <c r="V11" s="1029">
        <v>56</v>
      </c>
      <c r="W11" s="1029">
        <v>120</v>
      </c>
      <c r="X11" s="1029">
        <v>812</v>
      </c>
      <c r="Y11" s="1029">
        <v>1181</v>
      </c>
      <c r="Z11" s="1029" t="s">
        <v>886</v>
      </c>
      <c r="AA11" s="1029" t="s">
        <v>886</v>
      </c>
      <c r="AB11" s="497" t="s">
        <v>831</v>
      </c>
    </row>
    <row r="12" spans="1:29" s="10" customFormat="1" ht="21.95" customHeight="1">
      <c r="A12" s="378" t="s">
        <v>832</v>
      </c>
      <c r="B12" s="98">
        <v>1734</v>
      </c>
      <c r="C12" s="98">
        <v>3339</v>
      </c>
      <c r="D12" s="98">
        <v>10305</v>
      </c>
      <c r="E12" s="98">
        <v>14097</v>
      </c>
      <c r="F12" s="98">
        <v>11027</v>
      </c>
      <c r="G12" s="98">
        <v>9024</v>
      </c>
      <c r="H12" s="98">
        <v>1840</v>
      </c>
      <c r="I12" s="98">
        <v>2057</v>
      </c>
      <c r="J12" s="98">
        <v>6910</v>
      </c>
      <c r="K12" s="98">
        <v>421</v>
      </c>
      <c r="L12" s="98">
        <v>249</v>
      </c>
      <c r="M12" s="98">
        <v>812</v>
      </c>
      <c r="N12" s="1031" t="s">
        <v>832</v>
      </c>
      <c r="O12" s="378" t="s">
        <v>832</v>
      </c>
      <c r="P12" s="98">
        <v>36</v>
      </c>
      <c r="Q12" s="98">
        <v>136</v>
      </c>
      <c r="R12" s="98">
        <v>128</v>
      </c>
      <c r="S12" s="98">
        <v>412</v>
      </c>
      <c r="T12" s="98">
        <v>35</v>
      </c>
      <c r="U12" s="98">
        <v>88</v>
      </c>
      <c r="V12" s="98">
        <v>46</v>
      </c>
      <c r="W12" s="98">
        <v>120</v>
      </c>
      <c r="X12" s="98">
        <v>711</v>
      </c>
      <c r="Y12" s="98">
        <v>1008</v>
      </c>
      <c r="Z12" s="98" t="s">
        <v>886</v>
      </c>
      <c r="AA12" s="98" t="s">
        <v>886</v>
      </c>
      <c r="AB12" s="1031" t="s">
        <v>832</v>
      </c>
    </row>
    <row r="13" spans="1:29" s="10" customFormat="1" ht="21.95" customHeight="1">
      <c r="A13" s="1030" t="s">
        <v>833</v>
      </c>
      <c r="B13" s="1029">
        <v>1916</v>
      </c>
      <c r="C13" s="1029">
        <v>3275</v>
      </c>
      <c r="D13" s="1029">
        <v>11249</v>
      </c>
      <c r="E13" s="1029">
        <v>14110</v>
      </c>
      <c r="F13" s="1029">
        <v>11921</v>
      </c>
      <c r="G13" s="1029">
        <v>9296</v>
      </c>
      <c r="H13" s="1029">
        <v>1673</v>
      </c>
      <c r="I13" s="1029">
        <v>1909</v>
      </c>
      <c r="J13" s="1029">
        <v>6742</v>
      </c>
      <c r="K13" s="1029">
        <v>417</v>
      </c>
      <c r="L13" s="1029">
        <v>238</v>
      </c>
      <c r="M13" s="1029">
        <v>785</v>
      </c>
      <c r="N13" s="497" t="s">
        <v>833</v>
      </c>
      <c r="O13" s="1030" t="s">
        <v>833</v>
      </c>
      <c r="P13" s="1029">
        <v>34</v>
      </c>
      <c r="Q13" s="1029">
        <v>130</v>
      </c>
      <c r="R13" s="1029">
        <v>126</v>
      </c>
      <c r="S13" s="1029">
        <v>406</v>
      </c>
      <c r="T13" s="1029">
        <v>37</v>
      </c>
      <c r="U13" s="1029">
        <v>74</v>
      </c>
      <c r="V13" s="1029">
        <v>52</v>
      </c>
      <c r="W13" s="1029">
        <v>120</v>
      </c>
      <c r="X13" s="1029">
        <v>821</v>
      </c>
      <c r="Y13" s="1029">
        <v>1107</v>
      </c>
      <c r="Z13" s="1029">
        <v>27</v>
      </c>
      <c r="AA13" s="1029">
        <v>40</v>
      </c>
      <c r="AB13" s="497" t="s">
        <v>833</v>
      </c>
    </row>
    <row r="14" spans="1:29" s="10" customFormat="1" ht="21.95" customHeight="1">
      <c r="A14" s="378" t="s">
        <v>834</v>
      </c>
      <c r="B14" s="98">
        <v>1808</v>
      </c>
      <c r="C14" s="98">
        <v>3069</v>
      </c>
      <c r="D14" s="98">
        <v>10726</v>
      </c>
      <c r="E14" s="98">
        <v>13955</v>
      </c>
      <c r="F14" s="98">
        <v>11766</v>
      </c>
      <c r="G14" s="98">
        <v>9319</v>
      </c>
      <c r="H14" s="98">
        <v>1606</v>
      </c>
      <c r="I14" s="98">
        <v>1833</v>
      </c>
      <c r="J14" s="98">
        <v>6502</v>
      </c>
      <c r="K14" s="98">
        <v>402</v>
      </c>
      <c r="L14" s="98">
        <v>233</v>
      </c>
      <c r="M14" s="98">
        <v>749</v>
      </c>
      <c r="N14" s="1031" t="s">
        <v>834</v>
      </c>
      <c r="O14" s="378" t="s">
        <v>834</v>
      </c>
      <c r="P14" s="98">
        <v>34</v>
      </c>
      <c r="Q14" s="98">
        <v>112</v>
      </c>
      <c r="R14" s="98">
        <v>115</v>
      </c>
      <c r="S14" s="98">
        <v>388</v>
      </c>
      <c r="T14" s="98">
        <v>38</v>
      </c>
      <c r="U14" s="98">
        <v>75</v>
      </c>
      <c r="V14" s="98">
        <v>52</v>
      </c>
      <c r="W14" s="98">
        <v>122</v>
      </c>
      <c r="X14" s="98">
        <v>859</v>
      </c>
      <c r="Y14" s="98">
        <v>1128</v>
      </c>
      <c r="Z14" s="98">
        <v>30</v>
      </c>
      <c r="AA14" s="98">
        <v>42</v>
      </c>
      <c r="AB14" s="1031" t="s">
        <v>834</v>
      </c>
    </row>
    <row r="15" spans="1:29" s="10" customFormat="1" ht="21.95" customHeight="1">
      <c r="A15" s="1030" t="s">
        <v>835</v>
      </c>
      <c r="B15" s="1029">
        <v>1850</v>
      </c>
      <c r="C15" s="1029">
        <v>3073</v>
      </c>
      <c r="D15" s="1029">
        <v>11115</v>
      </c>
      <c r="E15" s="1029">
        <v>14041</v>
      </c>
      <c r="F15" s="1029">
        <v>12222</v>
      </c>
      <c r="G15" s="1029">
        <v>9501</v>
      </c>
      <c r="H15" s="1029">
        <v>1507</v>
      </c>
      <c r="I15" s="1029">
        <v>1746</v>
      </c>
      <c r="J15" s="1029">
        <v>6838</v>
      </c>
      <c r="K15" s="1029">
        <v>410</v>
      </c>
      <c r="L15" s="1029">
        <v>218</v>
      </c>
      <c r="M15" s="1029">
        <v>735</v>
      </c>
      <c r="N15" s="497" t="s">
        <v>835</v>
      </c>
      <c r="O15" s="1030" t="s">
        <v>835</v>
      </c>
      <c r="P15" s="1029">
        <v>30</v>
      </c>
      <c r="Q15" s="1029">
        <v>109</v>
      </c>
      <c r="R15" s="1029">
        <v>116</v>
      </c>
      <c r="S15" s="1029">
        <v>381</v>
      </c>
      <c r="T15" s="1029">
        <v>38</v>
      </c>
      <c r="U15" s="1029">
        <v>75</v>
      </c>
      <c r="V15" s="1029">
        <v>58</v>
      </c>
      <c r="W15" s="1029">
        <v>126</v>
      </c>
      <c r="X15" s="1029">
        <v>800</v>
      </c>
      <c r="Y15" s="1029">
        <v>1079</v>
      </c>
      <c r="Z15" s="1029">
        <v>24</v>
      </c>
      <c r="AA15" s="1029">
        <v>38</v>
      </c>
      <c r="AB15" s="497" t="s">
        <v>835</v>
      </c>
    </row>
    <row r="16" spans="1:29" s="10" customFormat="1" ht="21.95" customHeight="1">
      <c r="A16" s="378" t="s">
        <v>836</v>
      </c>
      <c r="B16" s="98">
        <v>1832</v>
      </c>
      <c r="C16" s="98">
        <v>2971</v>
      </c>
      <c r="D16" s="98">
        <v>11521</v>
      </c>
      <c r="E16" s="98">
        <v>14030</v>
      </c>
      <c r="F16" s="98">
        <v>12837</v>
      </c>
      <c r="G16" s="98">
        <v>9745</v>
      </c>
      <c r="H16" s="98">
        <v>1253</v>
      </c>
      <c r="I16" s="98">
        <v>1586</v>
      </c>
      <c r="J16" s="98">
        <v>6484</v>
      </c>
      <c r="K16" s="98">
        <v>404</v>
      </c>
      <c r="L16" s="98">
        <v>211</v>
      </c>
      <c r="M16" s="98">
        <v>690</v>
      </c>
      <c r="N16" s="1031" t="s">
        <v>836</v>
      </c>
      <c r="O16" s="378" t="s">
        <v>836</v>
      </c>
      <c r="P16" s="98">
        <v>30</v>
      </c>
      <c r="Q16" s="98">
        <v>108</v>
      </c>
      <c r="R16" s="98">
        <v>122</v>
      </c>
      <c r="S16" s="98">
        <v>382</v>
      </c>
      <c r="T16" s="98">
        <v>39</v>
      </c>
      <c r="U16" s="98">
        <v>75</v>
      </c>
      <c r="V16" s="98">
        <v>57</v>
      </c>
      <c r="W16" s="98">
        <v>126</v>
      </c>
      <c r="X16" s="98">
        <v>794</v>
      </c>
      <c r="Y16" s="98">
        <v>1008</v>
      </c>
      <c r="Z16" s="98">
        <v>78</v>
      </c>
      <c r="AA16" s="98">
        <v>38</v>
      </c>
      <c r="AB16" s="1031" t="s">
        <v>836</v>
      </c>
    </row>
    <row r="17" spans="1:28" s="10" customFormat="1" ht="21.95" customHeight="1">
      <c r="A17" s="1030" t="s">
        <v>837</v>
      </c>
      <c r="B17" s="1029">
        <v>1500</v>
      </c>
      <c r="C17" s="1029">
        <v>2532</v>
      </c>
      <c r="D17" s="1029">
        <v>9820</v>
      </c>
      <c r="E17" s="1029">
        <v>13047</v>
      </c>
      <c r="F17" s="1029">
        <v>13837</v>
      </c>
      <c r="G17" s="1029">
        <v>10042</v>
      </c>
      <c r="H17" s="1029">
        <v>976</v>
      </c>
      <c r="I17" s="1029">
        <v>1380</v>
      </c>
      <c r="J17" s="1029">
        <v>6423</v>
      </c>
      <c r="K17" s="1029">
        <v>388</v>
      </c>
      <c r="L17" s="1029">
        <v>191</v>
      </c>
      <c r="M17" s="1029">
        <v>597</v>
      </c>
      <c r="N17" s="497" t="s">
        <v>837</v>
      </c>
      <c r="O17" s="1030" t="s">
        <v>837</v>
      </c>
      <c r="P17" s="1029">
        <v>18</v>
      </c>
      <c r="Q17" s="1029">
        <v>60</v>
      </c>
      <c r="R17" s="1029">
        <v>121</v>
      </c>
      <c r="S17" s="1029">
        <v>380</v>
      </c>
      <c r="T17" s="1029">
        <v>38</v>
      </c>
      <c r="U17" s="1029">
        <v>78</v>
      </c>
      <c r="V17" s="1029">
        <v>58</v>
      </c>
      <c r="W17" s="1029">
        <v>132</v>
      </c>
      <c r="X17" s="1029">
        <v>1035</v>
      </c>
      <c r="Y17" s="1029">
        <v>965</v>
      </c>
      <c r="Z17" s="1029">
        <v>3</v>
      </c>
      <c r="AA17" s="1029">
        <v>4</v>
      </c>
      <c r="AB17" s="497" t="s">
        <v>837</v>
      </c>
    </row>
    <row r="18" spans="1:28" s="10" customFormat="1" ht="21.95" customHeight="1">
      <c r="A18" s="378" t="s">
        <v>842</v>
      </c>
      <c r="B18" s="98">
        <v>1754</v>
      </c>
      <c r="C18" s="98">
        <v>2556</v>
      </c>
      <c r="D18" s="98">
        <v>10810</v>
      </c>
      <c r="E18" s="98">
        <v>13416</v>
      </c>
      <c r="F18" s="98">
        <v>13975</v>
      </c>
      <c r="G18" s="98">
        <v>10047</v>
      </c>
      <c r="H18" s="98">
        <v>735</v>
      </c>
      <c r="I18" s="98">
        <v>1184</v>
      </c>
      <c r="J18" s="98">
        <v>5511</v>
      </c>
      <c r="K18" s="98">
        <v>377</v>
      </c>
      <c r="L18" s="98">
        <v>183</v>
      </c>
      <c r="M18" s="98">
        <v>536</v>
      </c>
      <c r="N18" s="1031" t="s">
        <v>842</v>
      </c>
      <c r="O18" s="715" t="s">
        <v>842</v>
      </c>
      <c r="P18" s="332">
        <v>17</v>
      </c>
      <c r="Q18" s="332">
        <v>55</v>
      </c>
      <c r="R18" s="332">
        <v>115</v>
      </c>
      <c r="S18" s="332">
        <v>333</v>
      </c>
      <c r="T18" s="332">
        <v>43</v>
      </c>
      <c r="U18" s="332">
        <v>78</v>
      </c>
      <c r="V18" s="332">
        <v>58</v>
      </c>
      <c r="W18" s="332">
        <v>130</v>
      </c>
      <c r="X18" s="333">
        <v>838</v>
      </c>
      <c r="Y18" s="333">
        <v>993</v>
      </c>
      <c r="Z18" s="332">
        <v>18</v>
      </c>
      <c r="AA18" s="332">
        <v>26</v>
      </c>
      <c r="AB18" s="396" t="s">
        <v>842</v>
      </c>
    </row>
    <row r="19" spans="1:28" s="10" customFormat="1" ht="21.95" customHeight="1">
      <c r="A19" s="1030" t="s">
        <v>851</v>
      </c>
      <c r="B19" s="1029">
        <v>1512</v>
      </c>
      <c r="C19" s="1029">
        <v>2238</v>
      </c>
      <c r="D19" s="1029">
        <v>10841</v>
      </c>
      <c r="E19" s="1029">
        <v>13382</v>
      </c>
      <c r="F19" s="1029">
        <v>14965</v>
      </c>
      <c r="G19" s="1029">
        <v>10522</v>
      </c>
      <c r="H19" s="1029">
        <v>737</v>
      </c>
      <c r="I19" s="1029">
        <v>988</v>
      </c>
      <c r="J19" s="1029">
        <v>5770</v>
      </c>
      <c r="K19" s="1029">
        <v>371</v>
      </c>
      <c r="L19" s="1029">
        <v>189</v>
      </c>
      <c r="M19" s="1029">
        <v>520</v>
      </c>
      <c r="N19" s="497" t="s">
        <v>851</v>
      </c>
      <c r="O19" s="1030" t="s">
        <v>851</v>
      </c>
      <c r="P19" s="1029">
        <v>19</v>
      </c>
      <c r="Q19" s="1029">
        <v>60</v>
      </c>
      <c r="R19" s="1029">
        <v>117</v>
      </c>
      <c r="S19" s="1029">
        <v>340</v>
      </c>
      <c r="T19" s="1029">
        <v>39</v>
      </c>
      <c r="U19" s="1029">
        <v>76</v>
      </c>
      <c r="V19" s="438">
        <v>58</v>
      </c>
      <c r="W19" s="438">
        <v>129</v>
      </c>
      <c r="X19" s="1029">
        <v>879</v>
      </c>
      <c r="Y19" s="1029">
        <v>1034</v>
      </c>
      <c r="Z19" s="1029">
        <v>18</v>
      </c>
      <c r="AA19" s="1029">
        <v>25</v>
      </c>
      <c r="AB19" s="497" t="s">
        <v>851</v>
      </c>
    </row>
    <row r="20" spans="1:28" s="11" customFormat="1" ht="21.95" customHeight="1">
      <c r="A20" s="715" t="s">
        <v>574</v>
      </c>
      <c r="B20" s="332">
        <v>1507</v>
      </c>
      <c r="C20" s="332">
        <v>2270</v>
      </c>
      <c r="D20" s="332">
        <v>9662</v>
      </c>
      <c r="E20" s="332">
        <v>12474</v>
      </c>
      <c r="F20" s="332">
        <v>17762</v>
      </c>
      <c r="G20" s="332">
        <v>11386</v>
      </c>
      <c r="H20" s="332">
        <v>844</v>
      </c>
      <c r="I20" s="332">
        <v>958</v>
      </c>
      <c r="J20" s="332">
        <v>4984</v>
      </c>
      <c r="K20" s="332">
        <v>320</v>
      </c>
      <c r="L20" s="333">
        <v>228</v>
      </c>
      <c r="M20" s="333">
        <v>577</v>
      </c>
      <c r="N20" s="396" t="s">
        <v>574</v>
      </c>
      <c r="O20" s="715" t="s">
        <v>574</v>
      </c>
      <c r="P20" s="332">
        <v>21</v>
      </c>
      <c r="Q20" s="332">
        <v>60</v>
      </c>
      <c r="R20" s="333">
        <v>72</v>
      </c>
      <c r="S20" s="333">
        <v>179</v>
      </c>
      <c r="T20" s="332">
        <v>40</v>
      </c>
      <c r="U20" s="332">
        <v>72</v>
      </c>
      <c r="V20" s="333">
        <v>59</v>
      </c>
      <c r="W20" s="333">
        <v>133</v>
      </c>
      <c r="X20" s="332">
        <v>832</v>
      </c>
      <c r="Y20" s="332">
        <v>1089</v>
      </c>
      <c r="Z20" s="333">
        <v>15</v>
      </c>
      <c r="AA20" s="333">
        <v>22</v>
      </c>
      <c r="AB20" s="396" t="s">
        <v>574</v>
      </c>
    </row>
    <row r="21" spans="1:28" s="11" customFormat="1" ht="21.95" customHeight="1">
      <c r="A21" s="1030" t="s">
        <v>114</v>
      </c>
      <c r="B21" s="1029">
        <v>1895</v>
      </c>
      <c r="C21" s="1029">
        <v>2633</v>
      </c>
      <c r="D21" s="1029">
        <v>11613</v>
      </c>
      <c r="E21" s="1029">
        <v>13585</v>
      </c>
      <c r="F21" s="1029">
        <v>17809</v>
      </c>
      <c r="G21" s="1029">
        <v>11654</v>
      </c>
      <c r="H21" s="1029">
        <v>849</v>
      </c>
      <c r="I21" s="1029">
        <v>975</v>
      </c>
      <c r="J21" s="1029">
        <v>5232</v>
      </c>
      <c r="K21" s="1029">
        <v>312</v>
      </c>
      <c r="L21" s="1029">
        <v>228</v>
      </c>
      <c r="M21" s="1029">
        <v>578</v>
      </c>
      <c r="N21" s="497" t="s">
        <v>114</v>
      </c>
      <c r="O21" s="1030" t="s">
        <v>114</v>
      </c>
      <c r="P21" s="1029">
        <v>18</v>
      </c>
      <c r="Q21" s="1029">
        <v>54</v>
      </c>
      <c r="R21" s="1029">
        <v>61</v>
      </c>
      <c r="S21" s="1029">
        <v>175</v>
      </c>
      <c r="T21" s="1029">
        <v>40</v>
      </c>
      <c r="U21" s="1029">
        <v>74</v>
      </c>
      <c r="V21" s="1029">
        <v>59</v>
      </c>
      <c r="W21" s="1029">
        <v>134</v>
      </c>
      <c r="X21" s="1029">
        <v>842</v>
      </c>
      <c r="Y21" s="1029">
        <v>1039</v>
      </c>
      <c r="Z21" s="1029">
        <v>12</v>
      </c>
      <c r="AA21" s="1029">
        <v>18</v>
      </c>
      <c r="AB21" s="497" t="s">
        <v>114</v>
      </c>
    </row>
    <row r="22" spans="1:28" s="11" customFormat="1" ht="21.95" customHeight="1">
      <c r="A22" s="715" t="s">
        <v>110</v>
      </c>
      <c r="B22" s="332">
        <v>1709</v>
      </c>
      <c r="C22" s="332">
        <v>2431</v>
      </c>
      <c r="D22" s="332">
        <v>12207</v>
      </c>
      <c r="E22" s="332">
        <v>13993</v>
      </c>
      <c r="F22" s="332">
        <v>18059</v>
      </c>
      <c r="G22" s="332">
        <v>11631</v>
      </c>
      <c r="H22" s="332">
        <v>901</v>
      </c>
      <c r="I22" s="332">
        <v>930</v>
      </c>
      <c r="J22" s="332">
        <v>4491</v>
      </c>
      <c r="K22" s="332">
        <v>290</v>
      </c>
      <c r="L22" s="332">
        <v>222</v>
      </c>
      <c r="M22" s="332">
        <v>608</v>
      </c>
      <c r="N22" s="396" t="s">
        <v>110</v>
      </c>
      <c r="O22" s="715" t="s">
        <v>110</v>
      </c>
      <c r="P22" s="332">
        <v>20</v>
      </c>
      <c r="Q22" s="332">
        <v>57</v>
      </c>
      <c r="R22" s="332">
        <v>71</v>
      </c>
      <c r="S22" s="332">
        <v>191</v>
      </c>
      <c r="T22" s="332">
        <v>55</v>
      </c>
      <c r="U22" s="332">
        <v>95</v>
      </c>
      <c r="V22" s="332">
        <v>68</v>
      </c>
      <c r="W22" s="332">
        <v>136</v>
      </c>
      <c r="X22" s="332">
        <v>916</v>
      </c>
      <c r="Y22" s="332">
        <v>1029</v>
      </c>
      <c r="Z22" s="332">
        <v>20</v>
      </c>
      <c r="AA22" s="332">
        <v>24</v>
      </c>
      <c r="AB22" s="396" t="s">
        <v>110</v>
      </c>
    </row>
    <row r="23" spans="1:28" s="10" customFormat="1" ht="18.75" customHeight="1">
      <c r="A23" s="1030" t="s">
        <v>253</v>
      </c>
      <c r="B23" s="1029">
        <v>2133</v>
      </c>
      <c r="C23" s="1029">
        <v>2750</v>
      </c>
      <c r="D23" s="438">
        <v>12792</v>
      </c>
      <c r="E23" s="438">
        <v>13951</v>
      </c>
      <c r="F23" s="438">
        <v>18617</v>
      </c>
      <c r="G23" s="438">
        <v>11788</v>
      </c>
      <c r="H23" s="438">
        <v>972</v>
      </c>
      <c r="I23" s="438">
        <v>923</v>
      </c>
      <c r="J23" s="438">
        <v>4671</v>
      </c>
      <c r="K23" s="438">
        <v>287</v>
      </c>
      <c r="L23" s="438">
        <v>246</v>
      </c>
      <c r="M23" s="438">
        <v>623</v>
      </c>
      <c r="N23" s="545" t="s">
        <v>253</v>
      </c>
      <c r="O23" s="498" t="s">
        <v>253</v>
      </c>
      <c r="P23" s="438">
        <v>19</v>
      </c>
      <c r="Q23" s="438">
        <v>68</v>
      </c>
      <c r="R23" s="438">
        <v>80</v>
      </c>
      <c r="S23" s="438">
        <v>205</v>
      </c>
      <c r="T23" s="438">
        <v>79</v>
      </c>
      <c r="U23" s="438">
        <v>121</v>
      </c>
      <c r="V23" s="438">
        <v>61</v>
      </c>
      <c r="W23" s="438">
        <v>140</v>
      </c>
      <c r="X23" s="438">
        <v>1511</v>
      </c>
      <c r="Y23" s="438">
        <v>1751</v>
      </c>
      <c r="Z23" s="438">
        <v>14</v>
      </c>
      <c r="AA23" s="438">
        <v>24</v>
      </c>
      <c r="AB23" s="545" t="s">
        <v>253</v>
      </c>
    </row>
    <row r="24" spans="1:28" s="10" customFormat="1" ht="18.75" customHeight="1">
      <c r="A24" s="715" t="s">
        <v>1169</v>
      </c>
      <c r="B24" s="332">
        <v>2332</v>
      </c>
      <c r="C24" s="332">
        <v>2812</v>
      </c>
      <c r="D24" s="393">
        <v>12798</v>
      </c>
      <c r="E24" s="393">
        <v>13789</v>
      </c>
      <c r="F24" s="393">
        <v>18759</v>
      </c>
      <c r="G24" s="393">
        <v>11886</v>
      </c>
      <c r="H24" s="393">
        <v>995</v>
      </c>
      <c r="I24" s="393">
        <v>885</v>
      </c>
      <c r="J24" s="393">
        <v>4603</v>
      </c>
      <c r="K24" s="393">
        <v>279</v>
      </c>
      <c r="L24" s="393">
        <v>262</v>
      </c>
      <c r="M24" s="393">
        <v>682</v>
      </c>
      <c r="N24" s="583" t="s">
        <v>1169</v>
      </c>
      <c r="O24" s="391" t="s">
        <v>1169</v>
      </c>
      <c r="P24" s="393">
        <v>26</v>
      </c>
      <c r="Q24" s="393">
        <v>91</v>
      </c>
      <c r="R24" s="393">
        <v>80</v>
      </c>
      <c r="S24" s="393">
        <v>213</v>
      </c>
      <c r="T24" s="393">
        <v>85</v>
      </c>
      <c r="U24" s="393">
        <v>126</v>
      </c>
      <c r="V24" s="393">
        <v>61</v>
      </c>
      <c r="W24" s="393">
        <v>143</v>
      </c>
      <c r="X24" s="393">
        <v>1441</v>
      </c>
      <c r="Y24" s="393">
        <v>1878</v>
      </c>
      <c r="Z24" s="393">
        <v>16</v>
      </c>
      <c r="AA24" s="393">
        <v>25</v>
      </c>
      <c r="AB24" s="583" t="s">
        <v>1169</v>
      </c>
    </row>
    <row r="25" spans="1:28" s="10" customFormat="1" ht="18.75" customHeight="1">
      <c r="A25" s="1030" t="s">
        <v>1361</v>
      </c>
      <c r="B25" s="1029">
        <v>2158</v>
      </c>
      <c r="C25" s="1029">
        <v>2602</v>
      </c>
      <c r="D25" s="438">
        <v>12897</v>
      </c>
      <c r="E25" s="438">
        <v>13863</v>
      </c>
      <c r="F25" s="438">
        <v>18778</v>
      </c>
      <c r="G25" s="438">
        <v>11763</v>
      </c>
      <c r="H25" s="438">
        <v>1255</v>
      </c>
      <c r="I25" s="438">
        <v>1029</v>
      </c>
      <c r="J25" s="438">
        <v>4469</v>
      </c>
      <c r="K25" s="438">
        <v>270</v>
      </c>
      <c r="L25" s="438">
        <v>294</v>
      </c>
      <c r="M25" s="438">
        <v>728</v>
      </c>
      <c r="N25" s="545" t="s">
        <v>1361</v>
      </c>
      <c r="O25" s="498" t="s">
        <v>1361</v>
      </c>
      <c r="P25" s="438">
        <v>25</v>
      </c>
      <c r="Q25" s="438">
        <v>87</v>
      </c>
      <c r="R25" s="438">
        <v>93</v>
      </c>
      <c r="S25" s="438">
        <v>222</v>
      </c>
      <c r="T25" s="438">
        <v>79</v>
      </c>
      <c r="U25" s="438">
        <v>119</v>
      </c>
      <c r="V25" s="438">
        <v>63</v>
      </c>
      <c r="W25" s="438">
        <v>144</v>
      </c>
      <c r="X25" s="438">
        <v>1370</v>
      </c>
      <c r="Y25" s="438">
        <v>1683</v>
      </c>
      <c r="Z25" s="438">
        <v>20</v>
      </c>
      <c r="AA25" s="438">
        <v>31</v>
      </c>
      <c r="AB25" s="545" t="s">
        <v>1361</v>
      </c>
    </row>
    <row r="26" spans="1:28" s="10" customFormat="1" ht="18.75" customHeight="1">
      <c r="A26" s="715" t="s">
        <v>1693</v>
      </c>
      <c r="B26" s="332">
        <v>2326</v>
      </c>
      <c r="C26" s="332">
        <v>2598</v>
      </c>
      <c r="D26" s="393">
        <v>13023</v>
      </c>
      <c r="E26" s="393">
        <v>13666</v>
      </c>
      <c r="F26" s="393">
        <v>19007</v>
      </c>
      <c r="G26" s="393">
        <v>11837</v>
      </c>
      <c r="H26" s="393">
        <v>1303</v>
      </c>
      <c r="I26" s="393">
        <v>1062</v>
      </c>
      <c r="J26" s="393">
        <v>4508</v>
      </c>
      <c r="K26" s="393">
        <v>265</v>
      </c>
      <c r="L26" s="393">
        <v>296</v>
      </c>
      <c r="M26" s="393">
        <v>724</v>
      </c>
      <c r="N26" s="583" t="s">
        <v>1693</v>
      </c>
      <c r="O26" s="391" t="s">
        <v>1693</v>
      </c>
      <c r="P26" s="393">
        <v>32</v>
      </c>
      <c r="Q26" s="393">
        <v>97</v>
      </c>
      <c r="R26" s="393">
        <v>157</v>
      </c>
      <c r="S26" s="393">
        <v>308</v>
      </c>
      <c r="T26" s="393">
        <v>85</v>
      </c>
      <c r="U26" s="393">
        <v>124</v>
      </c>
      <c r="V26" s="393">
        <v>67</v>
      </c>
      <c r="W26" s="393">
        <v>148</v>
      </c>
      <c r="X26" s="393">
        <v>1338</v>
      </c>
      <c r="Y26" s="393">
        <v>1645</v>
      </c>
      <c r="Z26" s="393">
        <v>19</v>
      </c>
      <c r="AA26" s="393">
        <v>28</v>
      </c>
      <c r="AB26" s="583" t="s">
        <v>1693</v>
      </c>
    </row>
    <row r="27" spans="1:28" s="10" customFormat="1" ht="18.75" customHeight="1">
      <c r="A27" s="1063" t="s">
        <v>1795</v>
      </c>
      <c r="B27" s="1062">
        <v>2328</v>
      </c>
      <c r="C27" s="1062">
        <v>2583</v>
      </c>
      <c r="D27" s="438">
        <v>13190</v>
      </c>
      <c r="E27" s="438">
        <v>13665</v>
      </c>
      <c r="F27" s="438">
        <v>19192</v>
      </c>
      <c r="G27" s="438">
        <v>11961</v>
      </c>
      <c r="H27" s="438">
        <v>1348</v>
      </c>
      <c r="I27" s="438">
        <v>1079</v>
      </c>
      <c r="J27" s="438">
        <v>4434</v>
      </c>
      <c r="K27" s="438">
        <v>257</v>
      </c>
      <c r="L27" s="438">
        <v>359</v>
      </c>
      <c r="M27" s="438">
        <v>803</v>
      </c>
      <c r="N27" s="497" t="s">
        <v>1795</v>
      </c>
      <c r="O27" s="1063" t="s">
        <v>1795</v>
      </c>
      <c r="P27" s="438">
        <v>33</v>
      </c>
      <c r="Q27" s="438">
        <v>96</v>
      </c>
      <c r="R27" s="438">
        <v>167</v>
      </c>
      <c r="S27" s="438">
        <v>359</v>
      </c>
      <c r="T27" s="438">
        <v>94</v>
      </c>
      <c r="U27" s="438">
        <v>127</v>
      </c>
      <c r="V27" s="438">
        <v>66</v>
      </c>
      <c r="W27" s="438">
        <v>149</v>
      </c>
      <c r="X27" s="438">
        <v>1350</v>
      </c>
      <c r="Y27" s="438">
        <v>1662</v>
      </c>
      <c r="Z27" s="438">
        <v>30</v>
      </c>
      <c r="AA27" s="438">
        <v>33</v>
      </c>
      <c r="AB27" s="497" t="s">
        <v>1795</v>
      </c>
    </row>
    <row r="28" spans="1:28" s="10" customFormat="1" ht="18.75" customHeight="1">
      <c r="A28" s="1121" t="s">
        <v>1996</v>
      </c>
      <c r="B28" s="332">
        <v>2289</v>
      </c>
      <c r="C28" s="332">
        <v>2516</v>
      </c>
      <c r="D28" s="393">
        <v>13483</v>
      </c>
      <c r="E28" s="393">
        <v>13814</v>
      </c>
      <c r="F28" s="393">
        <v>18938</v>
      </c>
      <c r="G28" s="393">
        <v>11794</v>
      </c>
      <c r="H28" s="393">
        <v>1348</v>
      </c>
      <c r="I28" s="393">
        <v>1099</v>
      </c>
      <c r="J28" s="332">
        <v>4207</v>
      </c>
      <c r="K28" s="332">
        <v>243</v>
      </c>
      <c r="L28" s="332">
        <v>362</v>
      </c>
      <c r="M28" s="332">
        <v>787</v>
      </c>
      <c r="N28" s="396" t="s">
        <v>1996</v>
      </c>
      <c r="O28" s="1121" t="s">
        <v>1996</v>
      </c>
      <c r="P28" s="332">
        <v>37</v>
      </c>
      <c r="Q28" s="332">
        <v>101</v>
      </c>
      <c r="R28" s="332">
        <v>158</v>
      </c>
      <c r="S28" s="332">
        <v>382</v>
      </c>
      <c r="T28" s="332">
        <v>88</v>
      </c>
      <c r="U28" s="332">
        <v>115</v>
      </c>
      <c r="V28" s="332">
        <v>64</v>
      </c>
      <c r="W28" s="332">
        <v>148</v>
      </c>
      <c r="X28" s="393">
        <v>1361</v>
      </c>
      <c r="Y28" s="393">
        <v>1675</v>
      </c>
      <c r="Z28" s="332">
        <v>33</v>
      </c>
      <c r="AA28" s="332">
        <v>34</v>
      </c>
      <c r="AB28" s="396" t="s">
        <v>1996</v>
      </c>
    </row>
    <row r="29" spans="1:28" s="10" customFormat="1" ht="18.75" customHeight="1">
      <c r="A29" s="1433" t="s">
        <v>2092</v>
      </c>
      <c r="B29" s="1432">
        <v>2134</v>
      </c>
      <c r="C29" s="1432">
        <v>2327</v>
      </c>
      <c r="D29" s="438">
        <v>13656</v>
      </c>
      <c r="E29" s="438">
        <v>13797</v>
      </c>
      <c r="F29" s="438">
        <v>18014</v>
      </c>
      <c r="G29" s="438">
        <v>11060</v>
      </c>
      <c r="H29" s="438">
        <v>1311</v>
      </c>
      <c r="I29" s="438">
        <v>1026</v>
      </c>
      <c r="J29" s="1432">
        <v>3862</v>
      </c>
      <c r="K29" s="1432">
        <v>227</v>
      </c>
      <c r="L29" s="1432">
        <v>363</v>
      </c>
      <c r="M29" s="1432">
        <v>831</v>
      </c>
      <c r="N29" s="497" t="s">
        <v>2092</v>
      </c>
      <c r="O29" s="1433" t="s">
        <v>2092</v>
      </c>
      <c r="P29" s="1432">
        <v>35</v>
      </c>
      <c r="Q29" s="1432">
        <v>102</v>
      </c>
      <c r="R29" s="1432">
        <v>169</v>
      </c>
      <c r="S29" s="1432">
        <v>382</v>
      </c>
      <c r="T29" s="1432">
        <v>91</v>
      </c>
      <c r="U29" s="1432">
        <v>113</v>
      </c>
      <c r="V29" s="1432">
        <v>82</v>
      </c>
      <c r="W29" s="1432">
        <v>133</v>
      </c>
      <c r="X29" s="438">
        <v>1484</v>
      </c>
      <c r="Y29" s="438">
        <v>1823</v>
      </c>
      <c r="Z29" s="1432">
        <v>31</v>
      </c>
      <c r="AA29" s="1432">
        <v>32</v>
      </c>
      <c r="AB29" s="497" t="s">
        <v>2092</v>
      </c>
    </row>
    <row r="30" spans="1:28" s="254" customFormat="1" ht="15" customHeight="1" thickBot="1">
      <c r="A30" s="692" t="s">
        <v>2320</v>
      </c>
      <c r="B30" s="1427">
        <v>2710</v>
      </c>
      <c r="C30" s="1427">
        <v>2657</v>
      </c>
      <c r="D30" s="684">
        <v>13993</v>
      </c>
      <c r="E30" s="684">
        <v>14035</v>
      </c>
      <c r="F30" s="684">
        <v>19576</v>
      </c>
      <c r="G30" s="684">
        <v>12008</v>
      </c>
      <c r="H30" s="684" t="s">
        <v>886</v>
      </c>
      <c r="I30" s="684" t="s">
        <v>886</v>
      </c>
      <c r="J30" s="1427" t="s">
        <v>886</v>
      </c>
      <c r="K30" s="1427" t="s">
        <v>886</v>
      </c>
      <c r="L30" s="1427" t="s">
        <v>886</v>
      </c>
      <c r="M30" s="1427" t="s">
        <v>886</v>
      </c>
      <c r="N30" s="1434" t="s">
        <v>2320</v>
      </c>
      <c r="O30" s="692" t="s">
        <v>2320</v>
      </c>
      <c r="P30" s="1427" t="s">
        <v>886</v>
      </c>
      <c r="Q30" s="1427" t="s">
        <v>886</v>
      </c>
      <c r="R30" s="1427" t="s">
        <v>886</v>
      </c>
      <c r="S30" s="1427" t="s">
        <v>886</v>
      </c>
      <c r="T30" s="1427" t="s">
        <v>886</v>
      </c>
      <c r="U30" s="1427" t="s">
        <v>886</v>
      </c>
      <c r="V30" s="1427" t="s">
        <v>886</v>
      </c>
      <c r="W30" s="1427" t="s">
        <v>886</v>
      </c>
      <c r="X30" s="684">
        <v>1601</v>
      </c>
      <c r="Y30" s="684">
        <v>1874</v>
      </c>
      <c r="Z30" s="1427" t="s">
        <v>886</v>
      </c>
      <c r="AA30" s="1427" t="s">
        <v>886</v>
      </c>
      <c r="AB30" s="1434" t="s">
        <v>2320</v>
      </c>
    </row>
    <row r="31" spans="1:28" ht="12.75" customHeight="1">
      <c r="A31" s="2001" t="s">
        <v>2178</v>
      </c>
      <c r="B31" s="2001"/>
      <c r="C31" s="2001"/>
      <c r="D31" s="2001"/>
      <c r="E31" s="2001"/>
      <c r="F31" s="1992"/>
      <c r="G31" s="1992"/>
      <c r="H31" s="1992" t="s">
        <v>2120</v>
      </c>
      <c r="I31" s="1992"/>
      <c r="J31" s="1992"/>
      <c r="K31" s="1992"/>
      <c r="L31" s="1992"/>
      <c r="M31" s="1992"/>
      <c r="O31" s="1993" t="s">
        <v>2179</v>
      </c>
      <c r="P31" s="1993"/>
      <c r="Q31" s="1993"/>
      <c r="R31" s="1993"/>
      <c r="S31" s="1993"/>
      <c r="T31" s="1993"/>
      <c r="U31" s="1993"/>
      <c r="V31" s="1993" t="s">
        <v>2120</v>
      </c>
      <c r="W31" s="1993"/>
      <c r="X31" s="1993"/>
      <c r="Y31" s="1993"/>
      <c r="Z31" s="1993"/>
      <c r="AA31" s="1993"/>
    </row>
    <row r="32" spans="1:28">
      <c r="A32" s="374"/>
      <c r="B32" s="7"/>
      <c r="C32" s="7"/>
      <c r="D32" s="7"/>
      <c r="E32" s="7"/>
      <c r="U32" s="102"/>
    </row>
    <row r="33" spans="24:25" hidden="1"/>
    <row r="34" spans="24:25" hidden="1">
      <c r="X34" s="2">
        <v>7501011</v>
      </c>
      <c r="Y34" s="2">
        <f>X34*180/1000000</f>
        <v>1350.1819800000001</v>
      </c>
    </row>
    <row r="35" spans="24:25" hidden="1">
      <c r="X35" s="2">
        <v>7558934</v>
      </c>
      <c r="Y35" s="2">
        <f>X35*180/1000000</f>
        <v>1360.6081200000001</v>
      </c>
    </row>
    <row r="36" spans="24:25" hidden="1"/>
    <row r="37" spans="24:25" hidden="1"/>
    <row r="38" spans="24:25" hidden="1"/>
    <row r="39" spans="24:25" hidden="1"/>
    <row r="40" spans="24:25" hidden="1"/>
  </sheetData>
  <mergeCells count="52">
    <mergeCell ref="A31:E31"/>
    <mergeCell ref="O31:U31"/>
    <mergeCell ref="N3:N5"/>
    <mergeCell ref="L3:M3"/>
    <mergeCell ref="R3:S3"/>
    <mergeCell ref="O3:O5"/>
    <mergeCell ref="A3:A5"/>
    <mergeCell ref="P3:Q3"/>
    <mergeCell ref="B4:B5"/>
    <mergeCell ref="H4:H5"/>
    <mergeCell ref="C4:C5"/>
    <mergeCell ref="D4:D5"/>
    <mergeCell ref="E4:E5"/>
    <mergeCell ref="F4:F5"/>
    <mergeCell ref="J4:J5"/>
    <mergeCell ref="G4:G5"/>
    <mergeCell ref="B3:C3"/>
    <mergeCell ref="D3:E3"/>
    <mergeCell ref="H3:I3"/>
    <mergeCell ref="J3:K3"/>
    <mergeCell ref="M1:N1"/>
    <mergeCell ref="A1:G1"/>
    <mergeCell ref="F3:G3"/>
    <mergeCell ref="F31:G31"/>
    <mergeCell ref="K31:M31"/>
    <mergeCell ref="H31:J31"/>
    <mergeCell ref="V31:AA31"/>
    <mergeCell ref="AA1:AB1"/>
    <mergeCell ref="O1:U1"/>
    <mergeCell ref="V1:Y1"/>
    <mergeCell ref="AB3:AB5"/>
    <mergeCell ref="T3:U3"/>
    <mergeCell ref="V3:W3"/>
    <mergeCell ref="X3:Y3"/>
    <mergeCell ref="Z3:AA3"/>
    <mergeCell ref="W4:W5"/>
    <mergeCell ref="H1:K1"/>
    <mergeCell ref="AA4:AA5"/>
    <mergeCell ref="Q4:Q5"/>
    <mergeCell ref="I4:I5"/>
    <mergeCell ref="X4:X5"/>
    <mergeCell ref="Y4:Y5"/>
    <mergeCell ref="Z4:Z5"/>
    <mergeCell ref="V4:V5"/>
    <mergeCell ref="R4:R5"/>
    <mergeCell ref="S4:S5"/>
    <mergeCell ref="T4:T5"/>
    <mergeCell ref="U4:U5"/>
    <mergeCell ref="K4:K5"/>
    <mergeCell ref="L4:L5"/>
    <mergeCell ref="M4:M5"/>
    <mergeCell ref="P4:P5"/>
  </mergeCells>
  <phoneticPr fontId="4" type="noConversion"/>
  <pageMargins left="0.62992125984252001" right="0.511811023622047" top="0.511811023622047" bottom="0.511811023622047" header="0" footer="0.74803149606299202"/>
  <pageSetup paperSize="141" firstPageNumber="36" orientation="portrait" useFirstPageNumber="1" r:id="rId1"/>
  <headerFooter alignWithMargins="0">
    <oddFooter>&amp;C&amp;"Times New Roman,Regular"&amp;8&amp;P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7"/>
  <dimension ref="A1:O48"/>
  <sheetViews>
    <sheetView zoomScale="160" zoomScaleNormal="160" workbookViewId="0">
      <pane xSplit="1" ySplit="4" topLeftCell="E38" activePane="bottomRight" state="frozen"/>
      <selection pane="topRight" activeCell="C1" sqref="C1"/>
      <selection pane="bottomLeft" activeCell="A5" sqref="A5"/>
      <selection pane="bottomRight" activeCell="I43" sqref="I43"/>
    </sheetView>
  </sheetViews>
  <sheetFormatPr defaultColWidth="5.85546875" defaultRowHeight="9"/>
  <cols>
    <col min="1" max="1" width="10.7109375" style="338" customWidth="1"/>
    <col min="2" max="2" width="10.42578125" style="338" customWidth="1"/>
    <col min="3" max="3" width="11.140625" style="338" customWidth="1"/>
    <col min="4" max="5" width="10.5703125" style="338" customWidth="1"/>
    <col min="6" max="6" width="12.28515625" style="338" customWidth="1"/>
    <col min="7" max="8" width="9" style="338" customWidth="1"/>
    <col min="9" max="9" width="10" style="338" customWidth="1"/>
    <col min="10" max="10" width="9.7109375" style="338" customWidth="1"/>
    <col min="11" max="11" width="10.42578125" style="338" customWidth="1"/>
    <col min="12" max="12" width="8.85546875" style="338" customWidth="1"/>
    <col min="13" max="13" width="9" style="338" customWidth="1"/>
    <col min="14" max="14" width="9.28515625" style="338" customWidth="1"/>
    <col min="15" max="15" width="10" style="338" customWidth="1"/>
    <col min="16" max="16384" width="5.85546875" style="338"/>
  </cols>
  <sheetData>
    <row r="1" spans="1:15" s="257" customFormat="1" ht="14.25" customHeight="1">
      <c r="C1" s="1862" t="s">
        <v>167</v>
      </c>
      <c r="D1" s="1862"/>
      <c r="E1" s="1862"/>
      <c r="F1" s="1862"/>
      <c r="G1" s="1862"/>
      <c r="H1" s="695" t="s">
        <v>159</v>
      </c>
      <c r="I1" s="695"/>
      <c r="J1" s="695"/>
      <c r="K1" s="696"/>
      <c r="L1" s="696"/>
      <c r="M1" s="696"/>
      <c r="N1" s="1862" t="s">
        <v>1847</v>
      </c>
      <c r="O1" s="1862"/>
    </row>
    <row r="2" spans="1:15" s="260" customFormat="1" ht="12.75" customHeight="1">
      <c r="G2" s="697" t="s">
        <v>200</v>
      </c>
      <c r="H2" s="2006" t="s">
        <v>199</v>
      </c>
      <c r="I2" s="2006"/>
      <c r="J2" s="2006"/>
    </row>
    <row r="3" spans="1:15" s="263" customFormat="1" ht="26.25" customHeight="1">
      <c r="A3" s="2002" t="s">
        <v>764</v>
      </c>
      <c r="B3" s="1108" t="s">
        <v>858</v>
      </c>
      <c r="C3" s="1108" t="s">
        <v>859</v>
      </c>
      <c r="D3" s="1109" t="s">
        <v>779</v>
      </c>
      <c r="E3" s="1109" t="s">
        <v>860</v>
      </c>
      <c r="F3" s="1109" t="s">
        <v>780</v>
      </c>
      <c r="G3" s="1108" t="s">
        <v>313</v>
      </c>
      <c r="H3" s="1347" t="s">
        <v>312</v>
      </c>
      <c r="I3" s="1109" t="s">
        <v>891</v>
      </c>
      <c r="J3" s="1109" t="s">
        <v>861</v>
      </c>
      <c r="K3" s="1109" t="s">
        <v>782</v>
      </c>
      <c r="L3" s="1108" t="s">
        <v>311</v>
      </c>
      <c r="M3" s="1125" t="s">
        <v>2220</v>
      </c>
      <c r="N3" s="1109" t="s">
        <v>783</v>
      </c>
      <c r="O3" s="2007" t="s">
        <v>764</v>
      </c>
    </row>
    <row r="4" spans="1:15" s="263" customFormat="1" ht="25.5" customHeight="1">
      <c r="A4" s="2002"/>
      <c r="B4" s="115" t="s">
        <v>1515</v>
      </c>
      <c r="C4" s="115" t="s">
        <v>1514</v>
      </c>
      <c r="D4" s="115" t="s">
        <v>1516</v>
      </c>
      <c r="E4" s="115" t="s">
        <v>1516</v>
      </c>
      <c r="F4" s="115" t="s">
        <v>1517</v>
      </c>
      <c r="G4" s="115" t="s">
        <v>1518</v>
      </c>
      <c r="H4" s="1347" t="s">
        <v>1521</v>
      </c>
      <c r="I4" s="115" t="s">
        <v>1518</v>
      </c>
      <c r="J4" s="115" t="s">
        <v>1518</v>
      </c>
      <c r="K4" s="115" t="s">
        <v>1520</v>
      </c>
      <c r="L4" s="698" t="s">
        <v>299</v>
      </c>
      <c r="M4" s="115" t="s">
        <v>1518</v>
      </c>
      <c r="N4" s="115" t="s">
        <v>1519</v>
      </c>
      <c r="O4" s="1937"/>
    </row>
    <row r="5" spans="1:15" s="254" customFormat="1" ht="12.95" customHeight="1">
      <c r="A5" s="451" t="s">
        <v>851</v>
      </c>
      <c r="B5" s="442">
        <v>870</v>
      </c>
      <c r="C5" s="442">
        <v>43730</v>
      </c>
      <c r="D5" s="442">
        <v>22896</v>
      </c>
      <c r="E5" s="442" t="s">
        <v>505</v>
      </c>
      <c r="F5" s="442">
        <v>245580</v>
      </c>
      <c r="G5" s="442">
        <v>67007</v>
      </c>
      <c r="H5" s="442">
        <v>120485</v>
      </c>
      <c r="I5" s="442">
        <v>162199</v>
      </c>
      <c r="J5" s="442">
        <v>1982292</v>
      </c>
      <c r="K5" s="442" t="s">
        <v>886</v>
      </c>
      <c r="L5" s="442">
        <v>2325</v>
      </c>
      <c r="M5" s="442" t="s">
        <v>886</v>
      </c>
      <c r="N5" s="442">
        <v>13316</v>
      </c>
      <c r="O5" s="452" t="s">
        <v>851</v>
      </c>
    </row>
    <row r="6" spans="1:15" s="254" customFormat="1" ht="12.95" customHeight="1">
      <c r="A6" s="252" t="s">
        <v>574</v>
      </c>
      <c r="B6" s="39">
        <v>951</v>
      </c>
      <c r="C6" s="39">
        <v>46079</v>
      </c>
      <c r="D6" s="39">
        <v>24079</v>
      </c>
      <c r="E6" s="39" t="s">
        <v>886</v>
      </c>
      <c r="F6" s="39">
        <v>241800</v>
      </c>
      <c r="G6" s="39">
        <v>70331</v>
      </c>
      <c r="H6" s="39">
        <v>125436</v>
      </c>
      <c r="I6" s="39">
        <v>163844</v>
      </c>
      <c r="J6" s="39">
        <v>1581364</v>
      </c>
      <c r="K6" s="39" t="s">
        <v>886</v>
      </c>
      <c r="L6" s="39">
        <v>2085</v>
      </c>
      <c r="M6" s="39" t="s">
        <v>886</v>
      </c>
      <c r="N6" s="39">
        <v>12964</v>
      </c>
      <c r="O6" s="316" t="s">
        <v>574</v>
      </c>
    </row>
    <row r="7" spans="1:15" s="254" customFormat="1" ht="12.95" customHeight="1">
      <c r="A7" s="451" t="s">
        <v>114</v>
      </c>
      <c r="B7" s="442">
        <v>981</v>
      </c>
      <c r="C7" s="442">
        <v>50566</v>
      </c>
      <c r="D7" s="442">
        <v>24240</v>
      </c>
      <c r="E7" s="442" t="s">
        <v>505</v>
      </c>
      <c r="F7" s="442">
        <v>236410</v>
      </c>
      <c r="G7" s="442">
        <v>73077</v>
      </c>
      <c r="H7" s="442">
        <v>134069</v>
      </c>
      <c r="I7" s="442">
        <v>79922</v>
      </c>
      <c r="J7" s="442">
        <v>1342024</v>
      </c>
      <c r="K7" s="442" t="s">
        <v>886</v>
      </c>
      <c r="L7" s="442">
        <v>2111</v>
      </c>
      <c r="M7" s="442" t="s">
        <v>505</v>
      </c>
      <c r="N7" s="442">
        <v>13416</v>
      </c>
      <c r="O7" s="452" t="s">
        <v>114</v>
      </c>
    </row>
    <row r="8" spans="1:15" s="254" customFormat="1" ht="12.95" customHeight="1">
      <c r="A8" s="252" t="s">
        <v>110</v>
      </c>
      <c r="B8" s="212">
        <v>1006.35</v>
      </c>
      <c r="C8" s="39">
        <v>52975</v>
      </c>
      <c r="D8" s="39">
        <v>18676</v>
      </c>
      <c r="E8" s="39" t="s">
        <v>505</v>
      </c>
      <c r="F8" s="39">
        <v>236790</v>
      </c>
      <c r="G8" s="39">
        <v>76918</v>
      </c>
      <c r="H8" s="39">
        <v>156528</v>
      </c>
      <c r="I8" s="39">
        <v>62203</v>
      </c>
      <c r="J8" s="39">
        <v>1138644</v>
      </c>
      <c r="K8" s="39" t="s">
        <v>505</v>
      </c>
      <c r="L8" s="39">
        <v>2021</v>
      </c>
      <c r="M8" s="39" t="s">
        <v>505</v>
      </c>
      <c r="N8" s="39">
        <v>13330</v>
      </c>
      <c r="O8" s="316" t="s">
        <v>110</v>
      </c>
    </row>
    <row r="9" spans="1:15" s="252" customFormat="1" ht="12.95" customHeight="1">
      <c r="A9" s="451" t="s">
        <v>253</v>
      </c>
      <c r="B9" s="446">
        <v>1030</v>
      </c>
      <c r="C9" s="446">
        <v>56181</v>
      </c>
      <c r="D9" s="446">
        <v>20241</v>
      </c>
      <c r="E9" s="442" t="s">
        <v>505</v>
      </c>
      <c r="F9" s="446">
        <v>234510</v>
      </c>
      <c r="G9" s="446">
        <v>76970</v>
      </c>
      <c r="H9" s="446">
        <v>154384</v>
      </c>
      <c r="I9" s="446">
        <v>100963</v>
      </c>
      <c r="J9" s="446">
        <v>1011941</v>
      </c>
      <c r="K9" s="442" t="s">
        <v>505</v>
      </c>
      <c r="L9" s="446">
        <v>1898</v>
      </c>
      <c r="M9" s="442" t="s">
        <v>505</v>
      </c>
      <c r="N9" s="446">
        <v>14143</v>
      </c>
      <c r="O9" s="452" t="s">
        <v>253</v>
      </c>
    </row>
    <row r="10" spans="1:15" s="252" customFormat="1" ht="12.95" customHeight="1">
      <c r="A10" s="252" t="s">
        <v>1169</v>
      </c>
      <c r="B10" s="212">
        <v>955.09444444444443</v>
      </c>
      <c r="C10" s="212">
        <v>56546</v>
      </c>
      <c r="D10" s="212">
        <v>20740</v>
      </c>
      <c r="E10" s="39" t="s">
        <v>505</v>
      </c>
      <c r="F10" s="212">
        <v>315050</v>
      </c>
      <c r="G10" s="212">
        <v>113765</v>
      </c>
      <c r="H10" s="212">
        <v>162407</v>
      </c>
      <c r="I10" s="212">
        <v>63309</v>
      </c>
      <c r="J10" s="212">
        <v>1036947</v>
      </c>
      <c r="K10" s="39" t="s">
        <v>505</v>
      </c>
      <c r="L10" s="212">
        <v>1442</v>
      </c>
      <c r="M10" s="39" t="s">
        <v>505</v>
      </c>
      <c r="N10" s="212">
        <v>18148</v>
      </c>
      <c r="O10" s="316" t="s">
        <v>1169</v>
      </c>
    </row>
    <row r="11" spans="1:15" s="252" customFormat="1" ht="12.95" customHeight="1">
      <c r="A11" s="451" t="s">
        <v>1361</v>
      </c>
      <c r="B11" s="446">
        <v>970.12777777777774</v>
      </c>
      <c r="C11" s="446">
        <v>56949</v>
      </c>
      <c r="D11" s="446">
        <v>17774</v>
      </c>
      <c r="E11" s="442" t="s">
        <v>505</v>
      </c>
      <c r="F11" s="446">
        <v>262620</v>
      </c>
      <c r="G11" s="446">
        <v>313265</v>
      </c>
      <c r="H11" s="446">
        <v>194048</v>
      </c>
      <c r="I11" s="446">
        <v>107133</v>
      </c>
      <c r="J11" s="446">
        <v>1074791</v>
      </c>
      <c r="K11" s="442" t="s">
        <v>505</v>
      </c>
      <c r="L11" s="446">
        <v>2364</v>
      </c>
      <c r="M11" s="442" t="s">
        <v>505</v>
      </c>
      <c r="N11" s="446">
        <v>20989</v>
      </c>
      <c r="O11" s="452" t="s">
        <v>1361</v>
      </c>
    </row>
    <row r="12" spans="1:15" s="252" customFormat="1" ht="12.95" customHeight="1">
      <c r="A12" s="252" t="s">
        <v>1693</v>
      </c>
      <c r="B12" s="212">
        <v>974.33888888888885</v>
      </c>
      <c r="C12" s="212">
        <v>57386</v>
      </c>
      <c r="D12" s="212">
        <v>13098</v>
      </c>
      <c r="E12" s="39" t="s">
        <v>505</v>
      </c>
      <c r="F12" s="212">
        <v>283130</v>
      </c>
      <c r="G12" s="212">
        <v>352115</v>
      </c>
      <c r="H12" s="212">
        <v>209106</v>
      </c>
      <c r="I12" s="212">
        <v>128268</v>
      </c>
      <c r="J12" s="212">
        <v>976691</v>
      </c>
      <c r="K12" s="212" t="s">
        <v>505</v>
      </c>
      <c r="L12" s="212">
        <v>2009</v>
      </c>
      <c r="M12" s="212" t="s">
        <v>505</v>
      </c>
      <c r="N12" s="212">
        <v>20813</v>
      </c>
      <c r="O12" s="316" t="s">
        <v>1693</v>
      </c>
    </row>
    <row r="13" spans="1:15" s="252" customFormat="1" ht="12.95" customHeight="1">
      <c r="A13" s="451" t="s">
        <v>1795</v>
      </c>
      <c r="B13" s="440">
        <v>780.2166666666667</v>
      </c>
      <c r="C13" s="440">
        <v>44692</v>
      </c>
      <c r="D13" s="440">
        <v>12660</v>
      </c>
      <c r="E13" s="440" t="s">
        <v>505</v>
      </c>
      <c r="F13" s="440">
        <v>264850</v>
      </c>
      <c r="G13" s="440">
        <v>609045</v>
      </c>
      <c r="H13" s="440">
        <v>298939</v>
      </c>
      <c r="I13" s="440">
        <v>77450</v>
      </c>
      <c r="J13" s="440">
        <v>1028157</v>
      </c>
      <c r="K13" s="440" t="s">
        <v>505</v>
      </c>
      <c r="L13" s="440">
        <v>1529</v>
      </c>
      <c r="M13" s="440" t="s">
        <v>505</v>
      </c>
      <c r="N13" s="440">
        <v>18935</v>
      </c>
      <c r="O13" s="452" t="s">
        <v>1795</v>
      </c>
    </row>
    <row r="14" spans="1:15" s="252" customFormat="1" ht="12.95" customHeight="1">
      <c r="A14" s="289" t="s">
        <v>1996</v>
      </c>
      <c r="B14" s="531">
        <v>892</v>
      </c>
      <c r="C14" s="531">
        <v>47444</v>
      </c>
      <c r="D14" s="531">
        <v>10577</v>
      </c>
      <c r="E14" s="738" t="s">
        <v>505</v>
      </c>
      <c r="F14" s="531">
        <v>224210</v>
      </c>
      <c r="G14" s="531">
        <v>728260</v>
      </c>
      <c r="H14" s="531">
        <v>278952</v>
      </c>
      <c r="I14" s="531">
        <v>58219.3</v>
      </c>
      <c r="J14" s="531">
        <v>1010446</v>
      </c>
      <c r="K14" s="738" t="s">
        <v>505</v>
      </c>
      <c r="L14" s="531">
        <v>1363</v>
      </c>
      <c r="M14" s="738" t="s">
        <v>505</v>
      </c>
      <c r="N14" s="531">
        <v>19506</v>
      </c>
      <c r="O14" s="699" t="s">
        <v>1996</v>
      </c>
    </row>
    <row r="15" spans="1:15" s="252" customFormat="1" ht="12.95" customHeight="1">
      <c r="A15" s="453" t="s">
        <v>2092</v>
      </c>
      <c r="B15" s="730">
        <f>SUM(B16:B27)</f>
        <v>898</v>
      </c>
      <c r="C15" s="730">
        <f>SUM(C16:C27)</f>
        <v>47060</v>
      </c>
      <c r="D15" s="730">
        <f>SUM(D16:D27)</f>
        <v>6777</v>
      </c>
      <c r="E15" s="810" t="s">
        <v>505</v>
      </c>
      <c r="F15" s="730">
        <f>SUM(F16:F27)</f>
        <v>175730</v>
      </c>
      <c r="G15" s="730">
        <f>SUM(G16:G27)</f>
        <v>657966</v>
      </c>
      <c r="H15" s="730">
        <f>SUM(H16:H27)</f>
        <v>348931</v>
      </c>
      <c r="I15" s="730">
        <f>SUM(I16:I27)</f>
        <v>59984.55</v>
      </c>
      <c r="J15" s="730">
        <f>SUM(J16:J27)</f>
        <v>1089418.05</v>
      </c>
      <c r="K15" s="810" t="s">
        <v>505</v>
      </c>
      <c r="L15" s="730">
        <f>SUM(L16:L27)</f>
        <v>1333</v>
      </c>
      <c r="M15" s="810" t="s">
        <v>505</v>
      </c>
      <c r="N15" s="730">
        <f>SUM(N16:N27)</f>
        <v>22827</v>
      </c>
      <c r="O15" s="454" t="s">
        <v>2092</v>
      </c>
    </row>
    <row r="16" spans="1:15" s="252" customFormat="1" ht="12.95" customHeight="1">
      <c r="A16" s="252" t="s">
        <v>843</v>
      </c>
      <c r="B16" s="393">
        <v>67</v>
      </c>
      <c r="C16" s="393">
        <v>3776</v>
      </c>
      <c r="D16" s="39">
        <v>1415</v>
      </c>
      <c r="E16" s="393" t="s">
        <v>505</v>
      </c>
      <c r="F16" s="393">
        <v>8570</v>
      </c>
      <c r="G16" s="393">
        <v>47409</v>
      </c>
      <c r="H16" s="393">
        <v>20864</v>
      </c>
      <c r="I16" s="393">
        <v>0</v>
      </c>
      <c r="J16" s="39">
        <f>47567+11010+8764</f>
        <v>67341</v>
      </c>
      <c r="K16" s="393" t="s">
        <v>505</v>
      </c>
      <c r="L16" s="39">
        <v>140</v>
      </c>
      <c r="M16" s="393" t="s">
        <v>505</v>
      </c>
      <c r="N16" s="393">
        <v>1815</v>
      </c>
      <c r="O16" s="316" t="s">
        <v>843</v>
      </c>
    </row>
    <row r="17" spans="1:15" s="252" customFormat="1" ht="12.95" customHeight="1">
      <c r="A17" s="451" t="s">
        <v>844</v>
      </c>
      <c r="B17" s="438">
        <v>70</v>
      </c>
      <c r="C17" s="438">
        <v>4468</v>
      </c>
      <c r="D17" s="442">
        <v>1241</v>
      </c>
      <c r="E17" s="438" t="s">
        <v>505</v>
      </c>
      <c r="F17" s="438">
        <v>11280</v>
      </c>
      <c r="G17" s="438">
        <v>65357</v>
      </c>
      <c r="H17" s="438">
        <v>27750</v>
      </c>
      <c r="I17" s="438">
        <v>0</v>
      </c>
      <c r="J17" s="442">
        <f>37967+10554+13601</f>
        <v>62122</v>
      </c>
      <c r="K17" s="442" t="s">
        <v>505</v>
      </c>
      <c r="L17" s="442">
        <v>140</v>
      </c>
      <c r="M17" s="438" t="s">
        <v>505</v>
      </c>
      <c r="N17" s="438">
        <v>1825</v>
      </c>
      <c r="O17" s="452" t="s">
        <v>844</v>
      </c>
    </row>
    <row r="18" spans="1:15" s="252" customFormat="1" ht="12.95" customHeight="1">
      <c r="A18" s="252" t="s">
        <v>838</v>
      </c>
      <c r="B18" s="393">
        <v>68</v>
      </c>
      <c r="C18" s="393">
        <v>3898</v>
      </c>
      <c r="D18" s="39">
        <v>639</v>
      </c>
      <c r="E18" s="393" t="s">
        <v>505</v>
      </c>
      <c r="F18" s="393">
        <v>13880</v>
      </c>
      <c r="G18" s="393">
        <v>49362</v>
      </c>
      <c r="H18" s="393">
        <v>25233</v>
      </c>
      <c r="I18" s="393">
        <v>0</v>
      </c>
      <c r="J18" s="39">
        <f>53472+9600</f>
        <v>63072</v>
      </c>
      <c r="K18" s="39" t="s">
        <v>505</v>
      </c>
      <c r="L18" s="39">
        <v>137</v>
      </c>
      <c r="M18" s="393" t="s">
        <v>505</v>
      </c>
      <c r="N18" s="393">
        <v>1835</v>
      </c>
      <c r="O18" s="316" t="s">
        <v>838</v>
      </c>
    </row>
    <row r="19" spans="1:15" s="252" customFormat="1" ht="12.95" customHeight="1">
      <c r="A19" s="451" t="s">
        <v>845</v>
      </c>
      <c r="B19" s="438">
        <v>86</v>
      </c>
      <c r="C19" s="438">
        <v>3967</v>
      </c>
      <c r="D19" s="442">
        <v>451</v>
      </c>
      <c r="E19" s="438" t="s">
        <v>505</v>
      </c>
      <c r="F19" s="438">
        <v>16210</v>
      </c>
      <c r="G19" s="438">
        <v>56249</v>
      </c>
      <c r="H19" s="438">
        <v>28282</v>
      </c>
      <c r="I19" s="438">
        <v>85</v>
      </c>
      <c r="J19" s="442">
        <f>51682+10728</f>
        <v>62410</v>
      </c>
      <c r="K19" s="442" t="s">
        <v>505</v>
      </c>
      <c r="L19" s="442">
        <v>147</v>
      </c>
      <c r="M19" s="438" t="s">
        <v>505</v>
      </c>
      <c r="N19" s="438">
        <v>1835</v>
      </c>
      <c r="O19" s="452" t="s">
        <v>845</v>
      </c>
    </row>
    <row r="20" spans="1:15" s="252" customFormat="1" ht="12.95" customHeight="1">
      <c r="A20" s="252" t="s">
        <v>846</v>
      </c>
      <c r="B20" s="393">
        <v>86</v>
      </c>
      <c r="C20" s="393">
        <v>3846</v>
      </c>
      <c r="D20" s="39">
        <v>500</v>
      </c>
      <c r="E20" s="393" t="s">
        <v>505</v>
      </c>
      <c r="F20" s="393">
        <v>18000</v>
      </c>
      <c r="G20" s="393">
        <v>45503</v>
      </c>
      <c r="H20" s="393">
        <v>26603</v>
      </c>
      <c r="I20" s="393">
        <v>5495</v>
      </c>
      <c r="J20" s="39">
        <f>93945+10034</f>
        <v>103979</v>
      </c>
      <c r="K20" s="39" t="s">
        <v>505</v>
      </c>
      <c r="L20" s="39">
        <v>121</v>
      </c>
      <c r="M20" s="393" t="s">
        <v>505</v>
      </c>
      <c r="N20" s="393">
        <v>1848</v>
      </c>
      <c r="O20" s="316" t="s">
        <v>846</v>
      </c>
    </row>
    <row r="21" spans="1:15" s="252" customFormat="1" ht="12.95" customHeight="1">
      <c r="A21" s="451" t="s">
        <v>839</v>
      </c>
      <c r="B21" s="438">
        <v>89</v>
      </c>
      <c r="C21" s="438">
        <v>4074</v>
      </c>
      <c r="D21" s="442">
        <v>197</v>
      </c>
      <c r="E21" s="438" t="s">
        <v>505</v>
      </c>
      <c r="F21" s="438">
        <v>13980</v>
      </c>
      <c r="G21" s="438">
        <v>40974</v>
      </c>
      <c r="H21" s="438">
        <v>25356</v>
      </c>
      <c r="I21" s="440">
        <v>22288.15</v>
      </c>
      <c r="J21" s="442">
        <f>105572+10472</f>
        <v>116044</v>
      </c>
      <c r="K21" s="442" t="s">
        <v>505</v>
      </c>
      <c r="L21" s="442">
        <v>86</v>
      </c>
      <c r="M21" s="438" t="s">
        <v>505</v>
      </c>
      <c r="N21" s="438">
        <v>1873</v>
      </c>
      <c r="O21" s="452" t="s">
        <v>839</v>
      </c>
    </row>
    <row r="22" spans="1:15" s="252" customFormat="1" ht="12.95" customHeight="1">
      <c r="A22" s="252" t="s">
        <v>847</v>
      </c>
      <c r="B22" s="393">
        <v>69</v>
      </c>
      <c r="C22" s="393">
        <v>3864</v>
      </c>
      <c r="D22" s="39">
        <v>529</v>
      </c>
      <c r="E22" s="393" t="s">
        <v>505</v>
      </c>
      <c r="F22" s="393">
        <v>15670</v>
      </c>
      <c r="G22" s="393">
        <v>53195</v>
      </c>
      <c r="H22" s="393">
        <v>33496</v>
      </c>
      <c r="I22" s="586">
        <v>24398.15</v>
      </c>
      <c r="J22" s="39">
        <f>80519+11405</f>
        <v>91924</v>
      </c>
      <c r="K22" s="39" t="s">
        <v>505</v>
      </c>
      <c r="L22" s="39">
        <v>84</v>
      </c>
      <c r="M22" s="393" t="s">
        <v>505</v>
      </c>
      <c r="N22" s="393">
        <v>1920</v>
      </c>
      <c r="O22" s="316" t="s">
        <v>847</v>
      </c>
    </row>
    <row r="23" spans="1:15" s="252" customFormat="1" ht="12.95" customHeight="1">
      <c r="A23" s="451" t="s">
        <v>848</v>
      </c>
      <c r="B23" s="438">
        <v>67</v>
      </c>
      <c r="C23" s="438">
        <v>3935</v>
      </c>
      <c r="D23" s="442">
        <v>257</v>
      </c>
      <c r="E23" s="438" t="s">
        <v>505</v>
      </c>
      <c r="F23" s="438">
        <v>15160</v>
      </c>
      <c r="G23" s="438">
        <v>51701</v>
      </c>
      <c r="H23" s="438">
        <v>27132</v>
      </c>
      <c r="I23" s="440">
        <v>7718.25</v>
      </c>
      <c r="J23" s="442">
        <f>115679+2702+1602</f>
        <v>119983</v>
      </c>
      <c r="K23" s="442" t="s">
        <v>505</v>
      </c>
      <c r="L23" s="442">
        <v>71</v>
      </c>
      <c r="M23" s="438" t="s">
        <v>505</v>
      </c>
      <c r="N23" s="438">
        <v>1945</v>
      </c>
      <c r="O23" s="452" t="s">
        <v>848</v>
      </c>
    </row>
    <row r="24" spans="1:15" s="252" customFormat="1" ht="12.95" customHeight="1">
      <c r="A24" s="252" t="s">
        <v>840</v>
      </c>
      <c r="B24" s="393">
        <v>71</v>
      </c>
      <c r="C24" s="393">
        <v>3752</v>
      </c>
      <c r="D24" s="39">
        <v>348</v>
      </c>
      <c r="E24" s="393" t="s">
        <v>505</v>
      </c>
      <c r="F24" s="393">
        <v>16900</v>
      </c>
      <c r="G24" s="393">
        <v>68297</v>
      </c>
      <c r="H24" s="393">
        <v>38345</v>
      </c>
      <c r="I24" s="586">
        <v>0</v>
      </c>
      <c r="J24" s="39">
        <f>122710+3908+8699</f>
        <v>135317</v>
      </c>
      <c r="K24" s="39" t="s">
        <v>505</v>
      </c>
      <c r="L24" s="39">
        <v>127</v>
      </c>
      <c r="M24" s="393" t="s">
        <v>505</v>
      </c>
      <c r="N24" s="393">
        <v>1950</v>
      </c>
      <c r="O24" s="316" t="s">
        <v>840</v>
      </c>
    </row>
    <row r="25" spans="1:15" s="252" customFormat="1" ht="12.95" customHeight="1">
      <c r="A25" s="451" t="s">
        <v>849</v>
      </c>
      <c r="B25" s="438">
        <v>74</v>
      </c>
      <c r="C25" s="438">
        <v>3858</v>
      </c>
      <c r="D25" s="442">
        <v>439</v>
      </c>
      <c r="E25" s="438" t="s">
        <v>505</v>
      </c>
      <c r="F25" s="438">
        <v>17050</v>
      </c>
      <c r="G25" s="438">
        <v>57430</v>
      </c>
      <c r="H25" s="438">
        <v>38873</v>
      </c>
      <c r="I25" s="440">
        <v>0</v>
      </c>
      <c r="J25" s="442">
        <f>88019.55+9157.05+9398</f>
        <v>106574.6</v>
      </c>
      <c r="K25" s="442" t="s">
        <v>505</v>
      </c>
      <c r="L25" s="442">
        <v>127</v>
      </c>
      <c r="M25" s="438" t="s">
        <v>505</v>
      </c>
      <c r="N25" s="438">
        <v>1975</v>
      </c>
      <c r="O25" s="452" t="s">
        <v>849</v>
      </c>
    </row>
    <row r="26" spans="1:15" s="252" customFormat="1" ht="12.95" customHeight="1">
      <c r="A26" s="252" t="s">
        <v>850</v>
      </c>
      <c r="B26" s="393">
        <v>75</v>
      </c>
      <c r="C26" s="393">
        <v>3839</v>
      </c>
      <c r="D26" s="39">
        <v>405</v>
      </c>
      <c r="E26" s="393" t="s">
        <v>505</v>
      </c>
      <c r="F26" s="393">
        <v>22410</v>
      </c>
      <c r="G26" s="393">
        <v>61708</v>
      </c>
      <c r="H26" s="393">
        <v>28298</v>
      </c>
      <c r="I26" s="586">
        <v>0</v>
      </c>
      <c r="J26" s="39">
        <f>82320+9932.4+6128</f>
        <v>98380.4</v>
      </c>
      <c r="K26" s="39" t="s">
        <v>505</v>
      </c>
      <c r="L26" s="39">
        <v>118</v>
      </c>
      <c r="M26" s="393" t="s">
        <v>505</v>
      </c>
      <c r="N26" s="393">
        <v>1998</v>
      </c>
      <c r="O26" s="316" t="s">
        <v>850</v>
      </c>
    </row>
    <row r="27" spans="1:15" s="252" customFormat="1" ht="12.95" customHeight="1">
      <c r="A27" s="451" t="s">
        <v>841</v>
      </c>
      <c r="B27" s="438">
        <v>76</v>
      </c>
      <c r="C27" s="438">
        <v>3783</v>
      </c>
      <c r="D27" s="442">
        <v>356</v>
      </c>
      <c r="E27" s="438" t="s">
        <v>505</v>
      </c>
      <c r="F27" s="438">
        <v>6620</v>
      </c>
      <c r="G27" s="438">
        <v>60781</v>
      </c>
      <c r="H27" s="438">
        <v>28699</v>
      </c>
      <c r="I27" s="440">
        <v>0</v>
      </c>
      <c r="J27" s="437">
        <f>43267.05+8238+10766</f>
        <v>62271.05</v>
      </c>
      <c r="K27" s="442" t="s">
        <v>505</v>
      </c>
      <c r="L27" s="442">
        <v>35</v>
      </c>
      <c r="M27" s="438" t="s">
        <v>505</v>
      </c>
      <c r="N27" s="438">
        <v>2008</v>
      </c>
      <c r="O27" s="452" t="s">
        <v>841</v>
      </c>
    </row>
    <row r="28" spans="1:15" s="252" customFormat="1" ht="12.95" customHeight="1">
      <c r="A28" s="289" t="s">
        <v>2320</v>
      </c>
      <c r="B28" s="531">
        <f>SUM(B29:B40)</f>
        <v>932</v>
      </c>
      <c r="C28" s="531">
        <f>SUM(C29:C40)</f>
        <v>42447</v>
      </c>
      <c r="D28" s="531">
        <f>SUM(D29:D40)</f>
        <v>3182</v>
      </c>
      <c r="E28" s="738" t="s">
        <v>505</v>
      </c>
      <c r="F28" s="531">
        <f>SUM(F29:F40)</f>
        <v>156600</v>
      </c>
      <c r="G28" s="531">
        <f>SUM(G29:G40)</f>
        <v>1001358</v>
      </c>
      <c r="H28" s="531">
        <f>SUM(H29:H40)</f>
        <v>408516</v>
      </c>
      <c r="I28" s="531">
        <f>SUM(I29:I40)</f>
        <v>68602.5</v>
      </c>
      <c r="J28" s="531">
        <f>SUM(J29:J40)</f>
        <v>913965</v>
      </c>
      <c r="K28" s="738" t="s">
        <v>505</v>
      </c>
      <c r="L28" s="531">
        <f>SUM(L29:L40)</f>
        <v>1629</v>
      </c>
      <c r="M28" s="738" t="s">
        <v>505</v>
      </c>
      <c r="N28" s="531">
        <f>SUM(N29:N40)</f>
        <v>25124</v>
      </c>
      <c r="O28" s="699" t="s">
        <v>2320</v>
      </c>
    </row>
    <row r="29" spans="1:15" s="252" customFormat="1" ht="12.95" customHeight="1">
      <c r="A29" s="451" t="s">
        <v>843</v>
      </c>
      <c r="B29" s="438">
        <v>66</v>
      </c>
      <c r="C29" s="438">
        <v>3393</v>
      </c>
      <c r="D29" s="442">
        <v>458</v>
      </c>
      <c r="E29" s="438" t="s">
        <v>505</v>
      </c>
      <c r="F29" s="438">
        <v>10340</v>
      </c>
      <c r="G29" s="438">
        <v>75622</v>
      </c>
      <c r="H29" s="438">
        <v>34819</v>
      </c>
      <c r="I29" s="440">
        <v>0</v>
      </c>
      <c r="J29" s="437">
        <f>78482+8861+3518</f>
        <v>90861</v>
      </c>
      <c r="K29" s="442" t="s">
        <v>505</v>
      </c>
      <c r="L29" s="442">
        <v>56</v>
      </c>
      <c r="M29" s="438" t="s">
        <v>505</v>
      </c>
      <c r="N29" s="438">
        <v>2018</v>
      </c>
      <c r="O29" s="452" t="s">
        <v>843</v>
      </c>
    </row>
    <row r="30" spans="1:15" s="252" customFormat="1" ht="12.95" customHeight="1">
      <c r="A30" s="252" t="s">
        <v>844</v>
      </c>
      <c r="B30" s="393">
        <v>69</v>
      </c>
      <c r="C30" s="393">
        <v>3408</v>
      </c>
      <c r="D30" s="39">
        <v>528</v>
      </c>
      <c r="E30" s="393" t="s">
        <v>505</v>
      </c>
      <c r="F30" s="393">
        <v>11430</v>
      </c>
      <c r="G30" s="393">
        <v>76230</v>
      </c>
      <c r="H30" s="393">
        <v>35752</v>
      </c>
      <c r="I30" s="586">
        <v>0</v>
      </c>
      <c r="J30" s="79">
        <f>104840+9572+248</f>
        <v>114660</v>
      </c>
      <c r="K30" s="39" t="s">
        <v>505</v>
      </c>
      <c r="L30" s="39">
        <v>34</v>
      </c>
      <c r="M30" s="393" t="s">
        <v>505</v>
      </c>
      <c r="N30" s="393">
        <v>2047</v>
      </c>
      <c r="O30" s="316" t="s">
        <v>844</v>
      </c>
    </row>
    <row r="31" spans="1:15" s="252" customFormat="1" ht="12.95" customHeight="1">
      <c r="A31" s="451" t="s">
        <v>838</v>
      </c>
      <c r="B31" s="438">
        <v>79</v>
      </c>
      <c r="C31" s="438">
        <v>3210</v>
      </c>
      <c r="D31" s="442">
        <v>448</v>
      </c>
      <c r="E31" s="438" t="s">
        <v>505</v>
      </c>
      <c r="F31" s="438">
        <v>12410</v>
      </c>
      <c r="G31" s="438">
        <v>74594</v>
      </c>
      <c r="H31" s="438">
        <v>39204</v>
      </c>
      <c r="I31" s="440">
        <v>0</v>
      </c>
      <c r="J31" s="437">
        <f>86931+8637+3917</f>
        <v>99485</v>
      </c>
      <c r="K31" s="442" t="s">
        <v>505</v>
      </c>
      <c r="L31" s="442">
        <v>38</v>
      </c>
      <c r="M31" s="438" t="s">
        <v>505</v>
      </c>
      <c r="N31" s="438">
        <v>2035</v>
      </c>
      <c r="O31" s="452" t="s">
        <v>838</v>
      </c>
    </row>
    <row r="32" spans="1:15" s="252" customFormat="1" ht="12.95" customHeight="1">
      <c r="A32" s="252" t="s">
        <v>845</v>
      </c>
      <c r="B32" s="393">
        <v>80</v>
      </c>
      <c r="C32" s="393">
        <v>3507</v>
      </c>
      <c r="D32" s="39">
        <v>340</v>
      </c>
      <c r="E32" s="393" t="s">
        <v>505</v>
      </c>
      <c r="F32" s="393">
        <v>14200</v>
      </c>
      <c r="G32" s="393">
        <v>86510</v>
      </c>
      <c r="H32" s="393">
        <v>42605</v>
      </c>
      <c r="I32" s="586">
        <v>0</v>
      </c>
      <c r="J32" s="79">
        <f>77391+11035+6790</f>
        <v>95216</v>
      </c>
      <c r="K32" s="39" t="s">
        <v>505</v>
      </c>
      <c r="L32" s="39">
        <v>163</v>
      </c>
      <c r="M32" s="393" t="s">
        <v>505</v>
      </c>
      <c r="N32" s="393">
        <v>2062</v>
      </c>
      <c r="O32" s="316" t="s">
        <v>845</v>
      </c>
    </row>
    <row r="33" spans="1:15" s="252" customFormat="1" ht="12.95" customHeight="1">
      <c r="A33" s="451" t="s">
        <v>846</v>
      </c>
      <c r="B33" s="438">
        <v>80</v>
      </c>
      <c r="C33" s="438">
        <v>3526</v>
      </c>
      <c r="D33" s="442">
        <v>467</v>
      </c>
      <c r="E33" s="438" t="s">
        <v>505</v>
      </c>
      <c r="F33" s="438">
        <v>12290</v>
      </c>
      <c r="G33" s="438">
        <v>93426</v>
      </c>
      <c r="H33" s="438">
        <v>39808</v>
      </c>
      <c r="I33" s="440">
        <v>2859</v>
      </c>
      <c r="J33" s="437">
        <f>105557+9403+1010</f>
        <v>115970</v>
      </c>
      <c r="K33" s="442" t="s">
        <v>505</v>
      </c>
      <c r="L33" s="442">
        <v>178</v>
      </c>
      <c r="M33" s="438" t="s">
        <v>505</v>
      </c>
      <c r="N33" s="438">
        <v>2092</v>
      </c>
      <c r="O33" s="452" t="s">
        <v>846</v>
      </c>
    </row>
    <row r="34" spans="1:15" s="252" customFormat="1" ht="12.95" customHeight="1">
      <c r="A34" s="252" t="s">
        <v>839</v>
      </c>
      <c r="B34" s="393">
        <v>81</v>
      </c>
      <c r="C34" s="393">
        <v>3681</v>
      </c>
      <c r="D34" s="39" t="s">
        <v>505</v>
      </c>
      <c r="E34" s="393" t="s">
        <v>505</v>
      </c>
      <c r="F34" s="393">
        <v>11860</v>
      </c>
      <c r="G34" s="393">
        <v>84730</v>
      </c>
      <c r="H34" s="393">
        <v>33130</v>
      </c>
      <c r="I34" s="586">
        <v>18602</v>
      </c>
      <c r="J34" s="79">
        <f>102251+7454+3610</f>
        <v>113315</v>
      </c>
      <c r="K34" s="39" t="s">
        <v>505</v>
      </c>
      <c r="L34" s="39">
        <v>178</v>
      </c>
      <c r="M34" s="393" t="s">
        <v>505</v>
      </c>
      <c r="N34" s="393">
        <v>2122</v>
      </c>
      <c r="O34" s="316" t="s">
        <v>839</v>
      </c>
    </row>
    <row r="35" spans="1:15" s="252" customFormat="1" ht="12.95" customHeight="1">
      <c r="A35" s="451" t="s">
        <v>847</v>
      </c>
      <c r="B35" s="438">
        <v>82</v>
      </c>
      <c r="C35" s="438">
        <v>3577</v>
      </c>
      <c r="D35" s="442">
        <v>93</v>
      </c>
      <c r="E35" s="438" t="s">
        <v>505</v>
      </c>
      <c r="F35" s="438">
        <v>15720</v>
      </c>
      <c r="G35" s="438">
        <v>83102</v>
      </c>
      <c r="H35" s="438">
        <v>41948</v>
      </c>
      <c r="I35" s="440">
        <v>29782.65</v>
      </c>
      <c r="J35" s="437">
        <f>82201+5775+11260</f>
        <v>99236</v>
      </c>
      <c r="K35" s="442" t="s">
        <v>505</v>
      </c>
      <c r="L35" s="442">
        <v>178</v>
      </c>
      <c r="M35" s="438" t="s">
        <v>505</v>
      </c>
      <c r="N35" s="438">
        <v>2160</v>
      </c>
      <c r="O35" s="452" t="s">
        <v>847</v>
      </c>
    </row>
    <row r="36" spans="1:15" s="252" customFormat="1" ht="12.95" customHeight="1">
      <c r="A36" s="252" t="s">
        <v>848</v>
      </c>
      <c r="B36" s="393">
        <v>78</v>
      </c>
      <c r="C36" s="393">
        <v>4059</v>
      </c>
      <c r="D36" s="39">
        <v>21</v>
      </c>
      <c r="E36" s="393" t="s">
        <v>505</v>
      </c>
      <c r="F36" s="393">
        <v>11240</v>
      </c>
      <c r="G36" s="393">
        <v>79675</v>
      </c>
      <c r="H36" s="393">
        <v>35614</v>
      </c>
      <c r="I36" s="586">
        <v>15575.6</v>
      </c>
      <c r="J36" s="79">
        <f>29087+8259+10479</f>
        <v>47825</v>
      </c>
      <c r="K36" s="39" t="s">
        <v>505</v>
      </c>
      <c r="L36" s="39">
        <v>161</v>
      </c>
      <c r="M36" s="393" t="s">
        <v>505</v>
      </c>
      <c r="N36" s="393">
        <v>2112</v>
      </c>
      <c r="O36" s="316" t="s">
        <v>848</v>
      </c>
    </row>
    <row r="37" spans="1:15" s="252" customFormat="1" ht="12.95" customHeight="1">
      <c r="A37" s="451" t="s">
        <v>840</v>
      </c>
      <c r="B37" s="438">
        <v>80</v>
      </c>
      <c r="C37" s="438">
        <v>3601</v>
      </c>
      <c r="D37" s="442">
        <v>333</v>
      </c>
      <c r="E37" s="438" t="s">
        <v>505</v>
      </c>
      <c r="F37" s="438">
        <v>15210</v>
      </c>
      <c r="G37" s="438">
        <v>82576</v>
      </c>
      <c r="H37" s="438">
        <v>30679</v>
      </c>
      <c r="I37" s="440">
        <v>1783.25</v>
      </c>
      <c r="J37" s="437">
        <f>56362+11188+9289</f>
        <v>76839</v>
      </c>
      <c r="K37" s="442" t="s">
        <v>505</v>
      </c>
      <c r="L37" s="442">
        <v>170</v>
      </c>
      <c r="M37" s="438" t="s">
        <v>505</v>
      </c>
      <c r="N37" s="438">
        <v>2416</v>
      </c>
      <c r="O37" s="452" t="s">
        <v>840</v>
      </c>
    </row>
    <row r="38" spans="1:15" s="252" customFormat="1" ht="12.95" customHeight="1">
      <c r="A38" s="252" t="s">
        <v>849</v>
      </c>
      <c r="B38" s="393">
        <v>81</v>
      </c>
      <c r="C38" s="393">
        <v>3693</v>
      </c>
      <c r="D38" s="39">
        <v>323</v>
      </c>
      <c r="E38" s="393" t="s">
        <v>505</v>
      </c>
      <c r="F38" s="393">
        <v>14200</v>
      </c>
      <c r="G38" s="393">
        <v>82780</v>
      </c>
      <c r="H38" s="393">
        <v>31659</v>
      </c>
      <c r="I38" s="586">
        <v>0</v>
      </c>
      <c r="J38" s="79">
        <f>36838+9303</f>
        <v>46141</v>
      </c>
      <c r="K38" s="39" t="s">
        <v>505</v>
      </c>
      <c r="L38" s="39">
        <v>172</v>
      </c>
      <c r="M38" s="393" t="s">
        <v>505</v>
      </c>
      <c r="N38" s="393">
        <v>2480</v>
      </c>
      <c r="O38" s="316" t="s">
        <v>849</v>
      </c>
    </row>
    <row r="39" spans="1:15" s="252" customFormat="1" ht="12.95" customHeight="1">
      <c r="A39" s="461" t="s">
        <v>850</v>
      </c>
      <c r="B39" s="438">
        <v>78</v>
      </c>
      <c r="C39" s="438">
        <v>3128</v>
      </c>
      <c r="D39" s="442">
        <v>31</v>
      </c>
      <c r="E39" s="438" t="s">
        <v>505</v>
      </c>
      <c r="F39" s="438">
        <v>14500</v>
      </c>
      <c r="G39" s="438">
        <v>112134</v>
      </c>
      <c r="H39" s="438">
        <v>22716</v>
      </c>
      <c r="I39" s="440">
        <v>0</v>
      </c>
      <c r="J39" s="437">
        <v>9282</v>
      </c>
      <c r="K39" s="442" t="s">
        <v>505</v>
      </c>
      <c r="L39" s="442">
        <v>169</v>
      </c>
      <c r="M39" s="438" t="s">
        <v>505</v>
      </c>
      <c r="N39" s="438">
        <v>2461</v>
      </c>
      <c r="O39" s="452" t="s">
        <v>850</v>
      </c>
    </row>
    <row r="40" spans="1:15" s="252" customFormat="1" ht="12.95" customHeight="1">
      <c r="A40" s="213" t="s">
        <v>841</v>
      </c>
      <c r="B40" s="393">
        <v>78</v>
      </c>
      <c r="C40" s="393">
        <v>3664</v>
      </c>
      <c r="D40" s="39">
        <v>140</v>
      </c>
      <c r="E40" s="393" t="s">
        <v>505</v>
      </c>
      <c r="F40" s="393">
        <v>13200</v>
      </c>
      <c r="G40" s="393">
        <v>69979</v>
      </c>
      <c r="H40" s="393">
        <v>20582</v>
      </c>
      <c r="I40" s="586">
        <v>0</v>
      </c>
      <c r="J40" s="79">
        <f>1590+3545</f>
        <v>5135</v>
      </c>
      <c r="K40" s="39" t="s">
        <v>505</v>
      </c>
      <c r="L40" s="39">
        <v>132</v>
      </c>
      <c r="M40" s="393" t="s">
        <v>505</v>
      </c>
      <c r="N40" s="393">
        <v>1119</v>
      </c>
      <c r="O40" s="316" t="s">
        <v>841</v>
      </c>
    </row>
    <row r="41" spans="1:15" s="252" customFormat="1" ht="12.95" customHeight="1">
      <c r="A41" s="453" t="s">
        <v>2585</v>
      </c>
      <c r="B41" s="438"/>
      <c r="C41" s="438"/>
      <c r="D41" s="442"/>
      <c r="E41" s="438"/>
      <c r="F41" s="438"/>
      <c r="G41" s="438"/>
      <c r="H41" s="438"/>
      <c r="I41" s="440"/>
      <c r="J41" s="437"/>
      <c r="K41" s="442"/>
      <c r="L41" s="442"/>
      <c r="M41" s="438"/>
      <c r="N41" s="438"/>
      <c r="O41" s="454" t="s">
        <v>2585</v>
      </c>
    </row>
    <row r="42" spans="1:15" s="252" customFormat="1" ht="12.95" customHeight="1">
      <c r="A42" s="252" t="s">
        <v>843</v>
      </c>
      <c r="B42" s="393">
        <v>78</v>
      </c>
      <c r="C42" s="393">
        <v>3459</v>
      </c>
      <c r="D42" s="39">
        <v>352</v>
      </c>
      <c r="E42" s="393" t="s">
        <v>505</v>
      </c>
      <c r="F42" s="393">
        <v>10350</v>
      </c>
      <c r="G42" s="393">
        <v>72947</v>
      </c>
      <c r="H42" s="393">
        <v>24031</v>
      </c>
      <c r="I42" s="586">
        <v>0</v>
      </c>
      <c r="J42" s="79">
        <f>12705+7184+7506</f>
        <v>27395</v>
      </c>
      <c r="K42" s="39" t="s">
        <v>505</v>
      </c>
      <c r="L42" s="39">
        <v>115</v>
      </c>
      <c r="M42" s="393" t="s">
        <v>505</v>
      </c>
      <c r="N42" s="393">
        <v>2653</v>
      </c>
      <c r="O42" s="316" t="s">
        <v>843</v>
      </c>
    </row>
    <row r="43" spans="1:15" s="252" customFormat="1" ht="12.95" customHeight="1" thickBot="1">
      <c r="A43" s="519" t="s">
        <v>844</v>
      </c>
      <c r="B43" s="1668">
        <v>78</v>
      </c>
      <c r="C43" s="1668">
        <v>3531</v>
      </c>
      <c r="D43" s="520">
        <v>530</v>
      </c>
      <c r="E43" s="1668" t="s">
        <v>505</v>
      </c>
      <c r="F43" s="1668">
        <v>11440</v>
      </c>
      <c r="G43" s="1668">
        <v>74491</v>
      </c>
      <c r="H43" s="1668">
        <v>25880</v>
      </c>
      <c r="I43" s="1642" t="s">
        <v>505</v>
      </c>
      <c r="J43" s="1552">
        <f>12249+9570+6824</f>
        <v>28643</v>
      </c>
      <c r="K43" s="520" t="s">
        <v>505</v>
      </c>
      <c r="L43" s="520">
        <v>129</v>
      </c>
      <c r="M43" s="1668" t="s">
        <v>505</v>
      </c>
      <c r="N43" s="1668">
        <v>2682</v>
      </c>
      <c r="O43" s="817" t="s">
        <v>844</v>
      </c>
    </row>
    <row r="44" spans="1:15" s="425" customFormat="1" ht="9" customHeight="1">
      <c r="A44" s="700" t="s">
        <v>1087</v>
      </c>
      <c r="B44" s="2004" t="s">
        <v>2397</v>
      </c>
      <c r="C44" s="2004"/>
      <c r="D44" s="2004"/>
      <c r="E44" s="250"/>
      <c r="F44" s="250"/>
      <c r="G44" s="250"/>
      <c r="H44" s="701" t="s">
        <v>300</v>
      </c>
      <c r="I44" s="2003" t="s">
        <v>2421</v>
      </c>
      <c r="J44" s="2003"/>
      <c r="K44" s="2003"/>
      <c r="L44" s="2003"/>
      <c r="M44" s="2003"/>
      <c r="N44" s="2003"/>
    </row>
    <row r="45" spans="1:15" s="425" customFormat="1" ht="9" customHeight="1">
      <c r="A45" s="250" t="s">
        <v>936</v>
      </c>
      <c r="B45" s="2005" t="s">
        <v>2398</v>
      </c>
      <c r="C45" s="2005"/>
      <c r="D45" s="2005"/>
      <c r="E45" s="2005"/>
      <c r="F45" s="702"/>
      <c r="G45" s="702"/>
      <c r="H45" s="702"/>
      <c r="I45" s="2004" t="s">
        <v>2422</v>
      </c>
      <c r="J45" s="2004"/>
      <c r="K45" s="2004"/>
      <c r="L45" s="2004"/>
      <c r="M45" s="2004"/>
      <c r="N45" s="2004"/>
    </row>
    <row r="46" spans="1:15" s="425" customFormat="1" ht="9" customHeight="1">
      <c r="A46" s="702" t="s">
        <v>301</v>
      </c>
      <c r="B46" s="2005" t="s">
        <v>2399</v>
      </c>
      <c r="C46" s="2005"/>
      <c r="D46" s="2005"/>
      <c r="E46" s="2005"/>
      <c r="F46" s="702"/>
      <c r="G46" s="702"/>
      <c r="H46" s="702"/>
      <c r="I46" s="2005" t="s">
        <v>2423</v>
      </c>
      <c r="J46" s="2005"/>
      <c r="K46" s="2005"/>
      <c r="L46" s="2005"/>
      <c r="M46" s="2005"/>
      <c r="N46" s="2005"/>
    </row>
    <row r="47" spans="1:15" s="425" customFormat="1" ht="9" customHeight="1">
      <c r="A47" s="702" t="s">
        <v>302</v>
      </c>
      <c r="B47" s="2005" t="s">
        <v>2400</v>
      </c>
      <c r="C47" s="2005"/>
      <c r="D47" s="2005"/>
      <c r="E47" s="2005"/>
      <c r="F47" s="2005"/>
      <c r="G47" s="2005"/>
      <c r="H47" s="702"/>
      <c r="I47" s="2005" t="s">
        <v>2424</v>
      </c>
      <c r="J47" s="2005"/>
      <c r="K47" s="2005"/>
      <c r="L47" s="2005"/>
      <c r="M47" s="2005"/>
      <c r="N47" s="2005"/>
    </row>
    <row r="48" spans="1:15" s="425" customFormat="1" ht="9" customHeight="1">
      <c r="A48" s="702" t="s">
        <v>303</v>
      </c>
      <c r="B48" s="2005" t="s">
        <v>2401</v>
      </c>
      <c r="C48" s="2005"/>
      <c r="D48" s="702"/>
      <c r="E48" s="702"/>
      <c r="F48" s="702"/>
      <c r="G48" s="702"/>
      <c r="H48" s="702"/>
      <c r="I48" s="18" t="s">
        <v>295</v>
      </c>
      <c r="J48" s="18"/>
    </row>
  </sheetData>
  <mergeCells count="14">
    <mergeCell ref="B48:C48"/>
    <mergeCell ref="B47:G47"/>
    <mergeCell ref="B46:E46"/>
    <mergeCell ref="B45:E45"/>
    <mergeCell ref="B44:D44"/>
    <mergeCell ref="A3:A4"/>
    <mergeCell ref="C1:G1"/>
    <mergeCell ref="I44:N44"/>
    <mergeCell ref="I45:N45"/>
    <mergeCell ref="I47:N47"/>
    <mergeCell ref="I46:N46"/>
    <mergeCell ref="H2:J2"/>
    <mergeCell ref="N1:O1"/>
    <mergeCell ref="O3:O4"/>
  </mergeCells>
  <phoneticPr fontId="4" type="noConversion"/>
  <pageMargins left="0.62992125984252001" right="0.511811023622047" top="0.511811023622047" bottom="0.511811023622047" header="0" footer="0.39370078740157499"/>
  <pageSetup paperSize="141" firstPageNumber="40" orientation="portrait" useFirstPageNumber="1" r:id="rId1"/>
  <headerFooter alignWithMargins="0">
    <oddFooter>&amp;C&amp;"Times New Roman,Regular"&amp;8&amp;P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8"/>
  <dimension ref="A1:Q53"/>
  <sheetViews>
    <sheetView zoomScale="150" zoomScaleNormal="150" workbookViewId="0">
      <pane xSplit="1" ySplit="6" topLeftCell="B37" activePane="bottomRight" state="frozen"/>
      <selection pane="topRight" activeCell="B1" sqref="B1"/>
      <selection pane="bottomLeft" activeCell="A7" sqref="A7"/>
      <selection pane="bottomRight" activeCell="D42" sqref="D42"/>
    </sheetView>
  </sheetViews>
  <sheetFormatPr defaultColWidth="9.140625" defaultRowHeight="11.25"/>
  <cols>
    <col min="1" max="1" width="10.140625" style="23" customWidth="1"/>
    <col min="2" max="2" width="7.140625" style="10" customWidth="1"/>
    <col min="3" max="3" width="6.7109375" style="10" customWidth="1"/>
    <col min="4" max="4" width="7.42578125" style="10" customWidth="1"/>
    <col min="5" max="5" width="7.7109375" style="10" customWidth="1"/>
    <col min="6" max="6" width="8.140625" style="10" customWidth="1"/>
    <col min="7" max="7" width="8.42578125" style="10" customWidth="1"/>
    <col min="8" max="8" width="7.7109375" style="10" customWidth="1"/>
    <col min="9" max="9" width="7.28515625" style="10" customWidth="1"/>
    <col min="10" max="10" width="8.28515625" style="10" customWidth="1"/>
    <col min="11" max="11" width="9.7109375" style="10" customWidth="1"/>
    <col min="12" max="12" width="9.85546875" style="10" customWidth="1"/>
    <col min="13" max="13" width="10.7109375" style="10" customWidth="1"/>
    <col min="14" max="14" width="10.85546875" style="10" customWidth="1"/>
    <col min="15" max="15" width="10.42578125" style="10" customWidth="1"/>
    <col min="16" max="16" width="13.85546875" style="10" customWidth="1"/>
    <col min="17" max="17" width="10.85546875" style="10" customWidth="1"/>
    <col min="18" max="16384" width="9.140625" style="10"/>
  </cols>
  <sheetData>
    <row r="1" spans="1:17" s="32" customFormat="1" ht="15.75" customHeight="1">
      <c r="B1" s="72"/>
      <c r="C1" s="72"/>
      <c r="D1" s="1994" t="s">
        <v>2222</v>
      </c>
      <c r="E1" s="1994"/>
      <c r="F1" s="1994"/>
      <c r="G1" s="1994"/>
      <c r="H1" s="1994"/>
      <c r="I1" s="1994"/>
      <c r="J1" s="1994"/>
      <c r="K1" s="2017" t="s">
        <v>550</v>
      </c>
      <c r="L1" s="2017"/>
      <c r="M1" s="2017"/>
      <c r="N1" s="2017"/>
      <c r="O1" s="2017"/>
      <c r="P1" s="1994" t="s">
        <v>1848</v>
      </c>
      <c r="Q1" s="1994"/>
    </row>
    <row r="2" spans="1:17" s="29" customFormat="1" ht="11.25" customHeight="1">
      <c r="B2" s="15"/>
      <c r="F2" s="15"/>
      <c r="G2" s="2013"/>
      <c r="H2" s="2013"/>
      <c r="I2" s="2013"/>
      <c r="J2" s="2013"/>
      <c r="K2" s="1060"/>
      <c r="L2" s="15"/>
      <c r="M2" s="15"/>
      <c r="N2" s="15"/>
      <c r="O2" s="15"/>
      <c r="P2" s="15"/>
      <c r="Q2" s="15"/>
    </row>
    <row r="3" spans="1:17" s="111" customFormat="1" ht="12" customHeight="1">
      <c r="A3" s="1979" t="s">
        <v>764</v>
      </c>
      <c r="B3" s="1181" t="s">
        <v>784</v>
      </c>
      <c r="C3" s="2010" t="s">
        <v>786</v>
      </c>
      <c r="D3" s="2011"/>
      <c r="E3" s="1181" t="s">
        <v>784</v>
      </c>
      <c r="F3" s="2010" t="s">
        <v>122</v>
      </c>
      <c r="G3" s="2011"/>
      <c r="H3" s="1181" t="s">
        <v>784</v>
      </c>
      <c r="I3" s="2010" t="s">
        <v>123</v>
      </c>
      <c r="J3" s="2011"/>
      <c r="K3" s="2010" t="s">
        <v>244</v>
      </c>
      <c r="L3" s="2014"/>
      <c r="M3" s="2014"/>
      <c r="N3" s="2014"/>
      <c r="O3" s="2014"/>
      <c r="P3" s="2014"/>
      <c r="Q3" s="2011"/>
    </row>
    <row r="4" spans="1:17" s="111" customFormat="1" ht="12.75" customHeight="1">
      <c r="A4" s="1972"/>
      <c r="B4" s="2024" t="s">
        <v>785</v>
      </c>
      <c r="C4" s="2012" t="s">
        <v>124</v>
      </c>
      <c r="D4" s="2008" t="s">
        <v>125</v>
      </c>
      <c r="E4" s="2012" t="s">
        <v>781</v>
      </c>
      <c r="F4" s="2008" t="s">
        <v>124</v>
      </c>
      <c r="G4" s="2012" t="s">
        <v>125</v>
      </c>
      <c r="H4" s="2008" t="s">
        <v>462</v>
      </c>
      <c r="I4" s="2012" t="s">
        <v>140</v>
      </c>
      <c r="J4" s="2012" t="s">
        <v>125</v>
      </c>
      <c r="K4" s="1979" t="s">
        <v>35</v>
      </c>
      <c r="L4" s="2018" t="s">
        <v>36</v>
      </c>
      <c r="M4" s="2015" t="s">
        <v>1423</v>
      </c>
      <c r="N4" s="2015" t="s">
        <v>2223</v>
      </c>
      <c r="O4" s="2015" t="s">
        <v>463</v>
      </c>
      <c r="P4" s="2016" t="s">
        <v>464</v>
      </c>
      <c r="Q4" s="2015" t="s">
        <v>1424</v>
      </c>
    </row>
    <row r="5" spans="1:17" s="111" customFormat="1" ht="24.75" customHeight="1">
      <c r="A5" s="1972"/>
      <c r="B5" s="2025"/>
      <c r="C5" s="2012"/>
      <c r="D5" s="2009"/>
      <c r="E5" s="2012"/>
      <c r="F5" s="2009"/>
      <c r="G5" s="2012"/>
      <c r="H5" s="2009"/>
      <c r="I5" s="2012"/>
      <c r="J5" s="2012"/>
      <c r="K5" s="1973"/>
      <c r="L5" s="2018"/>
      <c r="M5" s="2015"/>
      <c r="N5" s="2015"/>
      <c r="O5" s="2015"/>
      <c r="P5" s="2016"/>
      <c r="Q5" s="2015"/>
    </row>
    <row r="6" spans="1:17" ht="11.1" customHeight="1">
      <c r="A6" s="119" t="s">
        <v>852</v>
      </c>
      <c r="B6" s="1182">
        <v>100</v>
      </c>
      <c r="C6" s="2022" t="s">
        <v>192</v>
      </c>
      <c r="D6" s="2023"/>
      <c r="E6" s="1182">
        <v>58.84</v>
      </c>
      <c r="F6" s="2020" t="s">
        <v>192</v>
      </c>
      <c r="G6" s="2020"/>
      <c r="H6" s="1182">
        <v>41.16</v>
      </c>
      <c r="I6" s="2020" t="s">
        <v>192</v>
      </c>
      <c r="J6" s="2020"/>
      <c r="K6" s="1182">
        <v>6.85</v>
      </c>
      <c r="L6" s="1182">
        <v>16.87</v>
      </c>
      <c r="M6" s="1182">
        <v>2.67</v>
      </c>
      <c r="N6" s="1182">
        <v>2.84</v>
      </c>
      <c r="O6" s="1182">
        <v>4.17</v>
      </c>
      <c r="P6" s="1182">
        <v>4.13</v>
      </c>
      <c r="Q6" s="1182">
        <v>3.63</v>
      </c>
    </row>
    <row r="7" spans="1:17" s="414" customFormat="1" ht="13.5" customHeight="1">
      <c r="A7" s="362" t="s">
        <v>1361</v>
      </c>
      <c r="B7" s="20">
        <v>181.72583333333333</v>
      </c>
      <c r="C7" s="40">
        <v>8.0500000000000007</v>
      </c>
      <c r="D7" s="40">
        <v>6.78</v>
      </c>
      <c r="E7" s="20">
        <v>193.23666666666665</v>
      </c>
      <c r="F7" s="40">
        <v>8.26</v>
      </c>
      <c r="G7" s="40">
        <v>5.22</v>
      </c>
      <c r="H7" s="20">
        <v>166.96916666666667</v>
      </c>
      <c r="I7" s="20">
        <v>7.75</v>
      </c>
      <c r="J7" s="20">
        <v>9.17</v>
      </c>
      <c r="K7" s="20">
        <v>179.65833333333333</v>
      </c>
      <c r="L7" s="20">
        <v>155.61333333333334</v>
      </c>
      <c r="M7" s="20">
        <v>195.33166666666671</v>
      </c>
      <c r="N7" s="20">
        <v>159.6575</v>
      </c>
      <c r="O7" s="20">
        <v>159.33833333333334</v>
      </c>
      <c r="P7" s="20">
        <v>157.23416666666671</v>
      </c>
      <c r="Q7" s="20">
        <v>182.53750000000002</v>
      </c>
    </row>
    <row r="8" spans="1:17" s="116" customFormat="1" ht="13.5" customHeight="1">
      <c r="A8" s="451" t="s">
        <v>1693</v>
      </c>
      <c r="B8" s="445">
        <v>195.08250000000001</v>
      </c>
      <c r="C8" s="445">
        <v>6.97</v>
      </c>
      <c r="D8" s="445">
        <v>7.35</v>
      </c>
      <c r="E8" s="445">
        <v>209.79083333333335</v>
      </c>
      <c r="F8" s="445">
        <v>8</v>
      </c>
      <c r="G8" s="442">
        <v>8.57</v>
      </c>
      <c r="H8" s="445">
        <v>176.22416666666666</v>
      </c>
      <c r="I8" s="445">
        <v>5.45</v>
      </c>
      <c r="J8" s="445">
        <v>5.54</v>
      </c>
      <c r="K8" s="445">
        <v>194.76499999999999</v>
      </c>
      <c r="L8" s="445">
        <v>163.47083333333333</v>
      </c>
      <c r="M8" s="445">
        <v>206.13583333333338</v>
      </c>
      <c r="N8" s="445">
        <v>164.05583333333337</v>
      </c>
      <c r="O8" s="445">
        <v>167.20250000000001</v>
      </c>
      <c r="P8" s="445">
        <v>164.38166666666666</v>
      </c>
      <c r="Q8" s="445">
        <v>193.75416666666663</v>
      </c>
    </row>
    <row r="9" spans="1:17" s="414" customFormat="1" ht="13.5" customHeight="1">
      <c r="A9" s="391" t="s">
        <v>1795</v>
      </c>
      <c r="B9" s="40">
        <v>207.57750000000001</v>
      </c>
      <c r="C9" s="40">
        <v>6.25</v>
      </c>
      <c r="D9" s="40">
        <v>6.4</v>
      </c>
      <c r="E9" s="40">
        <v>223.7883333333333</v>
      </c>
      <c r="F9" s="40">
        <v>6.32</v>
      </c>
      <c r="G9" s="39">
        <v>6.67</v>
      </c>
      <c r="H9" s="40">
        <v>186.785</v>
      </c>
      <c r="I9" s="40">
        <v>6.15</v>
      </c>
      <c r="J9" s="40">
        <v>5.99</v>
      </c>
      <c r="K9" s="40">
        <v>209.44583333333333</v>
      </c>
      <c r="L9" s="40">
        <v>171.79583333333335</v>
      </c>
      <c r="M9" s="40">
        <v>214.44333333333336</v>
      </c>
      <c r="N9" s="40">
        <v>181.09000000000003</v>
      </c>
      <c r="O9" s="40">
        <v>181.77833333333331</v>
      </c>
      <c r="P9" s="40">
        <v>168.02416666666667</v>
      </c>
      <c r="Q9" s="40">
        <v>204.20583333333332</v>
      </c>
    </row>
    <row r="10" spans="1:17" s="116" customFormat="1" ht="13.5" customHeight="1">
      <c r="A10" s="556" t="s">
        <v>1996</v>
      </c>
      <c r="B10" s="450">
        <v>219.85833333333335</v>
      </c>
      <c r="C10" s="450">
        <v>5.53</v>
      </c>
      <c r="D10" s="450">
        <v>5.92</v>
      </c>
      <c r="E10" s="450">
        <v>234.77166666666668</v>
      </c>
      <c r="F10" s="450">
        <v>4.2300000000000004</v>
      </c>
      <c r="G10" s="450">
        <v>4.91</v>
      </c>
      <c r="H10" s="450">
        <v>200.73749999999998</v>
      </c>
      <c r="I10" s="450">
        <v>7.5</v>
      </c>
      <c r="J10" s="450">
        <v>7.47</v>
      </c>
      <c r="K10" s="450">
        <v>233.52</v>
      </c>
      <c r="L10" s="450">
        <v>182.75</v>
      </c>
      <c r="M10" s="450">
        <v>227.5325</v>
      </c>
      <c r="N10" s="450">
        <v>200.02916666666667</v>
      </c>
      <c r="O10" s="450">
        <v>201.59583333333333</v>
      </c>
      <c r="P10" s="450">
        <v>171.00583333333336</v>
      </c>
      <c r="Q10" s="450">
        <v>211.61166666666665</v>
      </c>
    </row>
    <row r="11" spans="1:17" s="414" customFormat="1" ht="13.5" customHeight="1">
      <c r="A11" s="558" t="s">
        <v>2116</v>
      </c>
      <c r="B11" s="214">
        <f>AVERAGE(B12:B23)</f>
        <v>231.81916666666666</v>
      </c>
      <c r="C11" s="214">
        <f>C23</f>
        <v>5.94</v>
      </c>
      <c r="D11" s="214">
        <f>D23</f>
        <v>5.44</v>
      </c>
      <c r="E11" s="214">
        <f>AVERAGE(E12:E23)</f>
        <v>248.89999999999998</v>
      </c>
      <c r="F11" s="214">
        <f>F23</f>
        <v>7.51</v>
      </c>
      <c r="G11" s="214">
        <f>G23</f>
        <v>6.02</v>
      </c>
      <c r="H11" s="214">
        <f>AVERAGE(H12:H23)</f>
        <v>209.92083333333332</v>
      </c>
      <c r="I11" s="214">
        <f>I23</f>
        <v>3.67</v>
      </c>
      <c r="J11" s="214">
        <f>J23</f>
        <v>4.57</v>
      </c>
      <c r="K11" s="214">
        <f t="shared" ref="K11:Q11" si="0">AVERAGE(K12:K23)</f>
        <v>243.56333333333336</v>
      </c>
      <c r="L11" s="214">
        <f t="shared" si="0"/>
        <v>194.00750000000002</v>
      </c>
      <c r="M11" s="214">
        <f t="shared" si="0"/>
        <v>235.8475</v>
      </c>
      <c r="N11" s="214">
        <f t="shared" si="0"/>
        <v>206.69833333333335</v>
      </c>
      <c r="O11" s="214">
        <f t="shared" si="0"/>
        <v>210.77666666666664</v>
      </c>
      <c r="P11" s="214">
        <f t="shared" si="0"/>
        <v>177.55500000000004</v>
      </c>
      <c r="Q11" s="214">
        <f t="shared" si="0"/>
        <v>217.51000000000002</v>
      </c>
    </row>
    <row r="12" spans="1:17" s="414" customFormat="1" ht="13.5" customHeight="1">
      <c r="A12" s="498" t="s">
        <v>2117</v>
      </c>
      <c r="B12" s="442">
        <v>224.13</v>
      </c>
      <c r="C12" s="445">
        <v>5.4</v>
      </c>
      <c r="D12" s="445">
        <v>5.84</v>
      </c>
      <c r="E12" s="442">
        <v>237.69</v>
      </c>
      <c r="F12" s="442">
        <v>4.3499999999999996</v>
      </c>
      <c r="G12" s="442">
        <v>4.7699999999999996</v>
      </c>
      <c r="H12" s="442">
        <v>206.75</v>
      </c>
      <c r="I12" s="442">
        <v>6.98</v>
      </c>
      <c r="J12" s="445">
        <v>7.48</v>
      </c>
      <c r="K12" s="442">
        <v>241.4</v>
      </c>
      <c r="L12" s="445">
        <v>190.22</v>
      </c>
      <c r="M12" s="442">
        <v>232.95</v>
      </c>
      <c r="N12" s="445">
        <v>205.91</v>
      </c>
      <c r="O12" s="445">
        <v>207.41</v>
      </c>
      <c r="P12" s="442">
        <v>172.56</v>
      </c>
      <c r="Q12" s="445">
        <v>214.73</v>
      </c>
    </row>
    <row r="13" spans="1:17" s="414" customFormat="1" ht="13.5" customHeight="1">
      <c r="A13" s="391" t="s">
        <v>844</v>
      </c>
      <c r="B13" s="39">
        <v>226.57</v>
      </c>
      <c r="C13" s="40">
        <v>5.37</v>
      </c>
      <c r="D13" s="40">
        <v>5.77</v>
      </c>
      <c r="E13" s="39">
        <v>241.89</v>
      </c>
      <c r="F13" s="40">
        <v>4.3</v>
      </c>
      <c r="G13" s="39">
        <v>4.62</v>
      </c>
      <c r="H13" s="39">
        <v>206.93</v>
      </c>
      <c r="I13" s="40">
        <v>7</v>
      </c>
      <c r="J13" s="40">
        <v>7.53</v>
      </c>
      <c r="K13" s="39">
        <v>241.59</v>
      </c>
      <c r="L13" s="40">
        <v>190.26</v>
      </c>
      <c r="M13" s="39">
        <v>233.62</v>
      </c>
      <c r="N13" s="40">
        <v>206.08</v>
      </c>
      <c r="O13" s="40">
        <v>207.56</v>
      </c>
      <c r="P13" s="39">
        <v>172.68</v>
      </c>
      <c r="Q13" s="40">
        <v>214.95</v>
      </c>
    </row>
    <row r="14" spans="1:17" s="414" customFormat="1" ht="13.5" customHeight="1">
      <c r="A14" s="498" t="s">
        <v>838</v>
      </c>
      <c r="B14" s="442">
        <v>230.27</v>
      </c>
      <c r="C14" s="445">
        <v>5.53</v>
      </c>
      <c r="D14" s="445">
        <v>5.71</v>
      </c>
      <c r="E14" s="442">
        <v>247.88</v>
      </c>
      <c r="F14" s="445">
        <v>5.0999999999999996</v>
      </c>
      <c r="G14" s="442">
        <v>4.5599999999999996</v>
      </c>
      <c r="H14" s="442">
        <v>207.69</v>
      </c>
      <c r="I14" s="445">
        <v>6.19</v>
      </c>
      <c r="J14" s="445">
        <v>7.48</v>
      </c>
      <c r="K14" s="442">
        <v>242.85</v>
      </c>
      <c r="L14" s="445">
        <v>190.62</v>
      </c>
      <c r="M14" s="442">
        <v>234.01</v>
      </c>
      <c r="N14" s="445">
        <v>206.32</v>
      </c>
      <c r="O14" s="445">
        <v>209.32</v>
      </c>
      <c r="P14" s="442">
        <v>172.72</v>
      </c>
      <c r="Q14" s="445">
        <v>216.62</v>
      </c>
    </row>
    <row r="15" spans="1:17" s="414" customFormat="1" ht="13.5" customHeight="1">
      <c r="A15" s="391" t="s">
        <v>845</v>
      </c>
      <c r="B15" s="39">
        <v>231.85</v>
      </c>
      <c r="C15" s="40">
        <v>5.57</v>
      </c>
      <c r="D15" s="40">
        <v>5.66</v>
      </c>
      <c r="E15" s="39">
        <v>250.64</v>
      </c>
      <c r="F15" s="40">
        <v>5.56</v>
      </c>
      <c r="G15" s="39">
        <v>4.54</v>
      </c>
      <c r="H15" s="39">
        <v>207.75</v>
      </c>
      <c r="I15" s="40">
        <v>5.58</v>
      </c>
      <c r="J15" s="40">
        <v>7.38</v>
      </c>
      <c r="K15" s="39">
        <v>242.88</v>
      </c>
      <c r="L15" s="40">
        <v>190.65</v>
      </c>
      <c r="M15" s="39">
        <v>234.23</v>
      </c>
      <c r="N15" s="40">
        <v>206.38</v>
      </c>
      <c r="O15" s="40">
        <v>209.42</v>
      </c>
      <c r="P15" s="39">
        <v>172.76</v>
      </c>
      <c r="Q15" s="40">
        <v>216.65</v>
      </c>
    </row>
    <row r="16" spans="1:17" s="414" customFormat="1" ht="13.5" customHeight="1">
      <c r="A16" s="498" t="s">
        <v>846</v>
      </c>
      <c r="B16" s="442">
        <v>231.18</v>
      </c>
      <c r="C16" s="445">
        <v>5.38</v>
      </c>
      <c r="D16" s="445">
        <v>5.6</v>
      </c>
      <c r="E16" s="442">
        <v>249.41</v>
      </c>
      <c r="F16" s="445">
        <v>5.41</v>
      </c>
      <c r="G16" s="442">
        <v>4.5199999999999996</v>
      </c>
      <c r="H16" s="442">
        <v>207.81</v>
      </c>
      <c r="I16" s="445">
        <v>5.33</v>
      </c>
      <c r="J16" s="445">
        <v>7.27</v>
      </c>
      <c r="K16" s="442">
        <v>242.94</v>
      </c>
      <c r="L16" s="445">
        <v>190.68</v>
      </c>
      <c r="M16" s="442">
        <v>234.31</v>
      </c>
      <c r="N16" s="445">
        <v>206.42</v>
      </c>
      <c r="O16" s="445">
        <v>209.51</v>
      </c>
      <c r="P16" s="445">
        <v>172.8</v>
      </c>
      <c r="Q16" s="445">
        <v>216.74</v>
      </c>
    </row>
    <row r="17" spans="1:17" s="414" customFormat="1" ht="13.5" customHeight="1">
      <c r="A17" s="391" t="s">
        <v>839</v>
      </c>
      <c r="B17" s="39">
        <v>231.53</v>
      </c>
      <c r="C17" s="40">
        <v>5.03</v>
      </c>
      <c r="D17" s="40">
        <v>5.51</v>
      </c>
      <c r="E17" s="39">
        <v>249.29</v>
      </c>
      <c r="F17" s="40">
        <v>5.38</v>
      </c>
      <c r="G17" s="40">
        <v>4.51</v>
      </c>
      <c r="H17" s="39">
        <v>208.76</v>
      </c>
      <c r="I17" s="40">
        <v>4.49</v>
      </c>
      <c r="J17" s="40">
        <v>7.05</v>
      </c>
      <c r="K17" s="39">
        <v>243.49</v>
      </c>
      <c r="L17" s="40">
        <v>190.87</v>
      </c>
      <c r="M17" s="39">
        <v>236.54</v>
      </c>
      <c r="N17" s="40">
        <v>206.83</v>
      </c>
      <c r="O17" s="40">
        <v>211.61</v>
      </c>
      <c r="P17" s="39">
        <v>172.91</v>
      </c>
      <c r="Q17" s="40">
        <v>219.53</v>
      </c>
    </row>
    <row r="18" spans="1:17" s="414" customFormat="1" ht="13.5" customHeight="1">
      <c r="A18" s="498" t="s">
        <v>847</v>
      </c>
      <c r="B18" s="442">
        <v>234.34</v>
      </c>
      <c r="C18" s="445">
        <v>5.15</v>
      </c>
      <c r="D18" s="445">
        <v>5.44</v>
      </c>
      <c r="E18" s="442">
        <v>251.86</v>
      </c>
      <c r="F18" s="445">
        <v>6.53</v>
      </c>
      <c r="G18" s="445">
        <v>4.7</v>
      </c>
      <c r="H18" s="442">
        <v>211.88</v>
      </c>
      <c r="I18" s="445">
        <v>3.1</v>
      </c>
      <c r="J18" s="445">
        <v>6.57</v>
      </c>
      <c r="K18" s="442">
        <v>243.72</v>
      </c>
      <c r="L18" s="445">
        <v>196.92</v>
      </c>
      <c r="M18" s="442">
        <v>237.24</v>
      </c>
      <c r="N18" s="445">
        <v>206.9</v>
      </c>
      <c r="O18" s="445">
        <v>212.14</v>
      </c>
      <c r="P18" s="445">
        <v>182.2</v>
      </c>
      <c r="Q18" s="445">
        <v>219.22</v>
      </c>
    </row>
    <row r="19" spans="1:17" s="414" customFormat="1" ht="13.5" customHeight="1">
      <c r="A19" s="391" t="s">
        <v>848</v>
      </c>
      <c r="B19" s="40">
        <v>234.4</v>
      </c>
      <c r="C19" s="40">
        <v>5.31</v>
      </c>
      <c r="D19" s="40">
        <v>5.41</v>
      </c>
      <c r="E19" s="39">
        <v>251.93</v>
      </c>
      <c r="F19" s="40">
        <v>6.84</v>
      </c>
      <c r="G19" s="40">
        <v>4.95</v>
      </c>
      <c r="H19" s="39">
        <v>211.92</v>
      </c>
      <c r="I19" s="40">
        <v>3.07</v>
      </c>
      <c r="J19" s="40">
        <v>6.11</v>
      </c>
      <c r="K19" s="39">
        <v>243.73</v>
      </c>
      <c r="L19" s="40">
        <v>196.93</v>
      </c>
      <c r="M19" s="39">
        <v>237.29</v>
      </c>
      <c r="N19" s="40">
        <v>207</v>
      </c>
      <c r="O19" s="40">
        <v>212.19</v>
      </c>
      <c r="P19" s="40">
        <v>182.29</v>
      </c>
      <c r="Q19" s="40">
        <v>219.25</v>
      </c>
    </row>
    <row r="20" spans="1:17" s="414" customFormat="1" ht="13.5" customHeight="1">
      <c r="A20" s="498" t="s">
        <v>840</v>
      </c>
      <c r="B20" s="445">
        <v>235.29</v>
      </c>
      <c r="C20" s="445">
        <v>5.39</v>
      </c>
      <c r="D20" s="445">
        <v>5.39</v>
      </c>
      <c r="E20" s="442">
        <v>253.32</v>
      </c>
      <c r="F20" s="445">
        <v>6.89</v>
      </c>
      <c r="G20" s="445">
        <v>5.2</v>
      </c>
      <c r="H20" s="442">
        <v>212.18</v>
      </c>
      <c r="I20" s="445">
        <v>3.18</v>
      </c>
      <c r="J20" s="445">
        <v>5.67</v>
      </c>
      <c r="K20" s="442">
        <v>243.87</v>
      </c>
      <c r="L20" s="445">
        <v>197.51</v>
      </c>
      <c r="M20" s="442">
        <v>237.41</v>
      </c>
      <c r="N20" s="445">
        <v>207.03</v>
      </c>
      <c r="O20" s="445">
        <v>212.27</v>
      </c>
      <c r="P20" s="445">
        <v>182.4</v>
      </c>
      <c r="Q20" s="445">
        <v>219.31</v>
      </c>
    </row>
    <row r="21" spans="1:17" s="414" customFormat="1" ht="13.5" customHeight="1">
      <c r="A21" s="391" t="s">
        <v>849</v>
      </c>
      <c r="B21" s="40">
        <v>235.58</v>
      </c>
      <c r="C21" s="40">
        <v>5.47</v>
      </c>
      <c r="D21" s="40">
        <v>5.38</v>
      </c>
      <c r="E21" s="39">
        <v>253.6</v>
      </c>
      <c r="F21" s="40">
        <v>6.94</v>
      </c>
      <c r="G21" s="40">
        <v>5.46</v>
      </c>
      <c r="H21" s="39">
        <v>212.48</v>
      </c>
      <c r="I21" s="40">
        <v>3.3</v>
      </c>
      <c r="J21" s="40">
        <v>5.25</v>
      </c>
      <c r="K21" s="39">
        <v>245.09</v>
      </c>
      <c r="L21" s="40">
        <v>197.55</v>
      </c>
      <c r="M21" s="39">
        <v>237.81</v>
      </c>
      <c r="N21" s="40">
        <v>207.13</v>
      </c>
      <c r="O21" s="40">
        <v>212.51</v>
      </c>
      <c r="P21" s="40">
        <v>182.42</v>
      </c>
      <c r="Q21" s="40">
        <v>219.4</v>
      </c>
    </row>
    <row r="22" spans="1:17" s="414" customFormat="1" ht="13.5" customHeight="1">
      <c r="A22" s="498" t="s">
        <v>850</v>
      </c>
      <c r="B22" s="445">
        <v>232.83</v>
      </c>
      <c r="C22" s="445">
        <v>5.76</v>
      </c>
      <c r="D22" s="445">
        <v>5.41</v>
      </c>
      <c r="E22" s="442">
        <v>248.94</v>
      </c>
      <c r="F22" s="445">
        <v>7.37</v>
      </c>
      <c r="G22" s="445">
        <v>5.75</v>
      </c>
      <c r="H22" s="442">
        <v>212.18</v>
      </c>
      <c r="I22" s="445">
        <v>3.44</v>
      </c>
      <c r="J22" s="445">
        <v>4.8899999999999997</v>
      </c>
      <c r="K22" s="442">
        <v>244.93</v>
      </c>
      <c r="L22" s="445">
        <v>197.61</v>
      </c>
      <c r="M22" s="442">
        <v>237.09</v>
      </c>
      <c r="N22" s="445">
        <v>207.14</v>
      </c>
      <c r="O22" s="445">
        <v>212.58</v>
      </c>
      <c r="P22" s="445">
        <v>182.45</v>
      </c>
      <c r="Q22" s="445">
        <v>216.84</v>
      </c>
    </row>
    <row r="23" spans="1:17" s="414" customFormat="1" ht="13.5" customHeight="1">
      <c r="A23" s="391" t="s">
        <v>841</v>
      </c>
      <c r="B23" s="40">
        <v>233.86</v>
      </c>
      <c r="C23" s="40">
        <v>5.94</v>
      </c>
      <c r="D23" s="40">
        <v>5.44</v>
      </c>
      <c r="E23" s="39">
        <v>250.35</v>
      </c>
      <c r="F23" s="40">
        <v>7.51</v>
      </c>
      <c r="G23" s="40">
        <v>6.02</v>
      </c>
      <c r="H23" s="39">
        <v>212.72</v>
      </c>
      <c r="I23" s="40">
        <v>3.67</v>
      </c>
      <c r="J23" s="40">
        <v>4.57</v>
      </c>
      <c r="K23" s="39">
        <v>246.27</v>
      </c>
      <c r="L23" s="40">
        <v>198.27</v>
      </c>
      <c r="M23" s="39">
        <v>237.67</v>
      </c>
      <c r="N23" s="40">
        <v>207.24</v>
      </c>
      <c r="O23" s="40">
        <v>212.8</v>
      </c>
      <c r="P23" s="40">
        <v>182.47</v>
      </c>
      <c r="Q23" s="40">
        <v>216.88</v>
      </c>
    </row>
    <row r="24" spans="1:17" s="414" customFormat="1" ht="13.5" customHeight="1">
      <c r="A24" s="556" t="s">
        <v>2320</v>
      </c>
      <c r="B24" s="450">
        <f>AVERAGE(B25:B36)</f>
        <v>245.22416666666666</v>
      </c>
      <c r="C24" s="450">
        <f>C36</f>
        <v>5.54</v>
      </c>
      <c r="D24" s="450">
        <f>D36</f>
        <v>5.78</v>
      </c>
      <c r="E24" s="450">
        <f>AVERAGE(E25:E36)</f>
        <v>266.63833333333332</v>
      </c>
      <c r="F24" s="450">
        <f>F36</f>
        <v>5.98</v>
      </c>
      <c r="G24" s="450">
        <f>G36</f>
        <v>7.13</v>
      </c>
      <c r="H24" s="450">
        <f>AVERAGE(H25:H36)</f>
        <v>217.76500000000001</v>
      </c>
      <c r="I24" s="450">
        <f>I36</f>
        <v>4.87</v>
      </c>
      <c r="J24" s="450">
        <f>J36</f>
        <v>3.74</v>
      </c>
      <c r="K24" s="450">
        <f t="shared" ref="K24:Q24" si="1">AVERAGE(K25:K36)</f>
        <v>255.23666666666665</v>
      </c>
      <c r="L24" s="450">
        <f t="shared" si="1"/>
        <v>200.24833333333333</v>
      </c>
      <c r="M24" s="450">
        <f t="shared" si="1"/>
        <v>249.67583333333332</v>
      </c>
      <c r="N24" s="450">
        <f t="shared" si="1"/>
        <v>209.2775</v>
      </c>
      <c r="O24" s="450">
        <f t="shared" si="1"/>
        <v>218.79666666666665</v>
      </c>
      <c r="P24" s="450">
        <f t="shared" si="1"/>
        <v>183.64916666666667</v>
      </c>
      <c r="Q24" s="450">
        <f t="shared" si="1"/>
        <v>223.80666666666664</v>
      </c>
    </row>
    <row r="25" spans="1:17" s="414" customFormat="1" ht="13.5" customHeight="1">
      <c r="A25" s="391" t="s">
        <v>2117</v>
      </c>
      <c r="B25" s="40">
        <v>236.61</v>
      </c>
      <c r="C25" s="40">
        <v>5.57</v>
      </c>
      <c r="D25" s="40">
        <v>5.45</v>
      </c>
      <c r="E25" s="40">
        <v>254.2</v>
      </c>
      <c r="F25" s="40">
        <v>6.95</v>
      </c>
      <c r="G25" s="40">
        <v>6.23</v>
      </c>
      <c r="H25" s="39">
        <v>214.05</v>
      </c>
      <c r="I25" s="40">
        <v>3.53</v>
      </c>
      <c r="J25" s="40">
        <v>4.29</v>
      </c>
      <c r="K25" s="39">
        <v>246.77</v>
      </c>
      <c r="L25" s="40">
        <v>199.5</v>
      </c>
      <c r="M25" s="39">
        <v>241.75</v>
      </c>
      <c r="N25" s="40">
        <v>207.58</v>
      </c>
      <c r="O25" s="40">
        <v>215.24</v>
      </c>
      <c r="P25" s="40">
        <v>182.62</v>
      </c>
      <c r="Q25" s="40">
        <v>217.15</v>
      </c>
    </row>
    <row r="26" spans="1:17" ht="13.5" customHeight="1">
      <c r="A26" s="498" t="s">
        <v>844</v>
      </c>
      <c r="B26" s="445">
        <v>239.92</v>
      </c>
      <c r="C26" s="445">
        <v>5.89</v>
      </c>
      <c r="D26" s="445">
        <v>5.5</v>
      </c>
      <c r="E26" s="445">
        <v>259.60000000000002</v>
      </c>
      <c r="F26" s="445">
        <v>7.32</v>
      </c>
      <c r="G26" s="445">
        <v>6.48</v>
      </c>
      <c r="H26" s="442">
        <v>214.68</v>
      </c>
      <c r="I26" s="445">
        <v>3.75</v>
      </c>
      <c r="J26" s="445">
        <v>4.03</v>
      </c>
      <c r="K26" s="442">
        <v>247.67</v>
      </c>
      <c r="L26" s="445">
        <v>199.1</v>
      </c>
      <c r="M26" s="445">
        <v>244</v>
      </c>
      <c r="N26" s="445">
        <v>207.67</v>
      </c>
      <c r="O26" s="445">
        <v>216.38</v>
      </c>
      <c r="P26" s="445">
        <v>182.81</v>
      </c>
      <c r="Q26" s="445">
        <v>219.51</v>
      </c>
    </row>
    <row r="27" spans="1:17" ht="13.5" customHeight="1">
      <c r="A27" s="391" t="s">
        <v>838</v>
      </c>
      <c r="B27" s="40">
        <v>244.36</v>
      </c>
      <c r="C27" s="40">
        <v>6.12</v>
      </c>
      <c r="D27" s="40">
        <v>5.55</v>
      </c>
      <c r="E27" s="40">
        <v>267.38</v>
      </c>
      <c r="F27" s="40">
        <v>7.87</v>
      </c>
      <c r="G27" s="40">
        <v>6.72</v>
      </c>
      <c r="H27" s="39">
        <v>214.84</v>
      </c>
      <c r="I27" s="40">
        <v>3.44</v>
      </c>
      <c r="J27" s="40">
        <v>3.81</v>
      </c>
      <c r="K27" s="39">
        <v>247.78</v>
      </c>
      <c r="L27" s="40">
        <v>199.16</v>
      </c>
      <c r="M27" s="39">
        <v>244.12</v>
      </c>
      <c r="N27" s="40">
        <v>207.84</v>
      </c>
      <c r="O27" s="40">
        <v>216.44</v>
      </c>
      <c r="P27" s="40">
        <v>182.87</v>
      </c>
      <c r="Q27" s="40">
        <v>220.48</v>
      </c>
    </row>
    <row r="28" spans="1:17" ht="13.5" customHeight="1">
      <c r="A28" s="498" t="s">
        <v>845</v>
      </c>
      <c r="B28" s="445">
        <v>245.86</v>
      </c>
      <c r="C28" s="445">
        <v>6.04</v>
      </c>
      <c r="D28" s="445">
        <v>5.59</v>
      </c>
      <c r="E28" s="445">
        <v>269.73</v>
      </c>
      <c r="F28" s="445">
        <v>7.62</v>
      </c>
      <c r="G28" s="445">
        <v>6.89</v>
      </c>
      <c r="H28" s="442">
        <v>215.26</v>
      </c>
      <c r="I28" s="445">
        <v>3.61</v>
      </c>
      <c r="J28" s="445">
        <v>3.65</v>
      </c>
      <c r="K28" s="442">
        <v>248.03</v>
      </c>
      <c r="L28" s="445">
        <v>199.21</v>
      </c>
      <c r="M28" s="442">
        <v>247.01</v>
      </c>
      <c r="N28" s="445">
        <v>207.92</v>
      </c>
      <c r="O28" s="445">
        <v>216.59</v>
      </c>
      <c r="P28" s="445">
        <v>182.97</v>
      </c>
      <c r="Q28" s="445">
        <v>220.61</v>
      </c>
    </row>
    <row r="29" spans="1:17" s="254" customFormat="1" ht="13.5" customHeight="1">
      <c r="A29" s="391" t="s">
        <v>846</v>
      </c>
      <c r="B29" s="40">
        <v>244.85</v>
      </c>
      <c r="C29" s="40">
        <v>5.91</v>
      </c>
      <c r="D29" s="40">
        <v>5.64</v>
      </c>
      <c r="E29" s="40">
        <v>267.10000000000002</v>
      </c>
      <c r="F29" s="40">
        <v>7.09</v>
      </c>
      <c r="G29" s="40">
        <v>7.03</v>
      </c>
      <c r="H29" s="39">
        <v>216.33</v>
      </c>
      <c r="I29" s="40">
        <v>4.0999999999999996</v>
      </c>
      <c r="J29" s="40">
        <v>3.56</v>
      </c>
      <c r="K29" s="39">
        <v>249.62</v>
      </c>
      <c r="L29" s="40">
        <v>199.41</v>
      </c>
      <c r="M29" s="39">
        <v>249.66</v>
      </c>
      <c r="N29" s="40">
        <v>208.32</v>
      </c>
      <c r="O29" s="40">
        <v>217.68</v>
      </c>
      <c r="P29" s="40">
        <v>183.07</v>
      </c>
      <c r="Q29" s="40">
        <v>223.89</v>
      </c>
    </row>
    <row r="30" spans="1:17" ht="13.5" customHeight="1">
      <c r="A30" s="498" t="s">
        <v>839</v>
      </c>
      <c r="B30" s="445">
        <v>245.03</v>
      </c>
      <c r="C30" s="445">
        <v>5.83</v>
      </c>
      <c r="D30" s="445">
        <v>5.7</v>
      </c>
      <c r="E30" s="445">
        <v>267.06</v>
      </c>
      <c r="F30" s="445">
        <v>7.13</v>
      </c>
      <c r="G30" s="445">
        <v>7.17</v>
      </c>
      <c r="H30" s="442">
        <v>216.79</v>
      </c>
      <c r="I30" s="445">
        <v>3.85</v>
      </c>
      <c r="J30" s="445">
        <v>3.5</v>
      </c>
      <c r="K30" s="442">
        <v>249.92</v>
      </c>
      <c r="L30" s="445">
        <v>199.98</v>
      </c>
      <c r="M30" s="442">
        <v>250.06</v>
      </c>
      <c r="N30" s="445">
        <v>208.83</v>
      </c>
      <c r="O30" s="445">
        <v>217.89</v>
      </c>
      <c r="P30" s="445">
        <v>183.69</v>
      </c>
      <c r="Q30" s="445">
        <v>224.44</v>
      </c>
    </row>
    <row r="31" spans="1:17" s="254" customFormat="1" ht="13.5" customHeight="1">
      <c r="A31" s="391" t="s">
        <v>847</v>
      </c>
      <c r="B31" s="40">
        <v>248.13</v>
      </c>
      <c r="C31" s="40">
        <v>5.88</v>
      </c>
      <c r="D31" s="40">
        <v>5.7633200488242498</v>
      </c>
      <c r="E31" s="40">
        <v>271.05</v>
      </c>
      <c r="F31" s="40">
        <v>7.62</v>
      </c>
      <c r="G31" s="40">
        <v>7.2647364759208521</v>
      </c>
      <c r="H31" s="39">
        <v>218.73</v>
      </c>
      <c r="I31" s="40">
        <v>3.23</v>
      </c>
      <c r="J31" s="40">
        <v>3.5141095603741013</v>
      </c>
      <c r="K31" s="39">
        <v>259.67</v>
      </c>
      <c r="L31" s="40">
        <v>200.65</v>
      </c>
      <c r="M31" s="39">
        <v>250.87</v>
      </c>
      <c r="N31" s="40">
        <v>209.09</v>
      </c>
      <c r="O31" s="40">
        <v>218.22</v>
      </c>
      <c r="P31" s="40">
        <v>184</v>
      </c>
      <c r="Q31" s="40">
        <v>224.61</v>
      </c>
    </row>
    <row r="32" spans="1:17" ht="13.5" customHeight="1">
      <c r="A32" s="498" t="s">
        <v>848</v>
      </c>
      <c r="B32" s="445">
        <v>247.81</v>
      </c>
      <c r="C32" s="445">
        <v>5.72</v>
      </c>
      <c r="D32" s="445">
        <v>5.7965868408144328</v>
      </c>
      <c r="E32" s="445">
        <v>270.25</v>
      </c>
      <c r="F32" s="445">
        <v>7.27</v>
      </c>
      <c r="G32" s="445">
        <v>7.2999801333123449</v>
      </c>
      <c r="H32" s="442">
        <v>219.04</v>
      </c>
      <c r="I32" s="445">
        <v>3.36</v>
      </c>
      <c r="J32" s="445">
        <v>3.5377235413362795</v>
      </c>
      <c r="K32" s="442">
        <v>259.98</v>
      </c>
      <c r="L32" s="445">
        <v>200.69</v>
      </c>
      <c r="M32" s="442">
        <v>251.08</v>
      </c>
      <c r="N32" s="445">
        <v>209.58</v>
      </c>
      <c r="O32" s="445">
        <v>219.29</v>
      </c>
      <c r="P32" s="445">
        <v>184.21</v>
      </c>
      <c r="Q32" s="445">
        <v>224.83</v>
      </c>
    </row>
    <row r="33" spans="1:17" s="254" customFormat="1" ht="13.5" customHeight="1">
      <c r="A33" s="391" t="s">
        <v>840</v>
      </c>
      <c r="B33" s="40">
        <v>248.65</v>
      </c>
      <c r="C33" s="40">
        <v>5.68</v>
      </c>
      <c r="D33" s="40">
        <v>5.8192592808566257</v>
      </c>
      <c r="E33" s="40">
        <v>271.27</v>
      </c>
      <c r="F33" s="40">
        <v>7.09</v>
      </c>
      <c r="G33" s="40">
        <v>7.3145558776342989</v>
      </c>
      <c r="H33" s="39">
        <v>219.64</v>
      </c>
      <c r="I33" s="40">
        <v>3.52</v>
      </c>
      <c r="J33" s="40">
        <v>3.5652943319627095</v>
      </c>
      <c r="K33" s="39">
        <v>260.22000000000003</v>
      </c>
      <c r="L33" s="40">
        <v>200.75</v>
      </c>
      <c r="M33" s="39">
        <v>253.21</v>
      </c>
      <c r="N33" s="40">
        <v>210.47</v>
      </c>
      <c r="O33" s="40">
        <v>219.94</v>
      </c>
      <c r="P33" s="40">
        <v>184.27</v>
      </c>
      <c r="Q33" s="40">
        <v>226.55</v>
      </c>
    </row>
    <row r="34" spans="1:17" s="254" customFormat="1" ht="13.5" customHeight="1">
      <c r="A34" s="498" t="s">
        <v>849</v>
      </c>
      <c r="B34" s="445">
        <v>248.85</v>
      </c>
      <c r="C34" s="445">
        <v>5.63</v>
      </c>
      <c r="D34" s="445">
        <v>5.8319394201079122</v>
      </c>
      <c r="E34" s="445">
        <v>271.42</v>
      </c>
      <c r="F34" s="445">
        <v>7.03</v>
      </c>
      <c r="G34" s="445">
        <v>7.3202043194320554</v>
      </c>
      <c r="H34" s="445">
        <v>219.9</v>
      </c>
      <c r="I34" s="445">
        <v>3.49</v>
      </c>
      <c r="J34" s="445">
        <v>3.5811968200856859</v>
      </c>
      <c r="K34" s="442">
        <v>260.33</v>
      </c>
      <c r="L34" s="445">
        <v>200.86</v>
      </c>
      <c r="M34" s="442">
        <v>254.08</v>
      </c>
      <c r="N34" s="445">
        <v>210.78</v>
      </c>
      <c r="O34" s="445">
        <v>220.47</v>
      </c>
      <c r="P34" s="445">
        <v>184.31</v>
      </c>
      <c r="Q34" s="445">
        <v>226.72</v>
      </c>
    </row>
    <row r="35" spans="1:17" s="254" customFormat="1" ht="13.5" customHeight="1">
      <c r="A35" s="391" t="s">
        <v>850</v>
      </c>
      <c r="B35" s="40">
        <v>245.8</v>
      </c>
      <c r="C35" s="40">
        <v>5.57</v>
      </c>
      <c r="D35" s="40">
        <v>5.82</v>
      </c>
      <c r="E35" s="40">
        <v>265.27</v>
      </c>
      <c r="F35" s="40">
        <v>6.56</v>
      </c>
      <c r="G35" s="40">
        <v>7.25</v>
      </c>
      <c r="H35" s="40">
        <v>220.83</v>
      </c>
      <c r="I35" s="40">
        <v>4.08</v>
      </c>
      <c r="J35" s="40">
        <v>3.63</v>
      </c>
      <c r="K35" s="39">
        <v>261.92</v>
      </c>
      <c r="L35" s="40">
        <v>201.61</v>
      </c>
      <c r="M35" s="39">
        <v>254.88</v>
      </c>
      <c r="N35" s="40">
        <v>211.45</v>
      </c>
      <c r="O35" s="40">
        <v>221.55</v>
      </c>
      <c r="P35" s="40">
        <v>184.4</v>
      </c>
      <c r="Q35" s="40">
        <v>228.29</v>
      </c>
    </row>
    <row r="36" spans="1:17" s="254" customFormat="1" ht="13.5" customHeight="1">
      <c r="A36" s="498" t="s">
        <v>841</v>
      </c>
      <c r="B36" s="445">
        <v>246.82</v>
      </c>
      <c r="C36" s="445">
        <v>5.54</v>
      </c>
      <c r="D36" s="445">
        <v>5.78</v>
      </c>
      <c r="E36" s="445">
        <v>265.33</v>
      </c>
      <c r="F36" s="445">
        <v>5.98</v>
      </c>
      <c r="G36" s="445">
        <v>7.13</v>
      </c>
      <c r="H36" s="445">
        <v>223.09</v>
      </c>
      <c r="I36" s="445">
        <v>4.87</v>
      </c>
      <c r="J36" s="445">
        <v>3.74</v>
      </c>
      <c r="K36" s="442">
        <v>270.93</v>
      </c>
      <c r="L36" s="445">
        <v>202.06</v>
      </c>
      <c r="M36" s="442">
        <v>255.39</v>
      </c>
      <c r="N36" s="445">
        <v>211.8</v>
      </c>
      <c r="O36" s="445">
        <v>225.87</v>
      </c>
      <c r="P36" s="445">
        <v>184.57</v>
      </c>
      <c r="Q36" s="445">
        <v>228.6</v>
      </c>
    </row>
    <row r="37" spans="1:17" s="254" customFormat="1" ht="13.5" customHeight="1">
      <c r="A37" s="558" t="s">
        <v>2585</v>
      </c>
      <c r="B37" s="40"/>
      <c r="C37" s="40"/>
      <c r="D37" s="40"/>
      <c r="E37" s="40"/>
      <c r="F37" s="40"/>
      <c r="G37" s="40"/>
      <c r="H37" s="40"/>
      <c r="I37" s="40"/>
      <c r="J37" s="40"/>
      <c r="K37" s="39"/>
      <c r="L37" s="40"/>
      <c r="M37" s="39"/>
      <c r="N37" s="40"/>
      <c r="O37" s="40"/>
      <c r="P37" s="40"/>
      <c r="Q37" s="40"/>
    </row>
    <row r="38" spans="1:17" s="254" customFormat="1" ht="13.5" customHeight="1">
      <c r="A38" s="498" t="s">
        <v>2117</v>
      </c>
      <c r="B38" s="445">
        <v>249.65</v>
      </c>
      <c r="C38" s="445">
        <v>5.51</v>
      </c>
      <c r="D38" s="445">
        <v>5.78</v>
      </c>
      <c r="E38" s="445">
        <v>269.91000000000003</v>
      </c>
      <c r="F38" s="445">
        <v>6.18</v>
      </c>
      <c r="G38" s="445">
        <v>7.06</v>
      </c>
      <c r="H38" s="445">
        <v>223.66</v>
      </c>
      <c r="I38" s="445">
        <v>4.49</v>
      </c>
      <c r="J38" s="445">
        <v>3.82</v>
      </c>
      <c r="K38" s="442">
        <v>270.94</v>
      </c>
      <c r="L38" s="445">
        <v>202.11</v>
      </c>
      <c r="M38" s="442">
        <v>255.79</v>
      </c>
      <c r="N38" s="445">
        <v>211.96</v>
      </c>
      <c r="O38" s="445">
        <v>226.6</v>
      </c>
      <c r="P38" s="445">
        <v>184.71</v>
      </c>
      <c r="Q38" s="445">
        <v>233.1</v>
      </c>
    </row>
    <row r="39" spans="1:17" s="254" customFormat="1" ht="13.5" customHeight="1">
      <c r="A39" s="391" t="s">
        <v>844</v>
      </c>
      <c r="B39" s="40">
        <v>253.07</v>
      </c>
      <c r="C39" s="40">
        <v>5.48</v>
      </c>
      <c r="D39" s="40">
        <v>5.74</v>
      </c>
      <c r="E39" s="40">
        <v>275.08999999999997</v>
      </c>
      <c r="F39" s="40">
        <v>5.97</v>
      </c>
      <c r="G39" s="40">
        <v>6.95</v>
      </c>
      <c r="H39" s="40">
        <v>224.84</v>
      </c>
      <c r="I39" s="40">
        <v>4.7300000000000004</v>
      </c>
      <c r="J39" s="40">
        <v>3.9</v>
      </c>
      <c r="K39" s="39">
        <v>272.39</v>
      </c>
      <c r="L39" s="40">
        <v>202.59</v>
      </c>
      <c r="M39" s="39">
        <v>257.76</v>
      </c>
      <c r="N39" s="40">
        <v>213.34</v>
      </c>
      <c r="O39" s="40">
        <v>229.48</v>
      </c>
      <c r="P39" s="40">
        <v>184.82</v>
      </c>
      <c r="Q39" s="40">
        <v>233.94</v>
      </c>
    </row>
    <row r="40" spans="1:17" s="254" customFormat="1" ht="13.5" customHeight="1">
      <c r="A40" s="498" t="s">
        <v>838</v>
      </c>
      <c r="B40" s="445">
        <v>257.62</v>
      </c>
      <c r="C40" s="445">
        <v>5.43</v>
      </c>
      <c r="D40" s="445">
        <v>5.68</v>
      </c>
      <c r="E40" s="445">
        <v>281.86</v>
      </c>
      <c r="F40" s="445">
        <v>5.42</v>
      </c>
      <c r="G40" s="445">
        <v>6.74</v>
      </c>
      <c r="H40" s="445">
        <v>226.54</v>
      </c>
      <c r="I40" s="445">
        <v>5.45</v>
      </c>
      <c r="J40" s="445">
        <v>4.07</v>
      </c>
      <c r="K40" s="442">
        <v>273.56</v>
      </c>
      <c r="L40" s="445">
        <v>203.56</v>
      </c>
      <c r="M40" s="442">
        <v>262.51</v>
      </c>
      <c r="N40" s="445">
        <v>214.29</v>
      </c>
      <c r="O40" s="445">
        <v>232.09</v>
      </c>
      <c r="P40" s="445">
        <v>185.01</v>
      </c>
      <c r="Q40" s="445">
        <v>236.64</v>
      </c>
    </row>
    <row r="41" spans="1:17" s="254" customFormat="1" ht="13.5" customHeight="1">
      <c r="A41" s="391" t="s">
        <v>845</v>
      </c>
      <c r="B41" s="40">
        <v>259.13</v>
      </c>
      <c r="C41" s="40">
        <v>5.4</v>
      </c>
      <c r="D41" s="40">
        <v>5.63</v>
      </c>
      <c r="E41" s="40">
        <v>283.44</v>
      </c>
      <c r="F41" s="40">
        <v>5.08</v>
      </c>
      <c r="G41" s="40">
        <v>6.52</v>
      </c>
      <c r="H41" s="40">
        <v>227.96</v>
      </c>
      <c r="I41" s="40">
        <v>5.9</v>
      </c>
      <c r="J41" s="40">
        <v>4.26</v>
      </c>
      <c r="K41" s="39">
        <v>275.01</v>
      </c>
      <c r="L41" s="40">
        <v>204.49</v>
      </c>
      <c r="M41" s="40">
        <v>265.5</v>
      </c>
      <c r="N41" s="40">
        <v>214.82</v>
      </c>
      <c r="O41" s="40">
        <v>234.21</v>
      </c>
      <c r="P41" s="40">
        <v>185.29</v>
      </c>
      <c r="Q41" s="40">
        <v>239.03</v>
      </c>
    </row>
    <row r="42" spans="1:17" s="254" customFormat="1" ht="13.5" customHeight="1" thickBot="1">
      <c r="A42" s="1106" t="s">
        <v>846</v>
      </c>
      <c r="B42" s="1650">
        <v>258</v>
      </c>
      <c r="C42" s="1650">
        <v>5.37</v>
      </c>
      <c r="D42" s="1650">
        <v>5.58</v>
      </c>
      <c r="E42" s="1650">
        <v>281.24</v>
      </c>
      <c r="F42" s="1650">
        <v>5.29</v>
      </c>
      <c r="G42" s="1650">
        <v>6.37</v>
      </c>
      <c r="H42" s="1650">
        <v>228.21</v>
      </c>
      <c r="I42" s="1650">
        <v>5.49</v>
      </c>
      <c r="J42" s="1650">
        <v>4.38</v>
      </c>
      <c r="K42" s="520">
        <v>275.45999999999998</v>
      </c>
      <c r="L42" s="1650">
        <v>204.77</v>
      </c>
      <c r="M42" s="1650">
        <v>265.68</v>
      </c>
      <c r="N42" s="1650">
        <v>214.91</v>
      </c>
      <c r="O42" s="1650">
        <v>234.47</v>
      </c>
      <c r="P42" s="1650">
        <v>185.35</v>
      </c>
      <c r="Q42" s="1650">
        <v>239.18</v>
      </c>
    </row>
    <row r="43" spans="1:17" ht="10.5" customHeight="1">
      <c r="A43" s="391"/>
      <c r="B43" s="40"/>
      <c r="C43" s="40"/>
      <c r="D43" s="40"/>
      <c r="E43" s="40"/>
      <c r="F43" s="40"/>
      <c r="G43" s="40"/>
      <c r="H43" s="40"/>
      <c r="I43" s="40"/>
      <c r="J43" s="40"/>
      <c r="K43" s="39"/>
      <c r="L43" s="40"/>
      <c r="M43" s="39"/>
      <c r="N43" s="40"/>
      <c r="O43" s="40"/>
      <c r="P43" s="40"/>
      <c r="Q43" s="40"/>
    </row>
    <row r="44" spans="1:17">
      <c r="A44" s="269" t="s">
        <v>2511</v>
      </c>
      <c r="B44" s="150"/>
      <c r="C44" s="150"/>
      <c r="D44" s="150"/>
      <c r="E44" s="150"/>
      <c r="F44" s="150"/>
      <c r="G44" s="40"/>
      <c r="H44" s="2021" t="s">
        <v>636</v>
      </c>
      <c r="I44" s="2021"/>
      <c r="J44" s="45"/>
      <c r="K44" s="40"/>
      <c r="L44" s="40"/>
      <c r="M44" s="40"/>
      <c r="N44" s="40"/>
      <c r="O44" s="40"/>
      <c r="P44" s="40"/>
      <c r="Q44" s="40"/>
    </row>
    <row r="45" spans="1:17">
      <c r="A45" s="2019" t="s">
        <v>466</v>
      </c>
      <c r="B45" s="2019"/>
      <c r="C45" s="2019"/>
      <c r="D45" s="2019"/>
      <c r="E45" s="45"/>
      <c r="F45" s="45"/>
      <c r="G45" s="45"/>
      <c r="H45" s="45"/>
      <c r="I45" s="45"/>
    </row>
    <row r="46" spans="1:17">
      <c r="A46" s="45"/>
      <c r="B46" s="45"/>
      <c r="C46" s="45"/>
      <c r="D46" s="45"/>
      <c r="E46" s="1180"/>
      <c r="F46" s="1180"/>
      <c r="G46" s="1023"/>
      <c r="H46" s="1180"/>
      <c r="I46" s="217"/>
      <c r="J46" s="1023"/>
      <c r="K46" s="97"/>
      <c r="L46" s="97"/>
      <c r="M46" s="97"/>
      <c r="N46" s="97"/>
    </row>
    <row r="47" spans="1:17">
      <c r="B47" s="120"/>
      <c r="C47" s="120"/>
      <c r="D47" s="120"/>
      <c r="E47" s="120"/>
      <c r="F47" s="120"/>
      <c r="H47" s="120"/>
      <c r="I47" s="394"/>
    </row>
    <row r="48" spans="1:17">
      <c r="C48" s="394"/>
      <c r="F48" s="394"/>
      <c r="G48" s="1023"/>
      <c r="H48" s="120"/>
      <c r="I48" s="394"/>
      <c r="J48" s="1023"/>
    </row>
    <row r="49" spans="1:17">
      <c r="A49" s="391"/>
      <c r="B49" s="394"/>
      <c r="C49" s="394"/>
      <c r="D49" s="394"/>
      <c r="F49" s="394"/>
      <c r="H49" s="120"/>
      <c r="I49" s="394"/>
      <c r="L49" s="394"/>
      <c r="M49" s="394"/>
      <c r="N49" s="394"/>
      <c r="O49" s="394"/>
      <c r="P49" s="394"/>
      <c r="Q49" s="394"/>
    </row>
    <row r="50" spans="1:17">
      <c r="B50" s="120"/>
      <c r="C50" s="120"/>
      <c r="D50" s="120"/>
      <c r="E50" s="120"/>
      <c r="F50" s="120"/>
      <c r="G50" s="1023"/>
      <c r="H50" s="120"/>
      <c r="I50" s="120"/>
      <c r="J50" s="1023"/>
    </row>
    <row r="51" spans="1:17">
      <c r="H51" s="120"/>
    </row>
    <row r="52" spans="1:17">
      <c r="H52" s="120"/>
    </row>
    <row r="53" spans="1:17">
      <c r="C53" s="1023"/>
      <c r="F53" s="120"/>
      <c r="I53" s="120"/>
    </row>
  </sheetData>
  <mergeCells count="30">
    <mergeCell ref="A45:D45"/>
    <mergeCell ref="D4:D5"/>
    <mergeCell ref="I4:I5"/>
    <mergeCell ref="F6:G6"/>
    <mergeCell ref="F4:F5"/>
    <mergeCell ref="H44:I44"/>
    <mergeCell ref="A3:A5"/>
    <mergeCell ref="I6:J6"/>
    <mergeCell ref="C6:D6"/>
    <mergeCell ref="B4:B5"/>
    <mergeCell ref="P1:Q1"/>
    <mergeCell ref="K3:Q3"/>
    <mergeCell ref="O4:O5"/>
    <mergeCell ref="P4:P5"/>
    <mergeCell ref="K1:O1"/>
    <mergeCell ref="Q4:Q5"/>
    <mergeCell ref="L4:L5"/>
    <mergeCell ref="M4:M5"/>
    <mergeCell ref="N4:N5"/>
    <mergeCell ref="D1:J1"/>
    <mergeCell ref="H4:H5"/>
    <mergeCell ref="F3:G3"/>
    <mergeCell ref="K4:K5"/>
    <mergeCell ref="I3:J3"/>
    <mergeCell ref="C3:D3"/>
    <mergeCell ref="G4:G5"/>
    <mergeCell ref="C4:C5"/>
    <mergeCell ref="G2:J2"/>
    <mergeCell ref="E4:E5"/>
    <mergeCell ref="J4:J5"/>
  </mergeCells>
  <phoneticPr fontId="0" type="noConversion"/>
  <pageMargins left="0.62992125984252001" right="0.39370078740157499" top="0.511811023622047" bottom="0.511811023622047" header="0" footer="0.511811023622047"/>
  <pageSetup paperSize="141" firstPageNumber="42" orientation="portrait" useFirstPageNumber="1" r:id="rId1"/>
  <headerFooter alignWithMargins="0">
    <oddFooter>&amp;C&amp;"Times New Roman,Regular"&amp;8&amp;P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9"/>
  <dimension ref="A1:I48"/>
  <sheetViews>
    <sheetView zoomScale="140" zoomScaleNormal="140" workbookViewId="0">
      <pane xSplit="1" ySplit="5" topLeftCell="D29" activePane="bottomRight" state="frozen"/>
      <selection pane="topRight" activeCell="C1" sqref="C1"/>
      <selection pane="bottomLeft" activeCell="A7" sqref="A7"/>
      <selection pane="bottomRight" activeCell="G45" sqref="G45"/>
    </sheetView>
  </sheetViews>
  <sheetFormatPr defaultColWidth="9.140625" defaultRowHeight="12.75"/>
  <cols>
    <col min="1" max="1" width="11.42578125" style="1344" customWidth="1"/>
    <col min="2" max="2" width="16.140625" style="1344" customWidth="1"/>
    <col min="3" max="3" width="16" style="1344" customWidth="1"/>
    <col min="4" max="4" width="14.85546875" style="1344" customWidth="1"/>
    <col min="5" max="5" width="15.140625" style="1344" customWidth="1"/>
    <col min="6" max="6" width="19.42578125" style="1344" customWidth="1"/>
    <col min="7" max="7" width="21" style="1344" customWidth="1"/>
    <col min="8" max="8" width="19.42578125" style="1344" customWidth="1"/>
    <col min="9" max="9" width="15" style="1344" customWidth="1"/>
    <col min="10" max="10" width="11.5703125" style="1344" customWidth="1"/>
    <col min="11" max="11" width="11.42578125" style="1344" customWidth="1"/>
    <col min="12" max="16384" width="9.140625" style="1344"/>
  </cols>
  <sheetData>
    <row r="1" spans="1:9" s="1298" customFormat="1" ht="19.899999999999999" customHeight="1">
      <c r="A1" s="2027" t="s">
        <v>551</v>
      </c>
      <c r="B1" s="2027"/>
      <c r="C1" s="2027"/>
      <c r="D1" s="2027"/>
      <c r="E1" s="2027"/>
      <c r="F1" s="2026" t="s">
        <v>552</v>
      </c>
      <c r="G1" s="2026"/>
      <c r="H1" s="1296"/>
      <c r="I1" s="1297" t="s">
        <v>1849</v>
      </c>
    </row>
    <row r="2" spans="1:9" s="1299" customFormat="1" ht="24" customHeight="1">
      <c r="A2" s="2031" t="s">
        <v>764</v>
      </c>
      <c r="B2" s="2029" t="s">
        <v>2261</v>
      </c>
      <c r="C2" s="2029"/>
      <c r="D2" s="2029" t="s">
        <v>121</v>
      </c>
      <c r="E2" s="2029"/>
      <c r="F2" s="1728" t="s">
        <v>2432</v>
      </c>
      <c r="G2" s="2030" t="s">
        <v>2224</v>
      </c>
      <c r="H2" s="2030"/>
      <c r="I2" s="2034" t="s">
        <v>764</v>
      </c>
    </row>
    <row r="3" spans="1:9" s="1299" customFormat="1">
      <c r="A3" s="2032"/>
      <c r="B3" s="1728" t="s">
        <v>2428</v>
      </c>
      <c r="C3" s="1728" t="s">
        <v>2429</v>
      </c>
      <c r="D3" s="1728" t="s">
        <v>2430</v>
      </c>
      <c r="E3" s="1728" t="s">
        <v>2431</v>
      </c>
      <c r="F3" s="2028"/>
      <c r="G3" s="1728" t="s">
        <v>2433</v>
      </c>
      <c r="H3" s="1728" t="s">
        <v>2434</v>
      </c>
      <c r="I3" s="2034"/>
    </row>
    <row r="4" spans="1:9" s="1299" customFormat="1">
      <c r="A4" s="2032"/>
      <c r="B4" s="2028"/>
      <c r="C4" s="2028"/>
      <c r="D4" s="2028"/>
      <c r="E4" s="2028"/>
      <c r="F4" s="2028"/>
      <c r="G4" s="2028"/>
      <c r="H4" s="2028"/>
      <c r="I4" s="2034"/>
    </row>
    <row r="5" spans="1:9" s="1299" customFormat="1" ht="12.75" customHeight="1">
      <c r="A5" s="2033"/>
      <c r="B5" s="2028"/>
      <c r="C5" s="2028"/>
      <c r="D5" s="2028"/>
      <c r="E5" s="2028"/>
      <c r="F5" s="2028"/>
      <c r="G5" s="2028"/>
      <c r="H5" s="2028"/>
      <c r="I5" s="2034"/>
    </row>
    <row r="6" spans="1:9" s="1304" customFormat="1" ht="15.2" customHeight="1">
      <c r="A6" s="1305">
        <v>2007</v>
      </c>
      <c r="B6" s="1306">
        <v>2550.4166666666665</v>
      </c>
      <c r="C6" s="1306">
        <v>5683.333333333333</v>
      </c>
      <c r="D6" s="1307">
        <v>29.182500000000001</v>
      </c>
      <c r="E6" s="1306">
        <v>14808.333333333334</v>
      </c>
      <c r="F6" s="1307">
        <v>86.207887287051832</v>
      </c>
      <c r="G6" s="1306">
        <v>1239.5833333333333</v>
      </c>
      <c r="H6" s="1306">
        <v>166.58333333333334</v>
      </c>
      <c r="I6" s="1308">
        <v>2007</v>
      </c>
    </row>
    <row r="7" spans="1:9" s="1304" customFormat="1" ht="15.2" customHeight="1">
      <c r="A7" s="1300">
        <v>2008</v>
      </c>
      <c r="B7" s="1301">
        <v>3128.9166666666665</v>
      </c>
      <c r="C7" s="1301">
        <v>6691.666666666667</v>
      </c>
      <c r="D7" s="1302">
        <v>42.047499999999999</v>
      </c>
      <c r="E7" s="1301">
        <v>22825</v>
      </c>
      <c r="F7" s="1302">
        <v>113.4179864994834</v>
      </c>
      <c r="G7" s="1301">
        <v>1285</v>
      </c>
      <c r="H7" s="1301">
        <v>165.25</v>
      </c>
      <c r="I7" s="1303">
        <v>2008</v>
      </c>
    </row>
    <row r="8" spans="1:9" s="1304" customFormat="1" ht="15.2" customHeight="1">
      <c r="A8" s="1305">
        <v>2009</v>
      </c>
      <c r="B8" s="1306">
        <v>3756.3333333333335</v>
      </c>
      <c r="C8" s="1306">
        <v>7758.333333333333</v>
      </c>
      <c r="D8" s="1307">
        <v>35.204166666666673</v>
      </c>
      <c r="E8" s="1306">
        <v>23980.833333333332</v>
      </c>
      <c r="F8" s="1307">
        <v>128.69797063195713</v>
      </c>
      <c r="G8" s="1306">
        <v>586.66666666666663</v>
      </c>
      <c r="H8" s="1306">
        <v>90.25</v>
      </c>
      <c r="I8" s="1308">
        <v>2009</v>
      </c>
    </row>
    <row r="9" spans="1:9" s="1304" customFormat="1" ht="15.2" customHeight="1">
      <c r="A9" s="1300">
        <v>2010</v>
      </c>
      <c r="B9" s="1301">
        <v>6190.916666666667</v>
      </c>
      <c r="C9" s="1301">
        <v>13941.416666666666</v>
      </c>
      <c r="D9" s="1302">
        <v>35.166666666666664</v>
      </c>
      <c r="E9" s="1301">
        <v>31114.166666666668</v>
      </c>
      <c r="F9" s="1302">
        <v>142.05333333333334</v>
      </c>
      <c r="G9" s="1301">
        <v>912.5</v>
      </c>
      <c r="H9" s="1301">
        <v>101.58333333333333</v>
      </c>
      <c r="I9" s="1303">
        <v>2010</v>
      </c>
    </row>
    <row r="10" spans="1:9" s="1313" customFormat="1" ht="15.2" customHeight="1">
      <c r="A10" s="1309">
        <v>2011</v>
      </c>
      <c r="B10" s="1310">
        <v>5937.5</v>
      </c>
      <c r="C10" s="1310">
        <v>13850</v>
      </c>
      <c r="D10" s="1311">
        <v>37.541666666666664</v>
      </c>
      <c r="E10" s="1310">
        <v>26950</v>
      </c>
      <c r="F10" s="1311">
        <v>166.13499999999999</v>
      </c>
      <c r="G10" s="1310">
        <v>1087.9166666666667</v>
      </c>
      <c r="H10" s="1310">
        <v>156.33333333333334</v>
      </c>
      <c r="I10" s="1312">
        <v>2011</v>
      </c>
    </row>
    <row r="11" spans="1:9" s="1313" customFormat="1" ht="15.2" customHeight="1">
      <c r="A11" s="1314">
        <v>2012</v>
      </c>
      <c r="B11" s="1301">
        <v>5833.333333333333</v>
      </c>
      <c r="C11" s="1301">
        <v>13600</v>
      </c>
      <c r="D11" s="1302">
        <v>32.875</v>
      </c>
      <c r="E11" s="1301">
        <v>54033.333333333336</v>
      </c>
      <c r="F11" s="1302">
        <v>172.94416666666669</v>
      </c>
      <c r="G11" s="1301">
        <v>1053.125</v>
      </c>
      <c r="H11" s="1301">
        <v>112.77777777777777</v>
      </c>
      <c r="I11" s="1303">
        <v>2012</v>
      </c>
    </row>
    <row r="12" spans="1:9" s="1316" customFormat="1" ht="15.2" customHeight="1">
      <c r="A12" s="1305">
        <v>2013</v>
      </c>
      <c r="B12" s="1310">
        <v>5375</v>
      </c>
      <c r="C12" s="1310">
        <v>12500</v>
      </c>
      <c r="D12" s="1311">
        <v>37.041666666666664</v>
      </c>
      <c r="E12" s="1310">
        <v>51868.181818181816</v>
      </c>
      <c r="F12" s="1311">
        <v>199.83166666666662</v>
      </c>
      <c r="G12" s="1310">
        <v>680</v>
      </c>
      <c r="H12" s="1310">
        <v>79.833333333333329</v>
      </c>
      <c r="I12" s="1315">
        <v>2013</v>
      </c>
    </row>
    <row r="13" spans="1:9" s="333" customFormat="1" ht="15.2" customHeight="1">
      <c r="A13" s="482">
        <v>2014</v>
      </c>
      <c r="B13" s="1370">
        <v>5375</v>
      </c>
      <c r="C13" s="1370">
        <v>12500</v>
      </c>
      <c r="D13" s="444">
        <v>40</v>
      </c>
      <c r="E13" s="1370">
        <v>48600</v>
      </c>
      <c r="F13" s="444">
        <v>185.97166666666666</v>
      </c>
      <c r="G13" s="1370">
        <v>1078.75</v>
      </c>
      <c r="H13" s="1370">
        <v>109.33333333333333</v>
      </c>
      <c r="I13" s="1369">
        <v>2014</v>
      </c>
    </row>
    <row r="14" spans="1:9" s="333" customFormat="1" ht="15.2" customHeight="1">
      <c r="A14" s="1458">
        <v>2015</v>
      </c>
      <c r="B14" s="1459">
        <v>5770.833333333333</v>
      </c>
      <c r="C14" s="1459">
        <v>13650</v>
      </c>
      <c r="D14" s="1460">
        <v>37.666666666666664</v>
      </c>
      <c r="E14" s="1459">
        <v>44166.666666666664</v>
      </c>
      <c r="F14" s="349">
        <v>166.07666666666668</v>
      </c>
      <c r="G14" s="350">
        <v>1287.5</v>
      </c>
      <c r="H14" s="350">
        <v>96.416666666666671</v>
      </c>
      <c r="I14" s="1387">
        <v>2015</v>
      </c>
    </row>
    <row r="15" spans="1:9" s="1328" customFormat="1" ht="15.2" customHeight="1">
      <c r="A15" s="1317">
        <v>2016</v>
      </c>
      <c r="B15" s="1329">
        <v>6375</v>
      </c>
      <c r="C15" s="1329">
        <v>15100</v>
      </c>
      <c r="D15" s="1330">
        <v>38.416666666666664</v>
      </c>
      <c r="E15" s="1331">
        <v>44000</v>
      </c>
      <c r="F15" s="1330">
        <v>161.27999999999997</v>
      </c>
      <c r="G15" s="1331">
        <v>1009.1666666666666</v>
      </c>
      <c r="H15" s="1331">
        <v>87</v>
      </c>
      <c r="I15" s="1318">
        <v>2016</v>
      </c>
    </row>
    <row r="16" spans="1:9" s="1328" customFormat="1" ht="15.2" customHeight="1">
      <c r="A16" s="1319">
        <v>2017</v>
      </c>
      <c r="B16" s="1371">
        <f t="shared" ref="B16:C16" si="0">AVERAGE(B17:B28)</f>
        <v>6375</v>
      </c>
      <c r="C16" s="1371">
        <f t="shared" si="0"/>
        <v>15100</v>
      </c>
      <c r="D16" s="1320">
        <f>AVERAGE(D17:D23)</f>
        <v>43.428571428571431</v>
      </c>
      <c r="E16" s="1321">
        <f>AVERAGE(E17:E24)</f>
        <v>44056.25</v>
      </c>
      <c r="F16" s="1320">
        <f>AVERAGE(F17:F28)</f>
        <v>164.67</v>
      </c>
      <c r="G16" s="1321">
        <f>AVERAGE(G17:G23)</f>
        <v>895.71428571428567</v>
      </c>
      <c r="H16" s="1321">
        <f>AVERAGE(H17:H23)</f>
        <v>74.285714285714292</v>
      </c>
      <c r="I16" s="1335">
        <v>2017</v>
      </c>
    </row>
    <row r="17" spans="1:9" s="1328" customFormat="1" ht="15.2" customHeight="1">
      <c r="A17" s="1300" t="s">
        <v>847</v>
      </c>
      <c r="B17" s="1322">
        <v>6375</v>
      </c>
      <c r="C17" s="1322">
        <v>15100</v>
      </c>
      <c r="D17" s="1323">
        <v>38</v>
      </c>
      <c r="E17" s="1301">
        <v>44000</v>
      </c>
      <c r="F17" s="1332">
        <v>190.53</v>
      </c>
      <c r="G17" s="1322">
        <v>860</v>
      </c>
      <c r="H17" s="1322">
        <v>51</v>
      </c>
      <c r="I17" s="1324" t="s">
        <v>847</v>
      </c>
    </row>
    <row r="18" spans="1:9" s="1328" customFormat="1" ht="15.2" customHeight="1">
      <c r="A18" s="1309" t="s">
        <v>848</v>
      </c>
      <c r="B18" s="1325">
        <v>6375</v>
      </c>
      <c r="C18" s="1325">
        <v>15100</v>
      </c>
      <c r="D18" s="1326">
        <v>40</v>
      </c>
      <c r="E18" s="1310">
        <v>44000</v>
      </c>
      <c r="F18" s="1333">
        <v>170.6</v>
      </c>
      <c r="G18" s="1325">
        <v>880</v>
      </c>
      <c r="H18" s="1325">
        <v>60</v>
      </c>
      <c r="I18" s="1327" t="s">
        <v>848</v>
      </c>
    </row>
    <row r="19" spans="1:9" s="1328" customFormat="1" ht="15.2" customHeight="1">
      <c r="A19" s="1300" t="s">
        <v>840</v>
      </c>
      <c r="B19" s="1322">
        <v>6375</v>
      </c>
      <c r="C19" s="1322">
        <v>15100</v>
      </c>
      <c r="D19" s="1323">
        <v>42</v>
      </c>
      <c r="E19" s="1301">
        <v>43950</v>
      </c>
      <c r="F19" s="1332">
        <v>188.33</v>
      </c>
      <c r="G19" s="1322">
        <v>900</v>
      </c>
      <c r="H19" s="1322">
        <v>80</v>
      </c>
      <c r="I19" s="1324" t="s">
        <v>840</v>
      </c>
    </row>
    <row r="20" spans="1:9" s="1328" customFormat="1" ht="15.2" customHeight="1">
      <c r="A20" s="1309" t="s">
        <v>849</v>
      </c>
      <c r="B20" s="1325">
        <v>6375</v>
      </c>
      <c r="C20" s="1325">
        <v>15100</v>
      </c>
      <c r="D20" s="1326">
        <v>44</v>
      </c>
      <c r="E20" s="1310">
        <v>44100</v>
      </c>
      <c r="F20" s="1333">
        <v>158.11000000000001</v>
      </c>
      <c r="G20" s="1325">
        <v>990</v>
      </c>
      <c r="H20" s="1325">
        <v>78</v>
      </c>
      <c r="I20" s="1327" t="s">
        <v>849</v>
      </c>
    </row>
    <row r="21" spans="1:9" s="1328" customFormat="1" ht="15.2" customHeight="1">
      <c r="A21" s="1300" t="s">
        <v>850</v>
      </c>
      <c r="B21" s="1322">
        <v>6375</v>
      </c>
      <c r="C21" s="1322">
        <v>15100</v>
      </c>
      <c r="D21" s="1323">
        <v>45</v>
      </c>
      <c r="E21" s="1301">
        <v>44000</v>
      </c>
      <c r="F21" s="1332">
        <v>140.69999999999999</v>
      </c>
      <c r="G21" s="1322">
        <v>970</v>
      </c>
      <c r="H21" s="1322">
        <v>73</v>
      </c>
      <c r="I21" s="1324" t="s">
        <v>850</v>
      </c>
    </row>
    <row r="22" spans="1:9" s="1337" customFormat="1" ht="15.2" customHeight="1">
      <c r="A22" s="1309" t="s">
        <v>841</v>
      </c>
      <c r="B22" s="1325">
        <v>6375</v>
      </c>
      <c r="C22" s="1325">
        <v>15100</v>
      </c>
      <c r="D22" s="1326">
        <v>48</v>
      </c>
      <c r="E22" s="1310">
        <v>44000</v>
      </c>
      <c r="F22" s="1333">
        <v>152.85</v>
      </c>
      <c r="G22" s="1325">
        <v>840</v>
      </c>
      <c r="H22" s="1325">
        <v>90</v>
      </c>
      <c r="I22" s="1327" t="s">
        <v>841</v>
      </c>
    </row>
    <row r="23" spans="1:9" s="1328" customFormat="1" ht="15.2" customHeight="1">
      <c r="A23" s="1300" t="s">
        <v>843</v>
      </c>
      <c r="B23" s="1322">
        <v>6375</v>
      </c>
      <c r="C23" s="1322">
        <v>15100</v>
      </c>
      <c r="D23" s="1323">
        <v>47</v>
      </c>
      <c r="E23" s="1301">
        <v>44200</v>
      </c>
      <c r="F23" s="1332">
        <v>161.63</v>
      </c>
      <c r="G23" s="1322">
        <v>830</v>
      </c>
      <c r="H23" s="1322">
        <v>88</v>
      </c>
      <c r="I23" s="1324" t="s">
        <v>843</v>
      </c>
    </row>
    <row r="24" spans="1:9" s="1328" customFormat="1" ht="15.2" customHeight="1">
      <c r="A24" s="1309" t="s">
        <v>844</v>
      </c>
      <c r="B24" s="1325">
        <v>6375</v>
      </c>
      <c r="C24" s="1325">
        <v>15100</v>
      </c>
      <c r="D24" s="1326" t="s">
        <v>505</v>
      </c>
      <c r="E24" s="1310">
        <v>44200</v>
      </c>
      <c r="F24" s="1333">
        <v>151.88</v>
      </c>
      <c r="G24" s="1325" t="s">
        <v>505</v>
      </c>
      <c r="H24" s="1325" t="s">
        <v>505</v>
      </c>
      <c r="I24" s="1327" t="s">
        <v>844</v>
      </c>
    </row>
    <row r="25" spans="1:9" s="1328" customFormat="1" ht="15.2" customHeight="1">
      <c r="A25" s="1300" t="s">
        <v>838</v>
      </c>
      <c r="B25" s="1322">
        <v>6375</v>
      </c>
      <c r="C25" s="1322">
        <v>15100</v>
      </c>
      <c r="D25" s="1323" t="s">
        <v>505</v>
      </c>
      <c r="E25" s="1301">
        <v>44180</v>
      </c>
      <c r="F25" s="1332">
        <v>154.63999999999999</v>
      </c>
      <c r="G25" s="1322" t="s">
        <v>505</v>
      </c>
      <c r="H25" s="1322" t="s">
        <v>505</v>
      </c>
      <c r="I25" s="1324" t="s">
        <v>838</v>
      </c>
    </row>
    <row r="26" spans="1:9" s="1337" customFormat="1" ht="15.2" customHeight="1">
      <c r="A26" s="365" t="s">
        <v>845</v>
      </c>
      <c r="B26" s="1325">
        <v>6375</v>
      </c>
      <c r="C26" s="1325">
        <v>15100</v>
      </c>
      <c r="D26" s="1326" t="s">
        <v>505</v>
      </c>
      <c r="E26" s="1310">
        <v>39450</v>
      </c>
      <c r="F26" s="1333">
        <v>161.5</v>
      </c>
      <c r="G26" s="1325" t="s">
        <v>505</v>
      </c>
      <c r="H26" s="1325" t="s">
        <v>505</v>
      </c>
      <c r="I26" s="1327" t="s">
        <v>845</v>
      </c>
    </row>
    <row r="27" spans="1:9" s="1328" customFormat="1" ht="15.2" customHeight="1">
      <c r="A27" s="482" t="s">
        <v>846</v>
      </c>
      <c r="B27" s="1322">
        <v>6375</v>
      </c>
      <c r="C27" s="1322">
        <v>15100</v>
      </c>
      <c r="D27" s="1323" t="s">
        <v>505</v>
      </c>
      <c r="E27" s="1301">
        <v>41000</v>
      </c>
      <c r="F27" s="1332">
        <v>172.56</v>
      </c>
      <c r="G27" s="1322" t="s">
        <v>505</v>
      </c>
      <c r="H27" s="1322" t="s">
        <v>505</v>
      </c>
      <c r="I27" s="1324" t="s">
        <v>846</v>
      </c>
    </row>
    <row r="28" spans="1:9" s="1328" customFormat="1" ht="15.2" customHeight="1">
      <c r="A28" s="365" t="s">
        <v>839</v>
      </c>
      <c r="B28" s="1325">
        <v>6375</v>
      </c>
      <c r="C28" s="1325">
        <v>15100</v>
      </c>
      <c r="D28" s="1326" t="s">
        <v>505</v>
      </c>
      <c r="E28" s="1310">
        <v>41000</v>
      </c>
      <c r="F28" s="1333">
        <v>172.71</v>
      </c>
      <c r="G28" s="1325" t="s">
        <v>505</v>
      </c>
      <c r="H28" s="1325" t="s">
        <v>505</v>
      </c>
      <c r="I28" s="1387" t="s">
        <v>839</v>
      </c>
    </row>
    <row r="29" spans="1:9" s="1328" customFormat="1" ht="15.2" customHeight="1">
      <c r="A29" s="1317">
        <v>2018</v>
      </c>
      <c r="B29" s="1322"/>
      <c r="C29" s="1322"/>
      <c r="D29" s="1323"/>
      <c r="E29" s="1336"/>
      <c r="F29" s="1332"/>
      <c r="G29" s="1322"/>
      <c r="H29" s="1322"/>
      <c r="I29" s="1318">
        <v>2018</v>
      </c>
    </row>
    <row r="30" spans="1:9" s="1328" customFormat="1" ht="15.2" customHeight="1">
      <c r="A30" s="365" t="s">
        <v>847</v>
      </c>
      <c r="B30" s="1325">
        <v>6375</v>
      </c>
      <c r="C30" s="1325">
        <v>15100</v>
      </c>
      <c r="D30" s="1326" t="s">
        <v>505</v>
      </c>
      <c r="E30" s="1310">
        <v>41000</v>
      </c>
      <c r="F30" s="1333">
        <v>186.97</v>
      </c>
      <c r="G30" s="1325" t="s">
        <v>505</v>
      </c>
      <c r="H30" s="1325" t="s">
        <v>505</v>
      </c>
      <c r="I30" s="1387" t="s">
        <v>847</v>
      </c>
    </row>
    <row r="31" spans="1:9" s="1328" customFormat="1" ht="15.2" customHeight="1">
      <c r="A31" s="482" t="s">
        <v>848</v>
      </c>
      <c r="B31" s="1322">
        <v>6375</v>
      </c>
      <c r="C31" s="1322">
        <v>15100</v>
      </c>
      <c r="D31" s="1323" t="s">
        <v>505</v>
      </c>
      <c r="E31" s="1301">
        <v>41000</v>
      </c>
      <c r="F31" s="1332">
        <v>159.93</v>
      </c>
      <c r="G31" s="1322" t="s">
        <v>505</v>
      </c>
      <c r="H31" s="1322" t="s">
        <v>505</v>
      </c>
      <c r="I31" s="1369" t="s">
        <v>848</v>
      </c>
    </row>
    <row r="32" spans="1:9" s="1337" customFormat="1" ht="15.2" customHeight="1">
      <c r="A32" s="365" t="s">
        <v>840</v>
      </c>
      <c r="B32" s="1325">
        <v>6375</v>
      </c>
      <c r="C32" s="1325">
        <v>15100</v>
      </c>
      <c r="D32" s="1326" t="s">
        <v>505</v>
      </c>
      <c r="E32" s="1310">
        <v>40950</v>
      </c>
      <c r="F32" s="1333">
        <v>159.56</v>
      </c>
      <c r="G32" s="1325" t="s">
        <v>505</v>
      </c>
      <c r="H32" s="1325" t="s">
        <v>505</v>
      </c>
      <c r="I32" s="1387" t="s">
        <v>840</v>
      </c>
    </row>
    <row r="33" spans="1:9" s="1337" customFormat="1" ht="15.2" customHeight="1">
      <c r="A33" s="482" t="s">
        <v>849</v>
      </c>
      <c r="B33" s="1322">
        <v>6375</v>
      </c>
      <c r="C33" s="1322">
        <v>15100</v>
      </c>
      <c r="D33" s="1323" t="s">
        <v>505</v>
      </c>
      <c r="E33" s="1301">
        <v>41000</v>
      </c>
      <c r="F33" s="1332">
        <v>168.75</v>
      </c>
      <c r="G33" s="1322" t="s">
        <v>505</v>
      </c>
      <c r="H33" s="1322" t="s">
        <v>505</v>
      </c>
      <c r="I33" s="1369" t="s">
        <v>849</v>
      </c>
    </row>
    <row r="34" spans="1:9" s="1337" customFormat="1" ht="15.2" customHeight="1">
      <c r="A34" s="365" t="s">
        <v>850</v>
      </c>
      <c r="B34" s="1325">
        <v>6375</v>
      </c>
      <c r="C34" s="1325">
        <v>15100</v>
      </c>
      <c r="D34" s="1326" t="s">
        <v>505</v>
      </c>
      <c r="E34" s="1334" t="s">
        <v>505</v>
      </c>
      <c r="F34" s="1333">
        <v>165.41</v>
      </c>
      <c r="G34" s="1325" t="s">
        <v>505</v>
      </c>
      <c r="H34" s="1325" t="s">
        <v>505</v>
      </c>
      <c r="I34" s="1387" t="s">
        <v>850</v>
      </c>
    </row>
    <row r="35" spans="1:9" s="1337" customFormat="1" ht="15.2" customHeight="1">
      <c r="A35" s="482" t="s">
        <v>841</v>
      </c>
      <c r="B35" s="1322">
        <v>6375</v>
      </c>
      <c r="C35" s="1322">
        <v>15100</v>
      </c>
      <c r="D35" s="1323" t="s">
        <v>505</v>
      </c>
      <c r="E35" s="1336" t="s">
        <v>505</v>
      </c>
      <c r="F35" s="1332">
        <v>140.85</v>
      </c>
      <c r="G35" s="1322" t="s">
        <v>505</v>
      </c>
      <c r="H35" s="1322" t="s">
        <v>505</v>
      </c>
      <c r="I35" s="1369" t="s">
        <v>841</v>
      </c>
    </row>
    <row r="36" spans="1:9" s="1337" customFormat="1" ht="15.2" customHeight="1">
      <c r="A36" s="365" t="s">
        <v>843</v>
      </c>
      <c r="B36" s="1325">
        <v>6375</v>
      </c>
      <c r="C36" s="1325">
        <v>15100</v>
      </c>
      <c r="D36" s="1326" t="s">
        <v>505</v>
      </c>
      <c r="E36" s="1334" t="s">
        <v>505</v>
      </c>
      <c r="F36" s="1333">
        <v>179.7</v>
      </c>
      <c r="G36" s="1325" t="s">
        <v>505</v>
      </c>
      <c r="H36" s="1325" t="s">
        <v>505</v>
      </c>
      <c r="I36" s="1387" t="s">
        <v>843</v>
      </c>
    </row>
    <row r="37" spans="1:9" s="1340" customFormat="1" ht="15.2" customHeight="1">
      <c r="A37" s="482" t="s">
        <v>844</v>
      </c>
      <c r="B37" s="1322">
        <v>6375</v>
      </c>
      <c r="C37" s="1322">
        <v>15100</v>
      </c>
      <c r="D37" s="1323" t="s">
        <v>505</v>
      </c>
      <c r="E37" s="1336" t="s">
        <v>505</v>
      </c>
      <c r="F37" s="1332">
        <v>180.4</v>
      </c>
      <c r="G37" s="1322" t="s">
        <v>505</v>
      </c>
      <c r="H37" s="1322" t="s">
        <v>505</v>
      </c>
      <c r="I37" s="1369" t="s">
        <v>844</v>
      </c>
    </row>
    <row r="38" spans="1:9" s="1340" customFormat="1" ht="15.2" customHeight="1">
      <c r="A38" s="365" t="s">
        <v>838</v>
      </c>
      <c r="B38" s="1325">
        <v>6375</v>
      </c>
      <c r="C38" s="1325">
        <v>15100</v>
      </c>
      <c r="D38" s="1326" t="s">
        <v>505</v>
      </c>
      <c r="E38" s="1334" t="s">
        <v>505</v>
      </c>
      <c r="F38" s="1333">
        <v>184.89</v>
      </c>
      <c r="G38" s="1325" t="s">
        <v>505</v>
      </c>
      <c r="H38" s="1325" t="s">
        <v>505</v>
      </c>
      <c r="I38" s="1387" t="s">
        <v>838</v>
      </c>
    </row>
    <row r="39" spans="1:9" s="1340" customFormat="1" ht="12" customHeight="1" thickBot="1">
      <c r="A39" s="1674" t="s">
        <v>845</v>
      </c>
      <c r="B39" s="1675">
        <v>6375</v>
      </c>
      <c r="C39" s="1675">
        <v>15100</v>
      </c>
      <c r="D39" s="1676" t="s">
        <v>505</v>
      </c>
      <c r="E39" s="1677" t="s">
        <v>505</v>
      </c>
      <c r="F39" s="1678">
        <v>182.89</v>
      </c>
      <c r="G39" s="1675" t="s">
        <v>505</v>
      </c>
      <c r="H39" s="1675" t="s">
        <v>505</v>
      </c>
      <c r="I39" s="1679" t="s">
        <v>845</v>
      </c>
    </row>
    <row r="40" spans="1:9" s="1340" customFormat="1" ht="12" customHeight="1">
      <c r="A40" s="1338" t="s">
        <v>2416</v>
      </c>
      <c r="B40" s="67" t="s">
        <v>2193</v>
      </c>
      <c r="C40" s="2035"/>
      <c r="D40" s="2035"/>
      <c r="F40" s="2035" t="s">
        <v>2194</v>
      </c>
      <c r="G40" s="2035"/>
      <c r="H40" s="1339"/>
      <c r="I40" s="1339"/>
    </row>
    <row r="41" spans="1:9" s="1340" customFormat="1" ht="12" customHeight="1">
      <c r="A41" s="1341"/>
      <c r="B41" s="1342" t="s">
        <v>2402</v>
      </c>
      <c r="C41" s="2035"/>
      <c r="D41" s="2035"/>
      <c r="E41" s="2035"/>
      <c r="F41" s="2035" t="s">
        <v>2195</v>
      </c>
      <c r="G41" s="2035"/>
      <c r="H41" s="1339"/>
      <c r="I41" s="1339"/>
    </row>
    <row r="42" spans="1:9" s="1340" customFormat="1" ht="11.25" customHeight="1">
      <c r="C42" s="1342"/>
      <c r="D42" s="1339"/>
      <c r="F42" s="1664" t="s">
        <v>2196</v>
      </c>
      <c r="G42" s="1339"/>
      <c r="H42" s="1339"/>
      <c r="I42" s="1339"/>
    </row>
    <row r="43" spans="1:9" ht="12.75" customHeight="1">
      <c r="A43" s="1340"/>
      <c r="B43" s="1343"/>
      <c r="C43" s="1340"/>
      <c r="D43" s="1340"/>
      <c r="E43" s="1340"/>
      <c r="F43" s="1340"/>
      <c r="G43" s="1340"/>
      <c r="H43" s="1340"/>
      <c r="I43" s="1340"/>
    </row>
    <row r="44" spans="1:9" ht="12" customHeight="1"/>
    <row r="45" spans="1:9" ht="11.25" customHeight="1"/>
    <row r="46" spans="1:9" ht="12" customHeight="1"/>
    <row r="47" spans="1:9" ht="12.6" customHeight="1"/>
    <row r="48" spans="1:9" ht="12" customHeight="1"/>
  </sheetData>
  <mergeCells count="18">
    <mergeCell ref="I2:I5"/>
    <mergeCell ref="C40:D40"/>
    <mergeCell ref="C41:E41"/>
    <mergeCell ref="F40:G40"/>
    <mergeCell ref="F41:G41"/>
    <mergeCell ref="F1:G1"/>
    <mergeCell ref="A1:E1"/>
    <mergeCell ref="C3:C5"/>
    <mergeCell ref="D3:D5"/>
    <mergeCell ref="E3:E5"/>
    <mergeCell ref="B2:C2"/>
    <mergeCell ref="D2:E2"/>
    <mergeCell ref="F2:F5"/>
    <mergeCell ref="G2:H2"/>
    <mergeCell ref="A2:A5"/>
    <mergeCell ref="B3:B5"/>
    <mergeCell ref="H3:H5"/>
    <mergeCell ref="G3:G5"/>
  </mergeCells>
  <phoneticPr fontId="0" type="noConversion"/>
  <pageMargins left="0.62992125984252001" right="0.511811023622047" top="0.511811023622047" bottom="0.511811023622047" header="0" footer="0.39370078740157499"/>
  <pageSetup paperSize="141" firstPageNumber="44" orientation="portrait" useFirstPageNumber="1" r:id="rId1"/>
  <headerFooter alignWithMargins="0">
    <oddFooter>&amp;C&amp;"Times New Roman,Regular"&amp;8&amp;P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20"/>
  <dimension ref="A1:AA79"/>
  <sheetViews>
    <sheetView zoomScale="180" zoomScaleNormal="180" workbookViewId="0">
      <pane xSplit="1" ySplit="4" topLeftCell="G53" activePane="bottomRight" state="frozen"/>
      <selection pane="topRight" activeCell="B1" sqref="B1"/>
      <selection pane="bottomLeft" activeCell="A5" sqref="A5"/>
      <selection pane="bottomRight" activeCell="Q65" sqref="Q65"/>
    </sheetView>
  </sheetViews>
  <sheetFormatPr defaultColWidth="9.140625" defaultRowHeight="12.75"/>
  <cols>
    <col min="1" max="1" width="7.85546875" style="2" customWidth="1"/>
    <col min="2" max="2" width="7.7109375" style="2" customWidth="1"/>
    <col min="3" max="3" width="6.7109375" style="2" customWidth="1"/>
    <col min="4" max="4" width="6.42578125" style="2" customWidth="1"/>
    <col min="5" max="5" width="6.7109375" style="2" customWidth="1"/>
    <col min="6" max="6" width="7.28515625" style="2" customWidth="1"/>
    <col min="7" max="7" width="7" style="2" customWidth="1"/>
    <col min="8" max="8" width="7.28515625" style="2" customWidth="1"/>
    <col min="9" max="9" width="6.7109375" style="2" customWidth="1"/>
    <col min="10" max="10" width="8.7109375" style="2" customWidth="1"/>
    <col min="11" max="11" width="6.28515625" style="2" customWidth="1"/>
    <col min="12" max="12" width="7.7109375" style="2" customWidth="1"/>
    <col min="13" max="13" width="7" style="2" customWidth="1"/>
    <col min="14" max="14" width="6.28515625" style="2" customWidth="1"/>
    <col min="15" max="15" width="6.5703125" style="2" customWidth="1"/>
    <col min="16" max="16" width="7.140625" style="2" customWidth="1"/>
    <col min="17" max="17" width="7.28515625" style="2" customWidth="1"/>
    <col min="18" max="18" width="7.42578125" style="2" customWidth="1"/>
    <col min="19" max="19" width="7.140625" style="2" customWidth="1"/>
    <col min="20" max="20" width="6.5703125" style="2" customWidth="1"/>
    <col min="21" max="21" width="6.85546875" style="2" customWidth="1"/>
    <col min="22" max="22" width="7.140625" style="2" customWidth="1"/>
    <col min="23" max="23" width="9.140625" style="2"/>
    <col min="24" max="24" width="15.85546875" style="2" bestFit="1" customWidth="1"/>
    <col min="25" max="16384" width="9.140625" style="2"/>
  </cols>
  <sheetData>
    <row r="1" spans="1:24" s="32" customFormat="1" ht="17.25" customHeight="1">
      <c r="A1" s="1994" t="s">
        <v>37</v>
      </c>
      <c r="B1" s="1994"/>
      <c r="C1" s="1994"/>
      <c r="D1" s="1994"/>
      <c r="E1" s="1994"/>
      <c r="F1" s="1994"/>
      <c r="G1" s="1994"/>
      <c r="H1" s="1994"/>
      <c r="I1" s="1994"/>
      <c r="J1" s="1994"/>
      <c r="K1" s="1994"/>
      <c r="L1" s="2017" t="s">
        <v>553</v>
      </c>
      <c r="M1" s="2017"/>
      <c r="N1" s="2017"/>
      <c r="O1" s="2017"/>
      <c r="P1" s="2017"/>
      <c r="Q1" s="2017"/>
      <c r="R1" s="2017"/>
      <c r="S1" s="2017"/>
      <c r="T1" s="2017"/>
      <c r="U1" s="1995" t="s">
        <v>1850</v>
      </c>
      <c r="V1" s="1995"/>
      <c r="W1" s="72"/>
    </row>
    <row r="2" spans="1:24" s="29" customFormat="1" ht="12.75" customHeight="1">
      <c r="A2" s="15"/>
      <c r="B2" s="15"/>
      <c r="C2" s="15"/>
      <c r="D2" s="15"/>
      <c r="E2" s="15"/>
      <c r="F2" s="15"/>
      <c r="G2" s="15"/>
      <c r="I2" s="15"/>
      <c r="L2" s="15"/>
      <c r="M2" s="15"/>
      <c r="N2" s="15"/>
      <c r="O2" s="15"/>
      <c r="P2" s="15"/>
      <c r="Q2" s="15"/>
      <c r="R2" s="15"/>
      <c r="T2" s="128"/>
      <c r="U2" s="2013" t="s">
        <v>489</v>
      </c>
      <c r="V2" s="2013"/>
      <c r="W2" s="128"/>
    </row>
    <row r="3" spans="1:24" s="123" customFormat="1" ht="71.25" customHeight="1">
      <c r="A3" s="1997" t="s">
        <v>764</v>
      </c>
      <c r="B3" s="1126" t="s">
        <v>2233</v>
      </c>
      <c r="C3" s="27" t="s">
        <v>787</v>
      </c>
      <c r="D3" s="1126" t="s">
        <v>2225</v>
      </c>
      <c r="E3" s="27" t="s">
        <v>469</v>
      </c>
      <c r="F3" s="27" t="s">
        <v>208</v>
      </c>
      <c r="G3" s="27" t="s">
        <v>470</v>
      </c>
      <c r="H3" s="1126" t="s">
        <v>2226</v>
      </c>
      <c r="I3" s="1126" t="s">
        <v>2227</v>
      </c>
      <c r="J3" s="1126" t="s">
        <v>2228</v>
      </c>
      <c r="K3" s="27" t="s">
        <v>471</v>
      </c>
      <c r="L3" s="1126" t="s">
        <v>2229</v>
      </c>
      <c r="M3" s="1126" t="s">
        <v>2230</v>
      </c>
      <c r="N3" s="27" t="s">
        <v>472</v>
      </c>
      <c r="O3" s="1126" t="s">
        <v>2231</v>
      </c>
      <c r="P3" s="1126" t="s">
        <v>2232</v>
      </c>
      <c r="Q3" s="27" t="s">
        <v>976</v>
      </c>
      <c r="R3" s="27" t="s">
        <v>467</v>
      </c>
      <c r="S3" s="27" t="s">
        <v>977</v>
      </c>
      <c r="T3" s="27" t="s">
        <v>468</v>
      </c>
      <c r="U3" s="126" t="s">
        <v>978</v>
      </c>
      <c r="V3" s="1979" t="s">
        <v>764</v>
      </c>
      <c r="W3" s="129"/>
      <c r="X3" s="129"/>
    </row>
    <row r="4" spans="1:24" s="133" customFormat="1">
      <c r="A4" s="1999"/>
      <c r="B4" s="130">
        <v>1</v>
      </c>
      <c r="C4" s="130">
        <v>2</v>
      </c>
      <c r="D4" s="130">
        <v>3</v>
      </c>
      <c r="E4" s="130">
        <v>4</v>
      </c>
      <c r="F4" s="130">
        <v>5</v>
      </c>
      <c r="G4" s="130">
        <v>6</v>
      </c>
      <c r="H4" s="130">
        <v>7</v>
      </c>
      <c r="I4" s="130">
        <v>8</v>
      </c>
      <c r="J4" s="130">
        <v>9</v>
      </c>
      <c r="K4" s="130">
        <v>10</v>
      </c>
      <c r="L4" s="130">
        <v>11</v>
      </c>
      <c r="M4" s="130">
        <v>12</v>
      </c>
      <c r="N4" s="130">
        <v>13</v>
      </c>
      <c r="O4" s="130">
        <v>14</v>
      </c>
      <c r="P4" s="130">
        <v>15</v>
      </c>
      <c r="Q4" s="130">
        <v>16</v>
      </c>
      <c r="R4" s="130">
        <v>17</v>
      </c>
      <c r="S4" s="130">
        <v>18</v>
      </c>
      <c r="T4" s="130">
        <v>19</v>
      </c>
      <c r="U4" s="130">
        <v>20</v>
      </c>
      <c r="V4" s="1973"/>
      <c r="W4" s="131"/>
      <c r="X4" s="132"/>
    </row>
    <row r="5" spans="1:24" ht="9.75" customHeight="1">
      <c r="A5" s="7" t="s">
        <v>832</v>
      </c>
      <c r="B5" s="731">
        <v>44692</v>
      </c>
      <c r="C5" s="731">
        <v>13674</v>
      </c>
      <c r="D5" s="731">
        <v>2311</v>
      </c>
      <c r="E5" s="731">
        <v>34837</v>
      </c>
      <c r="F5" s="731">
        <v>3072</v>
      </c>
      <c r="G5" s="731">
        <v>17622</v>
      </c>
      <c r="H5" s="731">
        <v>29204</v>
      </c>
      <c r="I5" s="731">
        <v>1463</v>
      </c>
      <c r="J5" s="731">
        <v>19743</v>
      </c>
      <c r="K5" s="731">
        <v>3648</v>
      </c>
      <c r="L5" s="731">
        <v>21139</v>
      </c>
      <c r="M5" s="731">
        <v>6234</v>
      </c>
      <c r="N5" s="731">
        <v>5386</v>
      </c>
      <c r="O5" s="731">
        <v>5376</v>
      </c>
      <c r="P5" s="731">
        <v>20360</v>
      </c>
      <c r="Q5" s="731">
        <f>SUM(B5:P5)</f>
        <v>228761</v>
      </c>
      <c r="R5" s="731">
        <v>8325</v>
      </c>
      <c r="S5" s="731">
        <v>237086</v>
      </c>
      <c r="T5" s="731">
        <v>8713</v>
      </c>
      <c r="U5" s="731">
        <f>S5+T5</f>
        <v>245799</v>
      </c>
      <c r="V5" s="50" t="s">
        <v>832</v>
      </c>
    </row>
    <row r="6" spans="1:24" ht="9.75" customHeight="1">
      <c r="A6" s="451"/>
      <c r="B6" s="485">
        <f t="shared" ref="B6:S6" si="0">(B5/$S5)*100</f>
        <v>18.850543684570155</v>
      </c>
      <c r="C6" s="485">
        <f t="shared" si="0"/>
        <v>5.7675273951224453</v>
      </c>
      <c r="D6" s="485">
        <f t="shared" si="0"/>
        <v>0.97475177783589073</v>
      </c>
      <c r="E6" s="485">
        <f t="shared" si="0"/>
        <v>14.693824181942416</v>
      </c>
      <c r="F6" s="485">
        <f t="shared" si="0"/>
        <v>1.295732350286394</v>
      </c>
      <c r="G6" s="485">
        <f t="shared" si="0"/>
        <v>7.4327459234201934</v>
      </c>
      <c r="H6" s="485">
        <f t="shared" si="0"/>
        <v>12.317893085209587</v>
      </c>
      <c r="I6" s="485">
        <f t="shared" si="0"/>
        <v>0.61707566030891747</v>
      </c>
      <c r="J6" s="485">
        <f t="shared" si="0"/>
        <v>8.3273580051120693</v>
      </c>
      <c r="K6" s="485">
        <f t="shared" si="0"/>
        <v>1.5386821659650929</v>
      </c>
      <c r="L6" s="485">
        <f t="shared" si="0"/>
        <v>8.9161738778333604</v>
      </c>
      <c r="M6" s="485">
        <f t="shared" si="0"/>
        <v>2.6294256092725847</v>
      </c>
      <c r="N6" s="485">
        <f t="shared" si="0"/>
        <v>2.2717494917456111</v>
      </c>
      <c r="O6" s="485">
        <f t="shared" si="0"/>
        <v>2.2675316130011893</v>
      </c>
      <c r="P6" s="485">
        <f t="shared" si="0"/>
        <v>8.587601123642898</v>
      </c>
      <c r="Q6" s="485">
        <f t="shared" si="0"/>
        <v>96.488615945268805</v>
      </c>
      <c r="R6" s="485">
        <f t="shared" si="0"/>
        <v>3.5113840547311947</v>
      </c>
      <c r="S6" s="485">
        <f t="shared" si="0"/>
        <v>100</v>
      </c>
      <c r="T6" s="484"/>
      <c r="U6" s="484"/>
      <c r="V6" s="452"/>
    </row>
    <row r="7" spans="1:24" ht="9.75" customHeight="1">
      <c r="A7" s="22" t="s">
        <v>833</v>
      </c>
      <c r="B7" s="731">
        <v>45631</v>
      </c>
      <c r="C7" s="731">
        <v>13406</v>
      </c>
      <c r="D7" s="731">
        <v>2640</v>
      </c>
      <c r="E7" s="731">
        <v>38234</v>
      </c>
      <c r="F7" s="731">
        <v>3346</v>
      </c>
      <c r="G7" s="731">
        <v>19334</v>
      </c>
      <c r="H7" s="731">
        <v>32479</v>
      </c>
      <c r="I7" s="731">
        <v>1590</v>
      </c>
      <c r="J7" s="731">
        <v>22129</v>
      </c>
      <c r="K7" s="731">
        <v>3911</v>
      </c>
      <c r="L7" s="731">
        <v>22365</v>
      </c>
      <c r="M7" s="731">
        <v>6695</v>
      </c>
      <c r="N7" s="731">
        <v>5852</v>
      </c>
      <c r="O7" s="731">
        <v>5722</v>
      </c>
      <c r="P7" s="731">
        <v>21665</v>
      </c>
      <c r="Q7" s="731">
        <f>SUM(B7:P7)</f>
        <v>244999</v>
      </c>
      <c r="R7" s="731">
        <v>8547</v>
      </c>
      <c r="S7" s="731">
        <v>253546</v>
      </c>
      <c r="T7" s="731">
        <v>8841</v>
      </c>
      <c r="U7" s="731">
        <f>S7+T7</f>
        <v>262387</v>
      </c>
      <c r="V7" s="59" t="s">
        <v>833</v>
      </c>
    </row>
    <row r="8" spans="1:24" ht="9.75" customHeight="1">
      <c r="A8" s="451"/>
      <c r="B8" s="485">
        <f t="shared" ref="B8:S8" si="1">(B7/$S7)*100</f>
        <v>17.997128726148311</v>
      </c>
      <c r="C8" s="485">
        <f t="shared" si="1"/>
        <v>5.2874034691929666</v>
      </c>
      <c r="D8" s="485">
        <f t="shared" si="1"/>
        <v>1.0412311769856357</v>
      </c>
      <c r="E8" s="485">
        <f t="shared" si="1"/>
        <v>15.079709401844241</v>
      </c>
      <c r="F8" s="485">
        <f t="shared" si="1"/>
        <v>1.3196816356795216</v>
      </c>
      <c r="G8" s="485">
        <f t="shared" si="1"/>
        <v>7.6254407484243485</v>
      </c>
      <c r="H8" s="485">
        <f t="shared" si="1"/>
        <v>12.809904317165326</v>
      </c>
      <c r="I8" s="485">
        <f t="shared" si="1"/>
        <v>0.6271051406845306</v>
      </c>
      <c r="J8" s="485">
        <f t="shared" si="1"/>
        <v>8.7278048164830047</v>
      </c>
      <c r="K8" s="485">
        <f t="shared" si="1"/>
        <v>1.542520883784402</v>
      </c>
      <c r="L8" s="485">
        <f t="shared" si="1"/>
        <v>8.8208845732135384</v>
      </c>
      <c r="M8" s="485">
        <f t="shared" si="1"/>
        <v>2.6405464886056178</v>
      </c>
      <c r="N8" s="485">
        <f t="shared" si="1"/>
        <v>2.308062442318159</v>
      </c>
      <c r="O8" s="485">
        <f t="shared" si="1"/>
        <v>2.2567896949665935</v>
      </c>
      <c r="P8" s="485">
        <f t="shared" si="1"/>
        <v>8.5448005490128036</v>
      </c>
      <c r="Q8" s="485">
        <f t="shared" si="1"/>
        <v>96.629014064508993</v>
      </c>
      <c r="R8" s="485">
        <f t="shared" si="1"/>
        <v>3.3709859354909959</v>
      </c>
      <c r="S8" s="485">
        <f t="shared" si="1"/>
        <v>100</v>
      </c>
      <c r="T8" s="484"/>
      <c r="U8" s="484"/>
      <c r="V8" s="452"/>
    </row>
    <row r="9" spans="1:24" ht="9.75" customHeight="1">
      <c r="A9" s="22" t="s">
        <v>834</v>
      </c>
      <c r="B9" s="731">
        <v>46003</v>
      </c>
      <c r="C9" s="731">
        <v>13897</v>
      </c>
      <c r="D9" s="731">
        <v>2997</v>
      </c>
      <c r="E9" s="731">
        <v>41805</v>
      </c>
      <c r="F9" s="731">
        <v>3640</v>
      </c>
      <c r="G9" s="731">
        <v>21159</v>
      </c>
      <c r="H9" s="731">
        <v>35312</v>
      </c>
      <c r="I9" s="731">
        <v>1740</v>
      </c>
      <c r="J9" s="731">
        <v>25524</v>
      </c>
      <c r="K9" s="731">
        <v>4207</v>
      </c>
      <c r="L9" s="731">
        <v>23995</v>
      </c>
      <c r="M9" s="731">
        <v>7117</v>
      </c>
      <c r="N9" s="731">
        <v>6352</v>
      </c>
      <c r="O9" s="731">
        <v>6079</v>
      </c>
      <c r="P9" s="731">
        <v>23698</v>
      </c>
      <c r="Q9" s="731">
        <f>SUM(B9:P9)</f>
        <v>263525</v>
      </c>
      <c r="R9" s="731">
        <v>9676</v>
      </c>
      <c r="S9" s="731">
        <v>273201</v>
      </c>
      <c r="T9" s="731">
        <v>12543</v>
      </c>
      <c r="U9" s="731">
        <f>S9+T9</f>
        <v>285744</v>
      </c>
      <c r="V9" s="59" t="s">
        <v>834</v>
      </c>
    </row>
    <row r="10" spans="1:24" ht="9.75" customHeight="1">
      <c r="A10" s="451"/>
      <c r="B10" s="485">
        <f t="shared" ref="B10:S10" si="2">(B9/$S9)*100</f>
        <v>16.838518160621664</v>
      </c>
      <c r="C10" s="485">
        <f t="shared" si="2"/>
        <v>5.0867310148937959</v>
      </c>
      <c r="D10" s="485">
        <f t="shared" si="2"/>
        <v>1.0969945205178604</v>
      </c>
      <c r="E10" s="485">
        <f t="shared" si="2"/>
        <v>15.301920563980367</v>
      </c>
      <c r="F10" s="485">
        <f t="shared" si="2"/>
        <v>1.3323523705989362</v>
      </c>
      <c r="G10" s="485">
        <f t="shared" si="2"/>
        <v>7.7448472004128828</v>
      </c>
      <c r="H10" s="485">
        <f t="shared" si="2"/>
        <v>12.925282118293858</v>
      </c>
      <c r="I10" s="485">
        <f t="shared" si="2"/>
        <v>0.63689371561597508</v>
      </c>
      <c r="J10" s="485">
        <f t="shared" si="2"/>
        <v>9.3425719525184743</v>
      </c>
      <c r="K10" s="485">
        <f t="shared" si="2"/>
        <v>1.5398918744806938</v>
      </c>
      <c r="L10" s="485">
        <f t="shared" si="2"/>
        <v>8.7829107506927127</v>
      </c>
      <c r="M10" s="485">
        <f t="shared" si="2"/>
        <v>2.6050417092177551</v>
      </c>
      <c r="N10" s="485">
        <f t="shared" si="2"/>
        <v>2.3250280928693527</v>
      </c>
      <c r="O10" s="485">
        <f t="shared" si="2"/>
        <v>2.2251016650744324</v>
      </c>
      <c r="P10" s="485">
        <f t="shared" si="2"/>
        <v>8.6741995819927453</v>
      </c>
      <c r="Q10" s="485">
        <f t="shared" si="2"/>
        <v>96.458285291781507</v>
      </c>
      <c r="R10" s="485">
        <f t="shared" si="2"/>
        <v>3.5417147082184917</v>
      </c>
      <c r="S10" s="485">
        <f t="shared" si="2"/>
        <v>100</v>
      </c>
      <c r="T10" s="484"/>
      <c r="U10" s="484"/>
      <c r="V10" s="452"/>
    </row>
    <row r="11" spans="1:24" ht="9.75" customHeight="1">
      <c r="A11" s="22" t="s">
        <v>835</v>
      </c>
      <c r="B11" s="731">
        <v>48798</v>
      </c>
      <c r="C11" s="731">
        <v>14259</v>
      </c>
      <c r="D11" s="731">
        <v>3309</v>
      </c>
      <c r="E11" s="731">
        <v>45813</v>
      </c>
      <c r="F11" s="731">
        <v>3989</v>
      </c>
      <c r="G11" s="731">
        <v>23016</v>
      </c>
      <c r="H11" s="731">
        <v>39103</v>
      </c>
      <c r="I11" s="731">
        <v>1944</v>
      </c>
      <c r="J11" s="731">
        <v>31112</v>
      </c>
      <c r="K11" s="731">
        <v>4718</v>
      </c>
      <c r="L11" s="731">
        <v>25678</v>
      </c>
      <c r="M11" s="731">
        <v>7783</v>
      </c>
      <c r="N11" s="731">
        <v>7064</v>
      </c>
      <c r="O11" s="731">
        <v>6602</v>
      </c>
      <c r="P11" s="731">
        <v>26685</v>
      </c>
      <c r="Q11" s="731">
        <f>SUM(B11:P11)</f>
        <v>289873</v>
      </c>
      <c r="R11" s="731">
        <v>10707</v>
      </c>
      <c r="S11" s="731">
        <v>300580</v>
      </c>
      <c r="T11" s="731">
        <v>16583</v>
      </c>
      <c r="U11" s="731">
        <f>S11+T11</f>
        <v>317163</v>
      </c>
      <c r="V11" s="59" t="s">
        <v>835</v>
      </c>
    </row>
    <row r="12" spans="1:24" ht="9.75" customHeight="1">
      <c r="A12" s="451"/>
      <c r="B12" s="485">
        <f t="shared" ref="B12:S12" si="3">(B11/$S11)*100</f>
        <v>16.234613081376008</v>
      </c>
      <c r="C12" s="485">
        <f t="shared" si="3"/>
        <v>4.7438285980437822</v>
      </c>
      <c r="D12" s="485">
        <f t="shared" si="3"/>
        <v>1.1008716481469161</v>
      </c>
      <c r="E12" s="485">
        <f t="shared" si="3"/>
        <v>15.241533036130148</v>
      </c>
      <c r="F12" s="485">
        <f t="shared" si="3"/>
        <v>1.3271009381861734</v>
      </c>
      <c r="G12" s="485">
        <f t="shared" si="3"/>
        <v>7.657196087564043</v>
      </c>
      <c r="H12" s="485">
        <f t="shared" si="3"/>
        <v>13.009182247654536</v>
      </c>
      <c r="I12" s="485">
        <f t="shared" si="3"/>
        <v>0.64674961740634773</v>
      </c>
      <c r="J12" s="485">
        <f t="shared" si="3"/>
        <v>10.350655399560848</v>
      </c>
      <c r="K12" s="485">
        <f t="shared" si="3"/>
        <v>1.5696320447135537</v>
      </c>
      <c r="L12" s="485">
        <f t="shared" si="3"/>
        <v>8.5428172200412522</v>
      </c>
      <c r="M12" s="485">
        <f t="shared" si="3"/>
        <v>2.5893273005522657</v>
      </c>
      <c r="N12" s="485">
        <f t="shared" si="3"/>
        <v>2.3501230953489922</v>
      </c>
      <c r="O12" s="485">
        <f t="shared" si="3"/>
        <v>2.1964202541752611</v>
      </c>
      <c r="P12" s="485">
        <f t="shared" si="3"/>
        <v>8.8778361833788004</v>
      </c>
      <c r="Q12" s="485">
        <f t="shared" si="3"/>
        <v>96.437886752278928</v>
      </c>
      <c r="R12" s="485">
        <f t="shared" si="3"/>
        <v>3.5621132477210731</v>
      </c>
      <c r="S12" s="485">
        <f t="shared" si="3"/>
        <v>100</v>
      </c>
      <c r="T12" s="484"/>
      <c r="U12" s="484"/>
      <c r="V12" s="452"/>
    </row>
    <row r="13" spans="1:24" ht="9.75" customHeight="1">
      <c r="A13" s="22" t="s">
        <v>836</v>
      </c>
      <c r="B13" s="731">
        <v>52419</v>
      </c>
      <c r="C13" s="731">
        <v>14783</v>
      </c>
      <c r="D13" s="731">
        <v>3644</v>
      </c>
      <c r="E13" s="731">
        <v>51527</v>
      </c>
      <c r="F13" s="731">
        <v>4425</v>
      </c>
      <c r="G13" s="731">
        <v>25397</v>
      </c>
      <c r="H13" s="731">
        <v>44103</v>
      </c>
      <c r="I13" s="731">
        <v>2202</v>
      </c>
      <c r="J13" s="731">
        <v>34444</v>
      </c>
      <c r="K13" s="731">
        <v>5197</v>
      </c>
      <c r="L13" s="731">
        <v>27601</v>
      </c>
      <c r="M13" s="731">
        <v>8624</v>
      </c>
      <c r="N13" s="731">
        <v>7873</v>
      </c>
      <c r="O13" s="731">
        <v>7197</v>
      </c>
      <c r="P13" s="731">
        <v>30028</v>
      </c>
      <c r="Q13" s="731">
        <f>SUM(B13:P13)</f>
        <v>319464</v>
      </c>
      <c r="R13" s="731">
        <v>13510</v>
      </c>
      <c r="S13" s="731">
        <v>332973</v>
      </c>
      <c r="T13" s="731">
        <v>17553</v>
      </c>
      <c r="U13" s="731">
        <f>S13+T13</f>
        <v>350526</v>
      </c>
      <c r="V13" s="59" t="s">
        <v>836</v>
      </c>
    </row>
    <row r="14" spans="1:24" ht="9.75" customHeight="1">
      <c r="A14" s="451"/>
      <c r="B14" s="485">
        <f t="shared" ref="B14:S14" si="4">(B13/$S13)*100</f>
        <v>15.742717878026147</v>
      </c>
      <c r="C14" s="485">
        <f t="shared" si="4"/>
        <v>4.439699314959471</v>
      </c>
      <c r="D14" s="485">
        <f t="shared" si="4"/>
        <v>1.0943830280533255</v>
      </c>
      <c r="E14" s="485">
        <f t="shared" si="4"/>
        <v>15.47482828938082</v>
      </c>
      <c r="F14" s="485">
        <f t="shared" si="4"/>
        <v>1.3289365804434594</v>
      </c>
      <c r="G14" s="485">
        <f t="shared" si="4"/>
        <v>7.6273451601180877</v>
      </c>
      <c r="H14" s="485">
        <f t="shared" si="4"/>
        <v>13.245218080745286</v>
      </c>
      <c r="I14" s="485">
        <f t="shared" si="4"/>
        <v>0.66131488138677907</v>
      </c>
      <c r="J14" s="485">
        <f t="shared" si="4"/>
        <v>10.344382277241698</v>
      </c>
      <c r="K14" s="485">
        <f t="shared" si="4"/>
        <v>1.560787210975064</v>
      </c>
      <c r="L14" s="485">
        <f t="shared" si="4"/>
        <v>8.2892606908067616</v>
      </c>
      <c r="M14" s="485">
        <f t="shared" si="4"/>
        <v>2.5899997897727443</v>
      </c>
      <c r="N14" s="485">
        <f t="shared" si="4"/>
        <v>2.3644559769110409</v>
      </c>
      <c r="O14" s="485">
        <f t="shared" si="4"/>
        <v>2.1614365128704129</v>
      </c>
      <c r="P14" s="485">
        <f t="shared" si="4"/>
        <v>9.0181486186567685</v>
      </c>
      <c r="Q14" s="485">
        <f t="shared" si="4"/>
        <v>95.942914290347872</v>
      </c>
      <c r="R14" s="485">
        <f t="shared" si="4"/>
        <v>4.0573860343030814</v>
      </c>
      <c r="S14" s="485">
        <f t="shared" si="4"/>
        <v>100</v>
      </c>
      <c r="T14" s="484"/>
      <c r="U14" s="484"/>
      <c r="V14" s="452"/>
    </row>
    <row r="15" spans="1:24" ht="9.75" customHeight="1">
      <c r="A15" s="7" t="s">
        <v>837</v>
      </c>
      <c r="B15" s="731">
        <v>56167</v>
      </c>
      <c r="C15" s="731">
        <v>15456</v>
      </c>
      <c r="D15" s="731">
        <v>4041</v>
      </c>
      <c r="E15" s="731">
        <v>58795</v>
      </c>
      <c r="F15" s="731">
        <v>4909</v>
      </c>
      <c r="G15" s="731">
        <v>29061</v>
      </c>
      <c r="H15" s="731">
        <v>50278</v>
      </c>
      <c r="I15" s="731">
        <v>2512</v>
      </c>
      <c r="J15" s="731">
        <v>38289</v>
      </c>
      <c r="K15" s="731">
        <v>5934</v>
      </c>
      <c r="L15" s="731">
        <v>29744</v>
      </c>
      <c r="M15" s="731">
        <v>9638</v>
      </c>
      <c r="N15" s="731">
        <v>8788</v>
      </c>
      <c r="O15" s="731">
        <v>8104</v>
      </c>
      <c r="P15" s="731">
        <v>33876</v>
      </c>
      <c r="Q15" s="731">
        <f>SUM(B15:P15)</f>
        <v>355592</v>
      </c>
      <c r="R15" s="731">
        <v>15113</v>
      </c>
      <c r="S15" s="731">
        <v>370707</v>
      </c>
      <c r="T15" s="731">
        <v>18928</v>
      </c>
      <c r="U15" s="731">
        <f>S15+T15</f>
        <v>389635</v>
      </c>
      <c r="V15" s="50" t="s">
        <v>837</v>
      </c>
    </row>
    <row r="16" spans="1:24" ht="9.75" customHeight="1">
      <c r="A16" s="451"/>
      <c r="B16" s="485">
        <f t="shared" ref="B16:S16" si="5">(B15/$S15)*100</f>
        <v>15.15131896619163</v>
      </c>
      <c r="C16" s="485">
        <f t="shared" si="5"/>
        <v>4.1693304955126287</v>
      </c>
      <c r="D16" s="485">
        <f t="shared" si="5"/>
        <v>1.0900792269905881</v>
      </c>
      <c r="E16" s="485">
        <f t="shared" si="5"/>
        <v>15.860234632742301</v>
      </c>
      <c r="F16" s="485">
        <f t="shared" si="5"/>
        <v>1.3242264106153918</v>
      </c>
      <c r="G16" s="485">
        <f t="shared" si="5"/>
        <v>7.8393448194935624</v>
      </c>
      <c r="H16" s="485">
        <f t="shared" si="5"/>
        <v>13.56273283212888</v>
      </c>
      <c r="I16" s="485">
        <f t="shared" si="5"/>
        <v>0.67762410744873991</v>
      </c>
      <c r="J16" s="485">
        <f t="shared" si="5"/>
        <v>10.328642297016243</v>
      </c>
      <c r="K16" s="485">
        <f t="shared" si="5"/>
        <v>1.6007251009557415</v>
      </c>
      <c r="L16" s="485">
        <f t="shared" si="5"/>
        <v>8.0235873614471807</v>
      </c>
      <c r="M16" s="485">
        <f t="shared" si="5"/>
        <v>2.5998969536588192</v>
      </c>
      <c r="N16" s="485">
        <f t="shared" si="5"/>
        <v>2.3706053567912124</v>
      </c>
      <c r="O16" s="485">
        <f t="shared" si="5"/>
        <v>2.1860930600177499</v>
      </c>
      <c r="P16" s="485">
        <f t="shared" si="5"/>
        <v>9.1382142770435948</v>
      </c>
      <c r="Q16" s="485">
        <f t="shared" si="5"/>
        <v>95.922655898054259</v>
      </c>
      <c r="R16" s="485">
        <f t="shared" si="5"/>
        <v>4.0768045923060532</v>
      </c>
      <c r="S16" s="485">
        <f t="shared" si="5"/>
        <v>100</v>
      </c>
      <c r="T16" s="484"/>
      <c r="U16" s="484"/>
      <c r="V16" s="452"/>
    </row>
    <row r="17" spans="1:22" ht="9.75" customHeight="1">
      <c r="A17" s="22" t="s">
        <v>842</v>
      </c>
      <c r="B17" s="731">
        <v>62223</v>
      </c>
      <c r="C17" s="731">
        <v>16317</v>
      </c>
      <c r="D17" s="731">
        <v>4643</v>
      </c>
      <c r="E17" s="731">
        <v>68923</v>
      </c>
      <c r="F17" s="731">
        <v>5392</v>
      </c>
      <c r="G17" s="731">
        <v>32797</v>
      </c>
      <c r="H17" s="731">
        <v>56984</v>
      </c>
      <c r="I17" s="731">
        <v>2853</v>
      </c>
      <c r="J17" s="731">
        <v>43206</v>
      </c>
      <c r="K17" s="731">
        <v>6684</v>
      </c>
      <c r="L17" s="731">
        <v>32157</v>
      </c>
      <c r="M17" s="731">
        <v>11036</v>
      </c>
      <c r="N17" s="731">
        <v>9935</v>
      </c>
      <c r="O17" s="731">
        <v>9022</v>
      </c>
      <c r="P17" s="731">
        <v>38283</v>
      </c>
      <c r="Q17" s="731">
        <f>SUM(B17:P17)</f>
        <v>400455</v>
      </c>
      <c r="R17" s="731">
        <v>15274</v>
      </c>
      <c r="S17" s="731">
        <v>415728</v>
      </c>
      <c r="T17" s="731">
        <v>27208</v>
      </c>
      <c r="U17" s="731">
        <v>442935</v>
      </c>
      <c r="V17" s="59" t="s">
        <v>842</v>
      </c>
    </row>
    <row r="18" spans="1:22" ht="9.75" customHeight="1">
      <c r="A18" s="451"/>
      <c r="B18" s="485">
        <f t="shared" ref="B18:S18" si="6">(B17/$S17)*100</f>
        <v>14.967238194203903</v>
      </c>
      <c r="C18" s="485">
        <f t="shared" si="6"/>
        <v>3.9249220644267404</v>
      </c>
      <c r="D18" s="485">
        <f t="shared" si="6"/>
        <v>1.116836008159181</v>
      </c>
      <c r="E18" s="485">
        <f t="shared" si="6"/>
        <v>16.578868875803408</v>
      </c>
      <c r="F18" s="485">
        <f t="shared" si="6"/>
        <v>1.2970018858484393</v>
      </c>
      <c r="G18" s="485">
        <f t="shared" si="6"/>
        <v>7.8890524573759766</v>
      </c>
      <c r="H18" s="485">
        <f t="shared" si="6"/>
        <v>13.707039217950198</v>
      </c>
      <c r="I18" s="485">
        <f t="shared" si="6"/>
        <v>0.68626602009005888</v>
      </c>
      <c r="J18" s="485">
        <f t="shared" si="6"/>
        <v>10.392853019281837</v>
      </c>
      <c r="K18" s="485">
        <f t="shared" si="6"/>
        <v>1.6077820113150905</v>
      </c>
      <c r="L18" s="485">
        <f t="shared" si="6"/>
        <v>7.7351056459993073</v>
      </c>
      <c r="M18" s="485">
        <f t="shared" si="6"/>
        <v>2.654620328676442</v>
      </c>
      <c r="N18" s="485">
        <f t="shared" si="6"/>
        <v>2.3897837047300157</v>
      </c>
      <c r="O18" s="485">
        <f t="shared" si="6"/>
        <v>2.1701689566254858</v>
      </c>
      <c r="P18" s="485">
        <f t="shared" si="6"/>
        <v>9.2086652811453646</v>
      </c>
      <c r="Q18" s="485">
        <f t="shared" si="6"/>
        <v>96.326203671631447</v>
      </c>
      <c r="R18" s="485">
        <f t="shared" si="6"/>
        <v>3.6740368702613249</v>
      </c>
      <c r="S18" s="485">
        <f t="shared" si="6"/>
        <v>100</v>
      </c>
      <c r="T18" s="484"/>
      <c r="U18" s="484"/>
      <c r="V18" s="452"/>
    </row>
    <row r="19" spans="1:22" ht="9.75" customHeight="1">
      <c r="A19" s="11" t="s">
        <v>851</v>
      </c>
      <c r="B19" s="339" t="s">
        <v>865</v>
      </c>
      <c r="C19" s="339" t="s">
        <v>866</v>
      </c>
      <c r="D19" s="339" t="s">
        <v>867</v>
      </c>
      <c r="E19" s="339" t="s">
        <v>868</v>
      </c>
      <c r="F19" s="339" t="s">
        <v>869</v>
      </c>
      <c r="G19" s="339" t="s">
        <v>870</v>
      </c>
      <c r="H19" s="339" t="s">
        <v>871</v>
      </c>
      <c r="I19" s="339" t="s">
        <v>872</v>
      </c>
      <c r="J19" s="339" t="s">
        <v>873</v>
      </c>
      <c r="K19" s="339" t="s">
        <v>874</v>
      </c>
      <c r="L19" s="339" t="s">
        <v>875</v>
      </c>
      <c r="M19" s="339" t="s">
        <v>876</v>
      </c>
      <c r="N19" s="339" t="s">
        <v>877</v>
      </c>
      <c r="O19" s="339" t="s">
        <v>878</v>
      </c>
      <c r="P19" s="339" t="s">
        <v>879</v>
      </c>
      <c r="Q19" s="731">
        <f>P19+O19+N19+M19+L19+K19+J19+I19+H19+G19+F19+E19+D19+C19+B19</f>
        <v>456815</v>
      </c>
      <c r="R19" s="339" t="s">
        <v>880</v>
      </c>
      <c r="S19" s="339" t="s">
        <v>881</v>
      </c>
      <c r="T19" s="339" t="s">
        <v>565</v>
      </c>
      <c r="U19" s="339">
        <f>S19+T19</f>
        <v>507753</v>
      </c>
      <c r="V19" s="50" t="s">
        <v>851</v>
      </c>
    </row>
    <row r="20" spans="1:22" ht="9.75" customHeight="1">
      <c r="A20" s="451"/>
      <c r="B20" s="485">
        <f t="shared" ref="B20:S20" si="7">(B19/$S19)*100</f>
        <v>14.84178065810611</v>
      </c>
      <c r="C20" s="485">
        <f t="shared" si="7"/>
        <v>3.763781094106168</v>
      </c>
      <c r="D20" s="485">
        <f t="shared" si="7"/>
        <v>1.126404036598607</v>
      </c>
      <c r="E20" s="485">
        <f t="shared" si="7"/>
        <v>17.181365442127341</v>
      </c>
      <c r="F20" s="485">
        <f t="shared" si="7"/>
        <v>1.1831263744055267</v>
      </c>
      <c r="G20" s="485">
        <f t="shared" si="7"/>
        <v>7.9459952547954709</v>
      </c>
      <c r="H20" s="485">
        <f t="shared" si="7"/>
        <v>13.971262093181256</v>
      </c>
      <c r="I20" s="485">
        <f t="shared" si="7"/>
        <v>0.69611854121999595</v>
      </c>
      <c r="J20" s="485">
        <f t="shared" si="7"/>
        <v>10.351403348734435</v>
      </c>
      <c r="K20" s="485">
        <f t="shared" si="7"/>
        <v>1.6390215820029335</v>
      </c>
      <c r="L20" s="485">
        <f t="shared" si="7"/>
        <v>7.3927408106637991</v>
      </c>
      <c r="M20" s="485">
        <f t="shared" si="7"/>
        <v>2.6970625025133499</v>
      </c>
      <c r="N20" s="485">
        <f t="shared" si="7"/>
        <v>2.4923964552771882</v>
      </c>
      <c r="O20" s="485">
        <f t="shared" si="7"/>
        <v>2.1814818499101545</v>
      </c>
      <c r="P20" s="485">
        <f t="shared" si="7"/>
        <v>9.2211896028801412</v>
      </c>
      <c r="Q20" s="485">
        <f t="shared" si="7"/>
        <v>96.685129646522469</v>
      </c>
      <c r="R20" s="485">
        <f t="shared" si="7"/>
        <v>3.315082003991729</v>
      </c>
      <c r="S20" s="485">
        <f t="shared" si="7"/>
        <v>100</v>
      </c>
      <c r="T20" s="484"/>
      <c r="U20" s="484"/>
      <c r="V20" s="452"/>
    </row>
    <row r="21" spans="1:22" ht="9.75" customHeight="1">
      <c r="A21" s="11" t="s">
        <v>574</v>
      </c>
      <c r="B21" s="366" t="s">
        <v>144</v>
      </c>
      <c r="C21" s="366" t="s">
        <v>145</v>
      </c>
      <c r="D21" s="366" t="s">
        <v>146</v>
      </c>
      <c r="E21" s="366" t="s">
        <v>147</v>
      </c>
      <c r="F21" s="366" t="s">
        <v>148</v>
      </c>
      <c r="G21" s="366" t="s">
        <v>149</v>
      </c>
      <c r="H21" s="366" t="s">
        <v>150</v>
      </c>
      <c r="I21" s="366" t="s">
        <v>151</v>
      </c>
      <c r="J21" s="366" t="s">
        <v>152</v>
      </c>
      <c r="K21" s="366" t="s">
        <v>153</v>
      </c>
      <c r="L21" s="366" t="s">
        <v>154</v>
      </c>
      <c r="M21" s="366" t="s">
        <v>155</v>
      </c>
      <c r="N21" s="366" t="s">
        <v>156</v>
      </c>
      <c r="O21" s="366" t="s">
        <v>157</v>
      </c>
      <c r="P21" s="366" t="s">
        <v>566</v>
      </c>
      <c r="Q21" s="731">
        <f>P21+O21+N21+M21+L21+K21+J21+I21+H21+G21+F21+E21+D21+C21+B21</f>
        <v>525976</v>
      </c>
      <c r="R21" s="339">
        <f>S21-Q21</f>
        <v>19846</v>
      </c>
      <c r="S21" s="339" t="s">
        <v>158</v>
      </c>
      <c r="T21" s="339">
        <v>48390</v>
      </c>
      <c r="U21" s="339">
        <f>S21+T21</f>
        <v>594212</v>
      </c>
      <c r="V21" s="50" t="s">
        <v>574</v>
      </c>
    </row>
    <row r="22" spans="1:22" ht="9.75" customHeight="1">
      <c r="A22" s="451"/>
      <c r="B22" s="485">
        <f t="shared" ref="B22:S22" si="8">(B21/$S21)*100</f>
        <v>14.693801275873819</v>
      </c>
      <c r="C22" s="485">
        <f t="shared" si="8"/>
        <v>3.6257241371729245</v>
      </c>
      <c r="D22" s="485">
        <f t="shared" si="8"/>
        <v>1.1271073720003957</v>
      </c>
      <c r="E22" s="485">
        <f t="shared" si="8"/>
        <v>17.203593845612673</v>
      </c>
      <c r="F22" s="485">
        <f t="shared" si="8"/>
        <v>1.1120841593046817</v>
      </c>
      <c r="G22" s="485">
        <f t="shared" si="8"/>
        <v>8.0344874336322096</v>
      </c>
      <c r="H22" s="485">
        <f t="shared" si="8"/>
        <v>14.330679232423757</v>
      </c>
      <c r="I22" s="485">
        <f t="shared" si="8"/>
        <v>0.7125033435808743</v>
      </c>
      <c r="J22" s="485">
        <f t="shared" si="8"/>
        <v>10.425926400914584</v>
      </c>
      <c r="K22" s="485">
        <f t="shared" si="8"/>
        <v>1.6406447523185215</v>
      </c>
      <c r="L22" s="485">
        <f t="shared" si="8"/>
        <v>6.9726027899205238</v>
      </c>
      <c r="M22" s="485">
        <f t="shared" si="8"/>
        <v>2.6431693848910451</v>
      </c>
      <c r="N22" s="485">
        <f t="shared" si="8"/>
        <v>2.4791965146146544</v>
      </c>
      <c r="O22" s="485">
        <f t="shared" si="8"/>
        <v>2.165357937202971</v>
      </c>
      <c r="P22" s="485">
        <f t="shared" si="8"/>
        <v>9.1971375283517336</v>
      </c>
      <c r="Q22" s="485">
        <f t="shared" si="8"/>
        <v>96.36401610781536</v>
      </c>
      <c r="R22" s="485">
        <f t="shared" si="8"/>
        <v>3.6359838921846315</v>
      </c>
      <c r="S22" s="485">
        <f t="shared" si="8"/>
        <v>100</v>
      </c>
      <c r="T22" s="484"/>
      <c r="U22" s="484"/>
      <c r="V22" s="452"/>
    </row>
    <row r="23" spans="1:22" ht="9.75" customHeight="1">
      <c r="A23" s="11" t="s">
        <v>114</v>
      </c>
      <c r="B23" s="339">
        <v>89426</v>
      </c>
      <c r="C23" s="339">
        <v>21807</v>
      </c>
      <c r="D23" s="339">
        <v>7091</v>
      </c>
      <c r="E23" s="339">
        <v>106445</v>
      </c>
      <c r="F23" s="339">
        <v>6542</v>
      </c>
      <c r="G23" s="339">
        <v>50125</v>
      </c>
      <c r="H23" s="339">
        <v>88277</v>
      </c>
      <c r="I23" s="339">
        <v>4460</v>
      </c>
      <c r="J23" s="339">
        <v>64280</v>
      </c>
      <c r="K23" s="339">
        <v>10245</v>
      </c>
      <c r="L23" s="339">
        <v>41616</v>
      </c>
      <c r="M23" s="339">
        <v>16361</v>
      </c>
      <c r="N23" s="339">
        <v>15494</v>
      </c>
      <c r="O23" s="339">
        <v>13391</v>
      </c>
      <c r="P23" s="339">
        <v>58364</v>
      </c>
      <c r="Q23" s="731">
        <f>SUM(B23:P23)</f>
        <v>593924</v>
      </c>
      <c r="R23" s="339">
        <v>20871</v>
      </c>
      <c r="S23" s="339">
        <f>Q23+R23</f>
        <v>614795</v>
      </c>
      <c r="T23" s="339">
        <v>55901</v>
      </c>
      <c r="U23" s="339">
        <f>S23+T23</f>
        <v>670696</v>
      </c>
      <c r="V23" s="50" t="s">
        <v>114</v>
      </c>
    </row>
    <row r="24" spans="1:22" ht="9.75" customHeight="1">
      <c r="A24" s="451"/>
      <c r="B24" s="485">
        <f>(B23/S23)*100</f>
        <v>14.545661561984078</v>
      </c>
      <c r="C24" s="485">
        <f>(C23/S23)*100</f>
        <v>3.547036003871209</v>
      </c>
      <c r="D24" s="485">
        <f>(D23/S23)*100</f>
        <v>1.1533925942793939</v>
      </c>
      <c r="E24" s="485">
        <f>(E23/S23)*100</f>
        <v>17.313901381761401</v>
      </c>
      <c r="F24" s="485">
        <f>(F23/S23)*100</f>
        <v>1.0640945355768996</v>
      </c>
      <c r="G24" s="485">
        <f>(G23/S23)*100</f>
        <v>8.1531242121357526</v>
      </c>
      <c r="H24" s="485">
        <f>(H23/S23)*100</f>
        <v>14.358769996502899</v>
      </c>
      <c r="I24" s="485">
        <f>(I23/S23)*100</f>
        <v>0.72544506705487199</v>
      </c>
      <c r="J24" s="485">
        <f>(J23/S23)*100</f>
        <v>10.455517692889501</v>
      </c>
      <c r="K24" s="485">
        <f>(K23/S23)*100</f>
        <v>1.6664091282460005</v>
      </c>
      <c r="L24" s="485">
        <f>(L23/S23)*100</f>
        <v>6.7690856301694069</v>
      </c>
      <c r="M24" s="485">
        <f>(M23/S23)*100</f>
        <v>2.6612122740100359</v>
      </c>
      <c r="N24" s="485">
        <f>(N23/S23)*100</f>
        <v>2.5201896567148401</v>
      </c>
      <c r="O24" s="485">
        <f>(O23/S23)*100</f>
        <v>2.1781244154555583</v>
      </c>
      <c r="P24" s="485">
        <f>(P23/S23)*100</f>
        <v>9.4932457160516925</v>
      </c>
      <c r="Q24" s="485">
        <f>(Q23/S23)*100</f>
        <v>96.605209866703532</v>
      </c>
      <c r="R24" s="485">
        <f>(R23/S23)*100</f>
        <v>3.3947901332964645</v>
      </c>
      <c r="S24" s="485">
        <f>(S23/S23)*100</f>
        <v>100</v>
      </c>
      <c r="T24" s="484"/>
      <c r="U24" s="484"/>
      <c r="V24" s="452"/>
    </row>
    <row r="25" spans="1:22" ht="9.75" customHeight="1">
      <c r="A25" s="10" t="s">
        <v>110</v>
      </c>
      <c r="B25" s="367" t="s">
        <v>991</v>
      </c>
      <c r="C25" s="367" t="s">
        <v>992</v>
      </c>
      <c r="D25" s="367" t="s">
        <v>993</v>
      </c>
      <c r="E25" s="367" t="s">
        <v>994</v>
      </c>
      <c r="F25" s="367" t="s">
        <v>995</v>
      </c>
      <c r="G25" s="367" t="s">
        <v>996</v>
      </c>
      <c r="H25" s="367" t="s">
        <v>997</v>
      </c>
      <c r="I25" s="367" t="s">
        <v>998</v>
      </c>
      <c r="J25" s="367" t="s">
        <v>999</v>
      </c>
      <c r="K25" s="367" t="s">
        <v>1000</v>
      </c>
      <c r="L25" s="142">
        <v>45683</v>
      </c>
      <c r="M25" s="142">
        <v>18757</v>
      </c>
      <c r="N25" s="142">
        <v>17908</v>
      </c>
      <c r="O25" s="142">
        <v>15142</v>
      </c>
      <c r="P25" s="142">
        <v>68465</v>
      </c>
      <c r="Q25" s="731">
        <f>P25+O25+N25+M25+L25+K25+J25+I25+H25+G25+F25+E25+D25+C25+B25</f>
        <v>671466</v>
      </c>
      <c r="R25" s="142">
        <v>22858</v>
      </c>
      <c r="S25" s="339">
        <f>Q25+R25</f>
        <v>694324</v>
      </c>
      <c r="T25" s="367" t="s">
        <v>1088</v>
      </c>
      <c r="U25" s="339">
        <f>S25+T25</f>
        <v>758928</v>
      </c>
      <c r="V25" s="163" t="s">
        <v>110</v>
      </c>
    </row>
    <row r="26" spans="1:22" ht="9.75" customHeight="1">
      <c r="A26" s="451"/>
      <c r="B26" s="485">
        <f>(B25/S25)*100</f>
        <v>14.487184657306965</v>
      </c>
      <c r="C26" s="485">
        <f>(C25/S25)*100</f>
        <v>3.4887170830908913</v>
      </c>
      <c r="D26" s="485">
        <f>(D25/S25)*100</f>
        <v>1.1686186852247653</v>
      </c>
      <c r="E26" s="485">
        <f>(E25/S25)*100</f>
        <v>17.298552260904131</v>
      </c>
      <c r="F26" s="485">
        <f>(F25/S25)*100</f>
        <v>1.0362597288873783</v>
      </c>
      <c r="G26" s="485">
        <f>(G25/S25)*100</f>
        <v>8.016142319723933</v>
      </c>
      <c r="H26" s="485">
        <f>(H25/S25)*100</f>
        <v>14.444985338257069</v>
      </c>
      <c r="I26" s="485">
        <f>(I25/S25)*100</f>
        <v>0.74172864541626093</v>
      </c>
      <c r="J26" s="485">
        <f>(J25/S25)*100</f>
        <v>10.352515540295308</v>
      </c>
      <c r="K26" s="485">
        <f>(K25/S25)*100</f>
        <v>1.7715072502174776</v>
      </c>
      <c r="L26" s="485">
        <f>(L25/S25)*100</f>
        <v>6.5794931472914664</v>
      </c>
      <c r="M26" s="485">
        <f>(M25/S25)*100</f>
        <v>2.7014765440918072</v>
      </c>
      <c r="N26" s="485">
        <f>(N25/S25)*100</f>
        <v>2.5791993363328936</v>
      </c>
      <c r="O26" s="485">
        <f>(O25/S25)*100</f>
        <v>2.1808262425034997</v>
      </c>
      <c r="P26" s="485">
        <f>(P25/S25)*100</f>
        <v>9.8606702346454966</v>
      </c>
      <c r="Q26" s="485">
        <f>(Q25/S25)*100</f>
        <v>96.707877014189336</v>
      </c>
      <c r="R26" s="485">
        <f>(R25/S25)*100</f>
        <v>3.2921229858106589</v>
      </c>
      <c r="S26" s="485">
        <f>(S25/S25)*100</f>
        <v>100</v>
      </c>
      <c r="T26" s="486"/>
      <c r="U26" s="486"/>
      <c r="V26" s="451"/>
    </row>
    <row r="27" spans="1:22" ht="9.75" customHeight="1">
      <c r="A27" s="11" t="s">
        <v>253</v>
      </c>
      <c r="B27" s="339">
        <v>113582</v>
      </c>
      <c r="C27" s="339">
        <v>26996</v>
      </c>
      <c r="D27" s="339">
        <v>9063</v>
      </c>
      <c r="E27" s="339">
        <v>135550</v>
      </c>
      <c r="F27" s="339">
        <v>8211</v>
      </c>
      <c r="G27" s="339">
        <v>63982</v>
      </c>
      <c r="H27" s="339">
        <v>115959</v>
      </c>
      <c r="I27" s="339">
        <v>5997</v>
      </c>
      <c r="J27" s="339">
        <v>85465</v>
      </c>
      <c r="K27" s="339">
        <v>14484</v>
      </c>
      <c r="L27" s="339">
        <v>50337</v>
      </c>
      <c r="M27" s="339">
        <v>22381</v>
      </c>
      <c r="N27" s="339">
        <v>21308</v>
      </c>
      <c r="O27" s="339">
        <v>17582</v>
      </c>
      <c r="P27" s="339">
        <v>77876</v>
      </c>
      <c r="Q27" s="731">
        <f>SUM(B27:P27)</f>
        <v>768773</v>
      </c>
      <c r="R27" s="339">
        <v>27931</v>
      </c>
      <c r="S27" s="339">
        <f>Q27+R27</f>
        <v>796704</v>
      </c>
      <c r="T27" s="69" t="s">
        <v>1357</v>
      </c>
      <c r="U27" s="339">
        <f>S27+T27</f>
        <v>869218</v>
      </c>
      <c r="V27" s="50" t="s">
        <v>253</v>
      </c>
    </row>
    <row r="28" spans="1:22" ht="9.75" customHeight="1">
      <c r="A28" s="451"/>
      <c r="B28" s="485">
        <f>(B27/S27)*100</f>
        <v>14.256486725308271</v>
      </c>
      <c r="C28" s="485">
        <f>(C27/S27)*100</f>
        <v>3.3884604570831827</v>
      </c>
      <c r="D28" s="485">
        <f>(D27/S27)*100</f>
        <v>1.1375617544282444</v>
      </c>
      <c r="E28" s="485">
        <f>(E27/S27)*100</f>
        <v>17.013847049845364</v>
      </c>
      <c r="F28" s="485">
        <f>(F27/S27)*100</f>
        <v>1.0306211591758043</v>
      </c>
      <c r="G28" s="485">
        <f>(G27/S27)*100</f>
        <v>8.0308370486403984</v>
      </c>
      <c r="H28" s="485">
        <f>(H27/S27)*100</f>
        <v>14.554840944692133</v>
      </c>
      <c r="I28" s="485">
        <f>(I27/S27)*100</f>
        <v>0.75272623207615375</v>
      </c>
      <c r="J28" s="485">
        <f>(J27/S27)*100</f>
        <v>10.72732156484717</v>
      </c>
      <c r="K28" s="485">
        <f>(K27/S27)*100</f>
        <v>1.8179901192914807</v>
      </c>
      <c r="L28" s="485">
        <f>(L27/S27)*100</f>
        <v>6.3181558019038437</v>
      </c>
      <c r="M28" s="485">
        <f>(M27/S27)*100</f>
        <v>2.809198899465799</v>
      </c>
      <c r="N28" s="485">
        <f>(N27/S27)*100</f>
        <v>2.6745190183556251</v>
      </c>
      <c r="O28" s="485">
        <f>(O27/S27)*100</f>
        <v>2.2068421898220669</v>
      </c>
      <c r="P28" s="485">
        <f>(P27/S27)*100</f>
        <v>9.7747720608908697</v>
      </c>
      <c r="Q28" s="485">
        <f>(Q27/S27)*100</f>
        <v>96.494181025826407</v>
      </c>
      <c r="R28" s="485">
        <f>(R27/S27)*100</f>
        <v>3.5058189741735952</v>
      </c>
      <c r="S28" s="485">
        <f>(S27/S27)*100</f>
        <v>100</v>
      </c>
      <c r="T28" s="458"/>
      <c r="U28" s="484"/>
      <c r="V28" s="451"/>
    </row>
    <row r="29" spans="1:22" s="651" customFormat="1" ht="9.75" customHeight="1">
      <c r="A29" s="252" t="s">
        <v>1169</v>
      </c>
      <c r="B29" s="212">
        <v>125751</v>
      </c>
      <c r="C29" s="212">
        <v>31003</v>
      </c>
      <c r="D29" s="212">
        <v>10446</v>
      </c>
      <c r="E29" s="212">
        <v>155750</v>
      </c>
      <c r="F29" s="212">
        <v>9595</v>
      </c>
      <c r="G29" s="212">
        <v>76635</v>
      </c>
      <c r="H29" s="212">
        <v>130684</v>
      </c>
      <c r="I29" s="212">
        <v>7137</v>
      </c>
      <c r="J29" s="212">
        <v>101810</v>
      </c>
      <c r="K29" s="212">
        <v>17576</v>
      </c>
      <c r="L29" s="212">
        <v>58949</v>
      </c>
      <c r="M29" s="212">
        <v>25320</v>
      </c>
      <c r="N29" s="212">
        <v>24058</v>
      </c>
      <c r="O29" s="212">
        <v>20574</v>
      </c>
      <c r="P29" s="212">
        <v>91485</v>
      </c>
      <c r="Q29" s="735">
        <f>SUM(B29:P29)</f>
        <v>886773</v>
      </c>
      <c r="R29" s="212">
        <v>31368</v>
      </c>
      <c r="S29" s="736">
        <f>Q29+R29</f>
        <v>918141</v>
      </c>
      <c r="T29" s="212">
        <v>89302</v>
      </c>
      <c r="U29" s="736">
        <f>S29+T29</f>
        <v>1007443</v>
      </c>
      <c r="V29" s="316" t="s">
        <v>1169</v>
      </c>
    </row>
    <row r="30" spans="1:22" s="101" customFormat="1" ht="9.75" customHeight="1">
      <c r="A30" s="451"/>
      <c r="B30" s="485">
        <f>(B29/S29)*100</f>
        <v>13.696262338791101</v>
      </c>
      <c r="C30" s="485">
        <f>(C29/S29)*100</f>
        <v>3.3767144697818745</v>
      </c>
      <c r="D30" s="485">
        <f>(D29/S29)*100</f>
        <v>1.1377337467774558</v>
      </c>
      <c r="E30" s="485">
        <f>(E29/S29)*100</f>
        <v>16.963625412654483</v>
      </c>
      <c r="F30" s="485">
        <f>(F29/S29)*100</f>
        <v>1.0450464580059053</v>
      </c>
      <c r="G30" s="485">
        <f>(G29/S29)*100</f>
        <v>8.3467571974239245</v>
      </c>
      <c r="H30" s="485">
        <f>(H29/S29)*100</f>
        <v>14.233543649613731</v>
      </c>
      <c r="I30" s="485">
        <f>(I29/S29)*100</f>
        <v>0.77733158632497623</v>
      </c>
      <c r="J30" s="485">
        <f>(J29/S29)*100</f>
        <v>11.088710775360211</v>
      </c>
      <c r="K30" s="485">
        <f>(K29/S29)*100</f>
        <v>1.9143029229715263</v>
      </c>
      <c r="L30" s="485">
        <f>(L29/S29)*100</f>
        <v>6.4204735438238796</v>
      </c>
      <c r="M30" s="485">
        <f>(M29/S29)*100</f>
        <v>2.7577463592193356</v>
      </c>
      <c r="N30" s="485">
        <f>(N29/S29)*100</f>
        <v>2.6202947041903148</v>
      </c>
      <c r="O30" s="485">
        <f>(O29/S29)*100</f>
        <v>2.2408322904651898</v>
      </c>
      <c r="P30" s="485">
        <f>(P29/S29)*100</f>
        <v>9.9641558322741286</v>
      </c>
      <c r="Q30" s="485">
        <f>(Q29/S29)*100</f>
        <v>96.583531287678042</v>
      </c>
      <c r="R30" s="485">
        <f>(R29/S29)*100</f>
        <v>3.4164687123219637</v>
      </c>
      <c r="S30" s="485">
        <f>(S29/S29)*100</f>
        <v>100</v>
      </c>
      <c r="T30" s="486"/>
      <c r="U30" s="486"/>
      <c r="V30" s="451"/>
    </row>
    <row r="31" spans="1:22" s="101" customFormat="1" ht="9.75" customHeight="1">
      <c r="A31" s="252" t="s">
        <v>1957</v>
      </c>
      <c r="B31" s="736">
        <v>70171</v>
      </c>
      <c r="C31" s="736">
        <v>16814</v>
      </c>
      <c r="D31" s="736">
        <v>7009</v>
      </c>
      <c r="E31" s="736">
        <v>73834</v>
      </c>
      <c r="F31" s="736">
        <v>5553</v>
      </c>
      <c r="G31" s="736">
        <v>29825</v>
      </c>
      <c r="H31" s="736">
        <v>62352</v>
      </c>
      <c r="I31" s="736">
        <v>3467</v>
      </c>
      <c r="J31" s="736">
        <v>46497</v>
      </c>
      <c r="K31" s="736">
        <v>14216</v>
      </c>
      <c r="L31" s="736">
        <v>37935</v>
      </c>
      <c r="M31" s="736">
        <v>14089</v>
      </c>
      <c r="N31" s="736">
        <v>9962</v>
      </c>
      <c r="O31" s="736">
        <v>9288</v>
      </c>
      <c r="P31" s="736">
        <v>56600</v>
      </c>
      <c r="Q31" s="735">
        <f>SUM(B31:P31)</f>
        <v>457612</v>
      </c>
      <c r="R31" s="736">
        <v>24725</v>
      </c>
      <c r="S31" s="736">
        <f>Q31+R31</f>
        <v>482337</v>
      </c>
      <c r="T31" s="736">
        <v>27208</v>
      </c>
      <c r="U31" s="736">
        <f>S31+T31</f>
        <v>509545</v>
      </c>
      <c r="V31" s="316" t="s">
        <v>1957</v>
      </c>
    </row>
    <row r="32" spans="1:22" s="101" customFormat="1" ht="9.75" customHeight="1">
      <c r="A32" s="451"/>
      <c r="B32" s="485">
        <f>(B31/S31)*100</f>
        <v>14.548127139323752</v>
      </c>
      <c r="C32" s="485">
        <f>(C31/S31)*100</f>
        <v>3.4859444745064136</v>
      </c>
      <c r="D32" s="485">
        <f>(D31/S31)*100</f>
        <v>1.4531333901400889</v>
      </c>
      <c r="E32" s="485">
        <f>(E31/S31)*100</f>
        <v>15.307554676502114</v>
      </c>
      <c r="F32" s="485">
        <f>(F31/S31)*100</f>
        <v>1.151269755378501</v>
      </c>
      <c r="G32" s="485">
        <f>(G31/S31)*100</f>
        <v>6.1834360623381581</v>
      </c>
      <c r="H32" s="485">
        <f>(H31/S31)*100</f>
        <v>12.927061369955032</v>
      </c>
      <c r="I32" s="485">
        <f>(I31/S31)*100</f>
        <v>0.71879204788353368</v>
      </c>
      <c r="J32" s="485">
        <f>(J31/S31)*100</f>
        <v>9.6399405394983173</v>
      </c>
      <c r="K32" s="485">
        <f>(K31/S31)*100</f>
        <v>2.9473169174249541</v>
      </c>
      <c r="L32" s="485">
        <f>(L31/S31)*100</f>
        <v>7.8648330938741999</v>
      </c>
      <c r="M32" s="485">
        <f>(M31/S31)*100</f>
        <v>2.9209867789533042</v>
      </c>
      <c r="N32" s="485">
        <f>(N31/S31)*100</f>
        <v>2.0653609405871829</v>
      </c>
      <c r="O32" s="485">
        <f>(O31/S31)*100</f>
        <v>1.9256246151549643</v>
      </c>
      <c r="P32" s="485">
        <f>(P31/S31)*100</f>
        <v>11.734534153506781</v>
      </c>
      <c r="Q32" s="485">
        <f>(Q31/S31)*100</f>
        <v>94.8739159550273</v>
      </c>
      <c r="R32" s="485">
        <f>(R31/S31)*100</f>
        <v>5.1260840449727052</v>
      </c>
      <c r="S32" s="485">
        <f>(S31/S31)*100</f>
        <v>100</v>
      </c>
      <c r="T32" s="486"/>
      <c r="U32" s="486"/>
      <c r="V32" s="452"/>
    </row>
    <row r="33" spans="1:22" s="101" customFormat="1" ht="9.75" customHeight="1">
      <c r="A33" s="252" t="s">
        <v>851</v>
      </c>
      <c r="B33" s="736">
        <v>79010</v>
      </c>
      <c r="C33" s="736">
        <v>18890</v>
      </c>
      <c r="D33" s="736">
        <v>7866</v>
      </c>
      <c r="E33" s="736">
        <v>87606</v>
      </c>
      <c r="F33" s="736">
        <v>5720</v>
      </c>
      <c r="G33" s="736">
        <v>33513</v>
      </c>
      <c r="H33" s="736">
        <v>72971</v>
      </c>
      <c r="I33" s="736">
        <v>4069</v>
      </c>
      <c r="J33" s="736">
        <v>53132</v>
      </c>
      <c r="K33" s="736">
        <v>16265</v>
      </c>
      <c r="L33" s="736">
        <v>41337</v>
      </c>
      <c r="M33" s="736">
        <v>17132</v>
      </c>
      <c r="N33" s="736">
        <v>11853</v>
      </c>
      <c r="O33" s="736">
        <v>10453</v>
      </c>
      <c r="P33" s="736">
        <v>63544</v>
      </c>
      <c r="Q33" s="735">
        <f>SUM(B33:P33)</f>
        <v>523361</v>
      </c>
      <c r="R33" s="736">
        <v>26439</v>
      </c>
      <c r="S33" s="736">
        <f>Q33+R33</f>
        <v>549800</v>
      </c>
      <c r="T33" s="736">
        <v>35276</v>
      </c>
      <c r="U33" s="736">
        <f>S33+T33</f>
        <v>585076</v>
      </c>
      <c r="V33" s="316" t="s">
        <v>851</v>
      </c>
    </row>
    <row r="34" spans="1:22" s="101" customFormat="1" ht="9.75" customHeight="1">
      <c r="A34" s="451"/>
      <c r="B34" s="485">
        <f>(B33/S33)*100</f>
        <v>14.370680247362678</v>
      </c>
      <c r="C34" s="485">
        <f>(C33/S33)*100</f>
        <v>3.4357948344852671</v>
      </c>
      <c r="D34" s="485">
        <f>(D33/S33)*100</f>
        <v>1.4307020734812659</v>
      </c>
      <c r="E34" s="485">
        <f>(E33/S33)*100</f>
        <v>15.934157875591124</v>
      </c>
      <c r="F34" s="485">
        <f>(F33/S33)*100</f>
        <v>1.0403783193888687</v>
      </c>
      <c r="G34" s="485">
        <f>(G33/S33)*100</f>
        <v>6.0954892688250268</v>
      </c>
      <c r="H34" s="485">
        <f>(H33/S33)*100</f>
        <v>13.272280829392507</v>
      </c>
      <c r="I34" s="485">
        <f>(I33/S33)*100</f>
        <v>0.74008730447435422</v>
      </c>
      <c r="J34" s="485">
        <f>(J33/S33)*100</f>
        <v>9.663877773735905</v>
      </c>
      <c r="K34" s="485">
        <f>(K33/S33)*100</f>
        <v>2.9583484903601307</v>
      </c>
      <c r="L34" s="485">
        <f>(L33/S33)*100</f>
        <v>7.5185522008002907</v>
      </c>
      <c r="M34" s="485">
        <f>(M33/S33)*100</f>
        <v>3.1160421971626042</v>
      </c>
      <c r="N34" s="485">
        <f>(N33/S33)*100</f>
        <v>2.1558748635867588</v>
      </c>
      <c r="O34" s="485">
        <f>(O33/S33)*100</f>
        <v>1.9012368133866859</v>
      </c>
      <c r="P34" s="485">
        <f>(P33/S33)*100</f>
        <v>11.557657329938159</v>
      </c>
      <c r="Q34" s="485">
        <f>(Q33/S33)*100</f>
        <v>95.191160421971617</v>
      </c>
      <c r="R34" s="485">
        <f>(R33/S33)*100</f>
        <v>4.8088395780283744</v>
      </c>
      <c r="S34" s="485">
        <f>(S33/S33)*100</f>
        <v>100</v>
      </c>
      <c r="T34" s="486"/>
      <c r="U34" s="486"/>
      <c r="V34" s="452"/>
    </row>
    <row r="35" spans="1:22" s="101" customFormat="1" ht="9.75" customHeight="1">
      <c r="A35" s="252" t="s">
        <v>574</v>
      </c>
      <c r="B35" s="736">
        <v>89986</v>
      </c>
      <c r="C35" s="736">
        <v>20635</v>
      </c>
      <c r="D35" s="736">
        <v>9110</v>
      </c>
      <c r="E35" s="736">
        <v>101371</v>
      </c>
      <c r="F35" s="736">
        <v>6441</v>
      </c>
      <c r="G35" s="736">
        <v>38532</v>
      </c>
      <c r="H35" s="736">
        <v>86149</v>
      </c>
      <c r="I35" s="736">
        <v>4826</v>
      </c>
      <c r="J35" s="736">
        <v>59620</v>
      </c>
      <c r="K35" s="736">
        <v>18702</v>
      </c>
      <c r="L35" s="736">
        <v>45118</v>
      </c>
      <c r="M35" s="736">
        <v>19664</v>
      </c>
      <c r="N35" s="736">
        <v>14332</v>
      </c>
      <c r="O35" s="736">
        <v>12164</v>
      </c>
      <c r="P35" s="736">
        <v>72200</v>
      </c>
      <c r="Q35" s="735">
        <f>SUM(B35:P35)</f>
        <v>598850</v>
      </c>
      <c r="R35" s="736">
        <v>29832</v>
      </c>
      <c r="S35" s="736">
        <f>Q35+R35</f>
        <v>628682</v>
      </c>
      <c r="T35" s="736">
        <v>48390</v>
      </c>
      <c r="U35" s="736">
        <f>S35+T35</f>
        <v>677072</v>
      </c>
      <c r="V35" s="316" t="s">
        <v>574</v>
      </c>
    </row>
    <row r="36" spans="1:22" s="101" customFormat="1" ht="9.75" customHeight="1">
      <c r="A36" s="451"/>
      <c r="B36" s="485">
        <f>(B35/S35)*100</f>
        <v>14.313436681820061</v>
      </c>
      <c r="C36" s="485">
        <f>(C35/S35)*100</f>
        <v>3.2822635290973818</v>
      </c>
      <c r="D36" s="485">
        <f>(D35/S35)*100</f>
        <v>1.4490632784142061</v>
      </c>
      <c r="E36" s="485">
        <f>(E35/S35)*100</f>
        <v>16.124368122516628</v>
      </c>
      <c r="F36" s="485">
        <f>(F35/S35)*100</f>
        <v>1.0245243223123932</v>
      </c>
      <c r="G36" s="485">
        <f>(G35/S35)*100</f>
        <v>6.1290127600281217</v>
      </c>
      <c r="H36" s="485">
        <f>(H35/S35)*100</f>
        <v>13.703112225258558</v>
      </c>
      <c r="I36" s="485">
        <f>(I35/S35)*100</f>
        <v>0.76763769282403505</v>
      </c>
      <c r="J36" s="485">
        <f>(J35/S35)*100</f>
        <v>9.4833317957250252</v>
      </c>
      <c r="K36" s="485">
        <f>(K35/S35)*100</f>
        <v>2.9747948883537307</v>
      </c>
      <c r="L36" s="485">
        <f>(L35/S35)*100</f>
        <v>7.1766012069695018</v>
      </c>
      <c r="M36" s="485">
        <f>(M35/S35)*100</f>
        <v>3.1278134255474148</v>
      </c>
      <c r="N36" s="485">
        <f>(N35/S35)*100</f>
        <v>2.2796898909146437</v>
      </c>
      <c r="O36" s="485">
        <f>(O35/S35)*100</f>
        <v>1.9348414619791883</v>
      </c>
      <c r="P36" s="485">
        <f>(P35/S35)*100</f>
        <v>11.484343435950132</v>
      </c>
      <c r="Q36" s="485">
        <f>(Q35/S35)*100</f>
        <v>95.25483471771102</v>
      </c>
      <c r="R36" s="485">
        <f>(R35/S35)*100</f>
        <v>4.7451652822889798</v>
      </c>
      <c r="S36" s="485">
        <f>(S35/S35)*100</f>
        <v>100</v>
      </c>
      <c r="T36" s="486"/>
      <c r="U36" s="486"/>
      <c r="V36" s="452"/>
    </row>
    <row r="37" spans="1:22" s="101" customFormat="1" ht="9.75" customHeight="1">
      <c r="A37" s="252" t="s">
        <v>114</v>
      </c>
      <c r="B37" s="736">
        <v>97807</v>
      </c>
      <c r="C37" s="736">
        <v>22793</v>
      </c>
      <c r="D37" s="736">
        <v>10963</v>
      </c>
      <c r="E37" s="736">
        <v>116197</v>
      </c>
      <c r="F37" s="736">
        <v>7012</v>
      </c>
      <c r="G37" s="736">
        <v>44180</v>
      </c>
      <c r="H37" s="736">
        <v>96094</v>
      </c>
      <c r="I37" s="736">
        <v>5790</v>
      </c>
      <c r="J37" s="736">
        <v>67185</v>
      </c>
      <c r="K37" s="736">
        <v>20003</v>
      </c>
      <c r="L37" s="736">
        <v>49448</v>
      </c>
      <c r="M37" s="736">
        <v>22464</v>
      </c>
      <c r="N37" s="736">
        <v>16250</v>
      </c>
      <c r="O37" s="736">
        <v>13368</v>
      </c>
      <c r="P37" s="736">
        <v>85366</v>
      </c>
      <c r="Q37" s="735">
        <f>SUM(B37:P37)</f>
        <v>674920</v>
      </c>
      <c r="R37" s="736">
        <v>30152</v>
      </c>
      <c r="S37" s="736">
        <f>Q37+R37</f>
        <v>705072</v>
      </c>
      <c r="T37" s="736">
        <v>55901</v>
      </c>
      <c r="U37" s="736">
        <f>S37+T37</f>
        <v>760973</v>
      </c>
      <c r="V37" s="316" t="s">
        <v>114</v>
      </c>
    </row>
    <row r="38" spans="1:22" s="101" customFormat="1" ht="9.75" customHeight="1">
      <c r="A38" s="451"/>
      <c r="B38" s="485">
        <f>(B37/S37)*100</f>
        <v>13.871916626954411</v>
      </c>
      <c r="C38" s="485">
        <f>(C37/S37)*100</f>
        <v>3.2327194953139538</v>
      </c>
      <c r="D38" s="485">
        <f>(D37/S37)*100</f>
        <v>1.5548766650781765</v>
      </c>
      <c r="E38" s="485">
        <f>(E37/S37)*100</f>
        <v>16.480160891369959</v>
      </c>
      <c r="F38" s="485">
        <f>(F37/S37)*100</f>
        <v>0.99450836226654871</v>
      </c>
      <c r="G38" s="485">
        <f>(G37/S37)*100</f>
        <v>6.266026732021694</v>
      </c>
      <c r="H38" s="485">
        <f>(H37/S37)*100</f>
        <v>13.628962715864478</v>
      </c>
      <c r="I38" s="485">
        <f>(I37/S37)*100</f>
        <v>0.82119272925318265</v>
      </c>
      <c r="J38" s="485">
        <f>(J37/S37)*100</f>
        <v>9.5288140785621902</v>
      </c>
      <c r="K38" s="485">
        <f>(K37/S37)*100</f>
        <v>2.8370152268137154</v>
      </c>
      <c r="L38" s="485">
        <f>(L37/S37)*100</f>
        <v>7.0131844691038641</v>
      </c>
      <c r="M38" s="485">
        <f>(M37/S37)*100</f>
        <v>3.1860575941180476</v>
      </c>
      <c r="N38" s="485">
        <f>(N37/S37)*100</f>
        <v>2.3047291624117823</v>
      </c>
      <c r="O38" s="485">
        <f>(O37/S37)*100</f>
        <v>1.8959765811151201</v>
      </c>
      <c r="P38" s="485">
        <f>(P37/S37)*100</f>
        <v>12.10741598021195</v>
      </c>
      <c r="Q38" s="485">
        <f>(Q37/S37)*100</f>
        <v>95.723557310459071</v>
      </c>
      <c r="R38" s="485">
        <f>(R37/S37)*100</f>
        <v>4.276442689540926</v>
      </c>
      <c r="S38" s="485">
        <f>(S37/S37)*100</f>
        <v>100</v>
      </c>
      <c r="T38" s="486"/>
      <c r="U38" s="486"/>
      <c r="V38" s="451"/>
    </row>
    <row r="39" spans="1:22" s="651" customFormat="1" ht="9.75" customHeight="1">
      <c r="A39" s="391" t="s">
        <v>110</v>
      </c>
      <c r="B39" s="212">
        <v>110990</v>
      </c>
      <c r="C39" s="212">
        <v>24601</v>
      </c>
      <c r="D39" s="212">
        <v>12645</v>
      </c>
      <c r="E39" s="212">
        <v>128573</v>
      </c>
      <c r="F39" s="212">
        <v>8346</v>
      </c>
      <c r="G39" s="212">
        <v>49474</v>
      </c>
      <c r="H39" s="212">
        <v>106606</v>
      </c>
      <c r="I39" s="212">
        <v>7028</v>
      </c>
      <c r="J39" s="212">
        <v>80454</v>
      </c>
      <c r="K39" s="212">
        <v>23448</v>
      </c>
      <c r="L39" s="212">
        <v>54432</v>
      </c>
      <c r="M39" s="212">
        <v>25426</v>
      </c>
      <c r="N39" s="212">
        <v>18257</v>
      </c>
      <c r="O39" s="212">
        <v>15326</v>
      </c>
      <c r="P39" s="212">
        <v>95692</v>
      </c>
      <c r="Q39" s="735">
        <f>SUM(B39:P39)</f>
        <v>761298</v>
      </c>
      <c r="R39" s="212">
        <v>36241</v>
      </c>
      <c r="S39" s="736">
        <f>Q39+R39</f>
        <v>797539</v>
      </c>
      <c r="T39" s="212">
        <v>64604</v>
      </c>
      <c r="U39" s="736">
        <f>S39+T39</f>
        <v>862143</v>
      </c>
      <c r="V39" s="583" t="s">
        <v>110</v>
      </c>
    </row>
    <row r="40" spans="1:22" ht="9.75" customHeight="1">
      <c r="A40" s="451"/>
      <c r="B40" s="485">
        <f>(B39/S39)*100</f>
        <v>13.916560820223211</v>
      </c>
      <c r="C40" s="485">
        <f>(C39/S39)*100</f>
        <v>3.0846140439527097</v>
      </c>
      <c r="D40" s="485">
        <f>(D39/S39)*100</f>
        <v>1.5855024017634247</v>
      </c>
      <c r="E40" s="485">
        <f>(E39/S39)*100</f>
        <v>16.121217896554274</v>
      </c>
      <c r="F40" s="485">
        <f>(F39/S39)*100</f>
        <v>1.0464692008792047</v>
      </c>
      <c r="G40" s="485">
        <f>(G39/S39)*100</f>
        <v>6.2033330031509433</v>
      </c>
      <c r="H40" s="485">
        <f>(H39/S39)*100</f>
        <v>13.366869833324765</v>
      </c>
      <c r="I40" s="485">
        <f>(I39/S39)*100</f>
        <v>0.8812108247997904</v>
      </c>
      <c r="J40" s="485">
        <f>(J39/S39)*100</f>
        <v>10.08778254104188</v>
      </c>
      <c r="K40" s="485">
        <f>(K39/S39)*100</f>
        <v>2.9400443113126755</v>
      </c>
      <c r="L40" s="485">
        <f>(L39/S39)*100</f>
        <v>6.8249953920748698</v>
      </c>
      <c r="M40" s="485">
        <f>(M39/S39)*100</f>
        <v>3.1880572611496114</v>
      </c>
      <c r="N40" s="485">
        <f>(N39/S39)*100</f>
        <v>2.289167050137987</v>
      </c>
      <c r="O40" s="485">
        <f>(O39/S39)*100</f>
        <v>1.9216615112239026</v>
      </c>
      <c r="P40" s="485">
        <f>(P39/S39)*100</f>
        <v>11.998410109098113</v>
      </c>
      <c r="Q40" s="485">
        <f>(Q39/S39)*100</f>
        <v>95.455896200687363</v>
      </c>
      <c r="R40" s="485">
        <f>(R39/S39)*100</f>
        <v>4.5441037993126354</v>
      </c>
      <c r="S40" s="485">
        <f>(S39/S39)*100</f>
        <v>100</v>
      </c>
      <c r="T40" s="486"/>
      <c r="U40" s="486"/>
      <c r="V40" s="451"/>
    </row>
    <row r="41" spans="1:22" ht="9.75" customHeight="1">
      <c r="A41" s="252" t="s">
        <v>253</v>
      </c>
      <c r="B41" s="736">
        <v>125469</v>
      </c>
      <c r="C41" s="736">
        <v>28482</v>
      </c>
      <c r="D41" s="736">
        <v>14208</v>
      </c>
      <c r="E41" s="736">
        <v>146503</v>
      </c>
      <c r="F41" s="736">
        <v>11589</v>
      </c>
      <c r="G41" s="736">
        <v>57072</v>
      </c>
      <c r="H41" s="736">
        <v>121332</v>
      </c>
      <c r="I41" s="736">
        <v>8228</v>
      </c>
      <c r="J41" s="736">
        <v>94571</v>
      </c>
      <c r="K41" s="736">
        <v>27545</v>
      </c>
      <c r="L41" s="736">
        <v>60119</v>
      </c>
      <c r="M41" s="736">
        <v>30282</v>
      </c>
      <c r="N41" s="736">
        <v>21392</v>
      </c>
      <c r="O41" s="736">
        <v>17731</v>
      </c>
      <c r="P41" s="736">
        <v>104608</v>
      </c>
      <c r="Q41" s="735">
        <f>SUM(B41:P41)</f>
        <v>869131</v>
      </c>
      <c r="R41" s="736">
        <v>46698</v>
      </c>
      <c r="S41" s="736">
        <f>Q41+R41</f>
        <v>915829</v>
      </c>
      <c r="T41" s="736">
        <v>72513</v>
      </c>
      <c r="U41" s="736">
        <f>S41+T41</f>
        <v>988342</v>
      </c>
      <c r="V41" s="316" t="s">
        <v>253</v>
      </c>
    </row>
    <row r="42" spans="1:22" ht="9.75" customHeight="1">
      <c r="A42" s="451"/>
      <c r="B42" s="485">
        <f>(B41/S41)*100</f>
        <v>13.700046624424427</v>
      </c>
      <c r="C42" s="485">
        <f>(C41/S41)*100</f>
        <v>3.109969219144622</v>
      </c>
      <c r="D42" s="485">
        <f>(D41/S41)*100</f>
        <v>1.5513813168178776</v>
      </c>
      <c r="E42" s="485">
        <f>(E41/S41)*100</f>
        <v>15.996763587962381</v>
      </c>
      <c r="F42" s="485">
        <f>(F41/S41)*100</f>
        <v>1.2654109009432983</v>
      </c>
      <c r="G42" s="485">
        <f>(G41/S41)*100</f>
        <v>6.2317310327582991</v>
      </c>
      <c r="H42" s="485">
        <f>(H41/S41)*100</f>
        <v>13.248324741845913</v>
      </c>
      <c r="I42" s="485">
        <f>(I41/S41)*100</f>
        <v>0.89842099343873139</v>
      </c>
      <c r="J42" s="485">
        <f>(J41/S41)*100</f>
        <v>10.326272699379469</v>
      </c>
      <c r="K42" s="485">
        <f>(K41/S41)*100</f>
        <v>3.0076575430566188</v>
      </c>
      <c r="L42" s="485">
        <f>(L41/S41)*100</f>
        <v>6.5644350637509845</v>
      </c>
      <c r="M42" s="485">
        <f>(M41/S41)*100</f>
        <v>3.3065124602955356</v>
      </c>
      <c r="N42" s="485">
        <f>(N41/S41)*100</f>
        <v>2.3358072303890793</v>
      </c>
      <c r="O42" s="485">
        <f>(O41/S41)*100</f>
        <v>1.9360601160260269</v>
      </c>
      <c r="P42" s="485">
        <f>(P41/S41)*100</f>
        <v>11.422219650174869</v>
      </c>
      <c r="Q42" s="485">
        <f>(Q41/S41)*100</f>
        <v>94.901013180408128</v>
      </c>
      <c r="R42" s="485">
        <f>(R41/S41)*100</f>
        <v>5.0989868195918673</v>
      </c>
      <c r="S42" s="485">
        <f>(S41/S41)*100</f>
        <v>100</v>
      </c>
      <c r="T42" s="486"/>
      <c r="U42" s="486"/>
      <c r="V42" s="451"/>
    </row>
    <row r="43" spans="1:22" ht="9.75" customHeight="1">
      <c r="A43" s="252" t="s">
        <v>1169</v>
      </c>
      <c r="B43" s="736">
        <v>138879</v>
      </c>
      <c r="C43" s="736">
        <v>31827</v>
      </c>
      <c r="D43" s="736">
        <v>16650</v>
      </c>
      <c r="E43" s="736">
        <v>167928</v>
      </c>
      <c r="F43" s="736">
        <v>14189</v>
      </c>
      <c r="G43" s="736">
        <v>68305</v>
      </c>
      <c r="H43" s="736">
        <v>137396</v>
      </c>
      <c r="I43" s="736">
        <v>9755</v>
      </c>
      <c r="J43" s="736">
        <v>112702</v>
      </c>
      <c r="K43" s="736">
        <v>36316</v>
      </c>
      <c r="L43" s="736">
        <v>68715</v>
      </c>
      <c r="M43" s="736">
        <v>33499</v>
      </c>
      <c r="N43" s="736">
        <v>25048</v>
      </c>
      <c r="O43" s="736">
        <v>20133</v>
      </c>
      <c r="P43" s="736">
        <v>117293</v>
      </c>
      <c r="Q43" s="735">
        <f>SUM(B43:P43)</f>
        <v>998635</v>
      </c>
      <c r="R43" s="736">
        <v>56569</v>
      </c>
      <c r="S43" s="736">
        <f>Q43+R43</f>
        <v>1055204</v>
      </c>
      <c r="T43" s="736">
        <v>89302</v>
      </c>
      <c r="U43" s="736">
        <f>S43+T43</f>
        <v>1144506</v>
      </c>
      <c r="V43" s="316" t="s">
        <v>1169</v>
      </c>
    </row>
    <row r="44" spans="1:22" ht="9.75" customHeight="1">
      <c r="A44" s="451"/>
      <c r="B44" s="485">
        <f>(B43/S43)*100</f>
        <v>13.161341314096612</v>
      </c>
      <c r="C44" s="485">
        <f>(C43/S43)*100</f>
        <v>3.0161940250416035</v>
      </c>
      <c r="D44" s="485">
        <f>(D43/S43)*100</f>
        <v>1.5778939427826277</v>
      </c>
      <c r="E44" s="485">
        <f>(E43/S43)*100</f>
        <v>15.914268710126194</v>
      </c>
      <c r="F44" s="485">
        <f>(F43/S43)*100</f>
        <v>1.344668898146709</v>
      </c>
      <c r="G44" s="485">
        <f>(G43/S43)*100</f>
        <v>6.473155901607651</v>
      </c>
      <c r="H44" s="485">
        <f>(H43/S43)*100</f>
        <v>13.02079976952324</v>
      </c>
      <c r="I44" s="485">
        <f>(I43/S43)*100</f>
        <v>0.92446579050117317</v>
      </c>
      <c r="J44" s="485">
        <f>(J43/S43)*100</f>
        <v>10.68058877714641</v>
      </c>
      <c r="K44" s="485">
        <f>(K43/S43)*100</f>
        <v>3.441609394960595</v>
      </c>
      <c r="L44" s="485">
        <f>(L43/S43)*100</f>
        <v>6.5120109476461421</v>
      </c>
      <c r="M44" s="485">
        <f>(M43/S43)*100</f>
        <v>3.17464679815467</v>
      </c>
      <c r="N44" s="485">
        <f>(N43/S43)*100</f>
        <v>2.3737590077368926</v>
      </c>
      <c r="O44" s="485">
        <f>(O43/S43)*100</f>
        <v>1.9079722972998585</v>
      </c>
      <c r="P44" s="485">
        <f>(P43/S43)*100</f>
        <v>11.115670524372538</v>
      </c>
      <c r="Q44" s="485">
        <f>(Q43/S43)*100</f>
        <v>94.639046099142917</v>
      </c>
      <c r="R44" s="485">
        <f>(R43/S43)*100</f>
        <v>5.3609539008570861</v>
      </c>
      <c r="S44" s="485">
        <f>(S43/S43)*100</f>
        <v>100</v>
      </c>
      <c r="T44" s="458"/>
      <c r="U44" s="458"/>
      <c r="V44" s="452"/>
    </row>
    <row r="45" spans="1:22" ht="9.75" customHeight="1">
      <c r="A45" s="252" t="s">
        <v>1361</v>
      </c>
      <c r="B45" s="736">
        <v>148758</v>
      </c>
      <c r="C45" s="736">
        <v>36995</v>
      </c>
      <c r="D45" s="736">
        <v>19461</v>
      </c>
      <c r="E45" s="736">
        <v>197127</v>
      </c>
      <c r="F45" s="736">
        <v>16381</v>
      </c>
      <c r="G45" s="736">
        <v>82432</v>
      </c>
      <c r="H45" s="736">
        <v>154579</v>
      </c>
      <c r="I45" s="736">
        <v>11263</v>
      </c>
      <c r="J45" s="736">
        <v>124281</v>
      </c>
      <c r="K45" s="736">
        <v>42237</v>
      </c>
      <c r="L45" s="736">
        <v>78820</v>
      </c>
      <c r="M45" s="736">
        <v>37678</v>
      </c>
      <c r="N45" s="736">
        <v>28429</v>
      </c>
      <c r="O45" s="736">
        <v>23868</v>
      </c>
      <c r="P45" s="736">
        <v>138952</v>
      </c>
      <c r="Q45" s="735">
        <f>SUM(B45:P45)</f>
        <v>1141261</v>
      </c>
      <c r="R45" s="736">
        <v>57662</v>
      </c>
      <c r="S45" s="736">
        <f>Q45+R45</f>
        <v>1198923</v>
      </c>
      <c r="T45" s="736">
        <v>96429</v>
      </c>
      <c r="U45" s="736">
        <f>S45+T45</f>
        <v>1295352</v>
      </c>
      <c r="V45" s="316" t="s">
        <v>1361</v>
      </c>
    </row>
    <row r="46" spans="1:22" ht="9.75" customHeight="1">
      <c r="A46" s="451"/>
      <c r="B46" s="485">
        <f>(B45/S45)*100</f>
        <v>12.407635853178228</v>
      </c>
      <c r="C46" s="485">
        <f>(C45/S45)*100</f>
        <v>3.0856860699144151</v>
      </c>
      <c r="D46" s="485">
        <f>(D45/S45)*100</f>
        <v>1.623206828128245</v>
      </c>
      <c r="E46" s="485">
        <f>(E45/S45)*100</f>
        <v>16.442006701014162</v>
      </c>
      <c r="F46" s="485">
        <f>(F45/S45)*100</f>
        <v>1.3663095961959191</v>
      </c>
      <c r="G46" s="485">
        <f>(G45/S45)*100</f>
        <v>6.8755040982615228</v>
      </c>
      <c r="H46" s="485">
        <f>(H45/S45)*100</f>
        <v>12.893154939891888</v>
      </c>
      <c r="I46" s="485">
        <f>(I45/S45)*100</f>
        <v>0.93942646858889178</v>
      </c>
      <c r="J46" s="485">
        <f>(J45/S45)*100</f>
        <v>10.366053533045909</v>
      </c>
      <c r="K46" s="485">
        <f>(K45/S45)*100</f>
        <v>3.5229118133524842</v>
      </c>
      <c r="L46" s="485">
        <f>(L45/S45)*100</f>
        <v>6.5742337080863411</v>
      </c>
      <c r="M46" s="485">
        <f>(M45/S45)*100</f>
        <v>3.1426538651773299</v>
      </c>
      <c r="N46" s="485">
        <f>(N45/S45)*100</f>
        <v>2.3712114956506798</v>
      </c>
      <c r="O46" s="485">
        <f>(O45/S45)*100</f>
        <v>1.9907867310911542</v>
      </c>
      <c r="P46" s="485">
        <f>(P45/S45)*100</f>
        <v>11.589735120604075</v>
      </c>
      <c r="Q46" s="485">
        <f>(Q45/S45)*100</f>
        <v>95.190516822181237</v>
      </c>
      <c r="R46" s="485">
        <f>(R45/S45)*100</f>
        <v>4.809483177818759</v>
      </c>
      <c r="S46" s="485">
        <f>(S45/S45)*100</f>
        <v>100</v>
      </c>
      <c r="T46" s="458"/>
      <c r="U46" s="458"/>
      <c r="V46" s="452"/>
    </row>
    <row r="47" spans="1:22" ht="9.75" customHeight="1">
      <c r="A47" s="361" t="s">
        <v>1693</v>
      </c>
      <c r="B47" s="736">
        <v>163968</v>
      </c>
      <c r="C47" s="736">
        <v>42308</v>
      </c>
      <c r="D47" s="736">
        <v>21080</v>
      </c>
      <c r="E47" s="736">
        <v>223221</v>
      </c>
      <c r="F47" s="736">
        <v>18401</v>
      </c>
      <c r="G47" s="736">
        <v>90834</v>
      </c>
      <c r="H47" s="736">
        <v>172575</v>
      </c>
      <c r="I47" s="736">
        <v>13035</v>
      </c>
      <c r="J47" s="736">
        <v>134317</v>
      </c>
      <c r="K47" s="736">
        <v>48563</v>
      </c>
      <c r="L47" s="736">
        <v>91229</v>
      </c>
      <c r="M47" s="736">
        <v>44728</v>
      </c>
      <c r="N47" s="736">
        <v>32767</v>
      </c>
      <c r="O47" s="736">
        <v>26924</v>
      </c>
      <c r="P47" s="736">
        <v>156551</v>
      </c>
      <c r="Q47" s="735">
        <f>SUM(B47:P47)</f>
        <v>1280501</v>
      </c>
      <c r="R47" s="736">
        <v>63173</v>
      </c>
      <c r="S47" s="736">
        <f>Q47+R47</f>
        <v>1343674</v>
      </c>
      <c r="T47" s="736">
        <v>89549</v>
      </c>
      <c r="U47" s="736">
        <f>S47+T47</f>
        <v>1433223</v>
      </c>
      <c r="V47" s="316" t="s">
        <v>1693</v>
      </c>
    </row>
    <row r="48" spans="1:22" ht="9.75" customHeight="1">
      <c r="A48" s="451"/>
      <c r="B48" s="485">
        <f>(B47/S47)*100</f>
        <v>12.20295994415312</v>
      </c>
      <c r="C48" s="485">
        <f>(C47/S47)*100</f>
        <v>3.1486804090873233</v>
      </c>
      <c r="D48" s="485">
        <f>(D47/S47)*100</f>
        <v>1.5688329163174994</v>
      </c>
      <c r="E48" s="485">
        <f>(E47/S47)*100</f>
        <v>16.612734934217674</v>
      </c>
      <c r="F48" s="485">
        <f>(F47/S47)*100</f>
        <v>1.3694541979676618</v>
      </c>
      <c r="G48" s="485">
        <f>(G47/S47)*100</f>
        <v>6.7601218747999887</v>
      </c>
      <c r="H48" s="485">
        <f>(H47/S47)*100</f>
        <v>12.843517103106855</v>
      </c>
      <c r="I48" s="485">
        <f>(I47/S47)*100</f>
        <v>0.9701013787570496</v>
      </c>
      <c r="J48" s="485">
        <f>(J47/S47)*100</f>
        <v>9.9962490901811005</v>
      </c>
      <c r="K48" s="485">
        <f>(K47/S47)*100</f>
        <v>3.6141951098257463</v>
      </c>
      <c r="L48" s="485">
        <f>(L47/S47)*100</f>
        <v>6.7895188862774747</v>
      </c>
      <c r="M48" s="485">
        <f>(M47/S47)*100</f>
        <v>3.3287836186455944</v>
      </c>
      <c r="N48" s="485">
        <f>(N47/S47)*100</f>
        <v>2.4386123419817602</v>
      </c>
      <c r="O48" s="485">
        <f>(O47/S47)*100</f>
        <v>2.0037598405565635</v>
      </c>
      <c r="P48" s="485">
        <f>(P47/S47)*100</f>
        <v>11.650965933701181</v>
      </c>
      <c r="Q48" s="485">
        <f>(Q47/S47)*100</f>
        <v>95.298487579576602</v>
      </c>
      <c r="R48" s="485">
        <f>(R47/S47)*100</f>
        <v>4.7015124204234064</v>
      </c>
      <c r="S48" s="485">
        <f>(S47/S47)*100</f>
        <v>100</v>
      </c>
      <c r="T48" s="486"/>
      <c r="U48" s="486"/>
      <c r="V48" s="452"/>
    </row>
    <row r="49" spans="1:27" ht="10.5" customHeight="1">
      <c r="A49" s="818" t="s">
        <v>1795</v>
      </c>
      <c r="B49" s="907">
        <v>176500</v>
      </c>
      <c r="C49" s="907">
        <v>47581</v>
      </c>
      <c r="D49" s="907">
        <v>23876</v>
      </c>
      <c r="E49" s="907">
        <v>254483</v>
      </c>
      <c r="F49" s="907">
        <v>19868</v>
      </c>
      <c r="G49" s="907">
        <v>108484</v>
      </c>
      <c r="H49" s="907">
        <v>192585</v>
      </c>
      <c r="I49" s="907">
        <v>14928</v>
      </c>
      <c r="J49" s="907">
        <v>150025</v>
      </c>
      <c r="K49" s="907">
        <v>55761</v>
      </c>
      <c r="L49" s="907">
        <v>106061</v>
      </c>
      <c r="M49" s="907">
        <v>50674</v>
      </c>
      <c r="N49" s="907">
        <v>37624</v>
      </c>
      <c r="O49" s="907">
        <v>30135</v>
      </c>
      <c r="P49" s="907">
        <v>176402</v>
      </c>
      <c r="Q49" s="908">
        <f>SUM(B49:P49)</f>
        <v>1444987</v>
      </c>
      <c r="R49" s="907">
        <v>70815</v>
      </c>
      <c r="S49" s="907">
        <f>Q49+R49</f>
        <v>1515802</v>
      </c>
      <c r="T49" s="907">
        <v>98402</v>
      </c>
      <c r="U49" s="907">
        <f>S49+T49</f>
        <v>1614204</v>
      </c>
      <c r="V49" s="819" t="s">
        <v>1795</v>
      </c>
    </row>
    <row r="50" spans="1:27" ht="10.5" customHeight="1">
      <c r="A50" s="451"/>
      <c r="B50" s="1026">
        <f>(B49/S49)*100</f>
        <v>11.644000997491757</v>
      </c>
      <c r="C50" s="1026">
        <f>(C49/S49)*100</f>
        <v>3.1389983652218429</v>
      </c>
      <c r="D50" s="1026">
        <f>(D49/S49)*100</f>
        <v>1.5751397609978086</v>
      </c>
      <c r="E50" s="1026">
        <f>(E49/S49)*100</f>
        <v>16.788670288071923</v>
      </c>
      <c r="F50" s="1026">
        <f>(F49/S49)*100</f>
        <v>1.3107252794230382</v>
      </c>
      <c r="G50" s="1026">
        <f>(G49/S49)*100</f>
        <v>7.1568714119654153</v>
      </c>
      <c r="H50" s="1026">
        <f>(H49/S49)*100</f>
        <v>12.705155422673938</v>
      </c>
      <c r="I50" s="1026">
        <f>(I49/S49)*100</f>
        <v>0.9848251948473481</v>
      </c>
      <c r="J50" s="1026">
        <f>(J49/S49)*100</f>
        <v>9.8974008478679938</v>
      </c>
      <c r="K50" s="1026">
        <f>(K49/S49)*100</f>
        <v>3.6786466834058804</v>
      </c>
      <c r="L50" s="1026">
        <f>(L49/S49)*100</f>
        <v>6.9970220384984323</v>
      </c>
      <c r="M50" s="1026">
        <f>(M49/S49)*100</f>
        <v>3.3430487623053673</v>
      </c>
      <c r="N50" s="1026">
        <f>(N49/S49)*100</f>
        <v>2.4821183769384128</v>
      </c>
      <c r="O50" s="1026">
        <f>(O49/S49)*100</f>
        <v>1.9880564875887483</v>
      </c>
      <c r="P50" s="1026">
        <f>(P49/S49)*100</f>
        <v>11.637535773141874</v>
      </c>
      <c r="Q50" s="1026">
        <f>(Q49/S49)*100</f>
        <v>95.328215690439777</v>
      </c>
      <c r="R50" s="1026">
        <f>(R49/S49)*100</f>
        <v>4.6717843095602198</v>
      </c>
      <c r="S50" s="1026">
        <f>(S49/S49)*100</f>
        <v>100</v>
      </c>
      <c r="T50" s="486"/>
      <c r="U50" s="486"/>
      <c r="V50" s="452"/>
    </row>
    <row r="51" spans="1:27" ht="10.5" customHeight="1">
      <c r="A51" s="818" t="s">
        <v>1996</v>
      </c>
      <c r="B51" s="907">
        <v>190315</v>
      </c>
      <c r="C51" s="907">
        <v>53076</v>
      </c>
      <c r="D51" s="907">
        <v>28578</v>
      </c>
      <c r="E51" s="907">
        <v>295111</v>
      </c>
      <c r="F51" s="907">
        <v>23829</v>
      </c>
      <c r="G51" s="907">
        <v>126353</v>
      </c>
      <c r="H51" s="907">
        <v>214257</v>
      </c>
      <c r="I51" s="907">
        <v>17058</v>
      </c>
      <c r="J51" s="907">
        <v>169165</v>
      </c>
      <c r="K51" s="907">
        <v>63601</v>
      </c>
      <c r="L51" s="907">
        <v>123740</v>
      </c>
      <c r="M51" s="907">
        <v>66711</v>
      </c>
      <c r="N51" s="907">
        <v>46512</v>
      </c>
      <c r="O51" s="907">
        <v>34758</v>
      </c>
      <c r="P51" s="907">
        <v>194248</v>
      </c>
      <c r="Q51" s="908">
        <f>SUM(B51:P51)</f>
        <v>1647312</v>
      </c>
      <c r="R51" s="907">
        <v>85552</v>
      </c>
      <c r="S51" s="907">
        <f>Q51+R51</f>
        <v>1732864</v>
      </c>
      <c r="T51" s="907">
        <v>99811</v>
      </c>
      <c r="U51" s="907">
        <f>S51+T51</f>
        <v>1832675</v>
      </c>
      <c r="V51" s="819" t="s">
        <v>1996</v>
      </c>
    </row>
    <row r="52" spans="1:27" ht="10.5" customHeight="1">
      <c r="A52" s="451"/>
      <c r="B52" s="1026">
        <f>(B51/S51)*100</f>
        <v>10.982685311715173</v>
      </c>
      <c r="C52" s="1026">
        <f>(C51/S51)*100</f>
        <v>3.0629062638499041</v>
      </c>
      <c r="D52" s="1026">
        <f>(D51/S51)*100</f>
        <v>1.6491773157039444</v>
      </c>
      <c r="E52" s="1026">
        <f>(E51/S51)*100</f>
        <v>17.030245881961886</v>
      </c>
      <c r="F52" s="1026">
        <f>(F51/S51)*100</f>
        <v>1.375122340818437</v>
      </c>
      <c r="G52" s="1026">
        <f>(G51/S51)*100</f>
        <v>7.2915704867779585</v>
      </c>
      <c r="H52" s="1026">
        <f>(H51/S51)*100</f>
        <v>12.364328648988034</v>
      </c>
      <c r="I52" s="1026">
        <f>(I51/S51)*100</f>
        <v>0.98438192495198706</v>
      </c>
      <c r="J52" s="1026">
        <f>(J51/S51)*100</f>
        <v>9.7621625240065004</v>
      </c>
      <c r="K52" s="1026">
        <f>(K51/S51)*100</f>
        <v>3.6702822610429906</v>
      </c>
      <c r="L52" s="1026">
        <f>(L51/S51)*100</f>
        <v>7.1407796572610422</v>
      </c>
      <c r="M52" s="1026">
        <f>(M51/S51)*100</f>
        <v>3.8497539333727286</v>
      </c>
      <c r="N52" s="1026">
        <f>(N51/S51)*100</f>
        <v>2.6841113901610281</v>
      </c>
      <c r="O52" s="1026">
        <f>(O51/S51)*100</f>
        <v>2.0058123430344215</v>
      </c>
      <c r="P52" s="1026">
        <f>(P51/S51)*100</f>
        <v>11.209650613089082</v>
      </c>
      <c r="Q52" s="1026">
        <f>(Q51/S51)*100</f>
        <v>95.062970896735109</v>
      </c>
      <c r="R52" s="1026">
        <f>(R51/S51)*100</f>
        <v>4.9370291032648836</v>
      </c>
      <c r="S52" s="1026">
        <f>(S51/S51)*100</f>
        <v>100</v>
      </c>
      <c r="T52" s="486"/>
      <c r="U52" s="486"/>
      <c r="V52" s="452"/>
    </row>
    <row r="53" spans="1:27" s="651" customFormat="1" ht="13.9" customHeight="1">
      <c r="A53" s="252" t="s">
        <v>2092</v>
      </c>
      <c r="B53" s="907">
        <v>205398</v>
      </c>
      <c r="C53" s="907">
        <v>59627</v>
      </c>
      <c r="D53" s="907">
        <v>34127</v>
      </c>
      <c r="E53" s="907">
        <v>341829</v>
      </c>
      <c r="F53" s="907">
        <v>26244</v>
      </c>
      <c r="G53" s="907">
        <v>146107</v>
      </c>
      <c r="H53" s="907">
        <v>243958</v>
      </c>
      <c r="I53" s="907">
        <v>19318</v>
      </c>
      <c r="J53" s="907">
        <v>187076</v>
      </c>
      <c r="K53" s="907">
        <v>73205</v>
      </c>
      <c r="L53" s="907">
        <v>144539</v>
      </c>
      <c r="M53" s="907">
        <v>78441</v>
      </c>
      <c r="N53" s="907">
        <v>56856</v>
      </c>
      <c r="O53" s="907">
        <v>38987</v>
      </c>
      <c r="P53" s="907">
        <v>214213</v>
      </c>
      <c r="Q53" s="908">
        <f>SUM(B53:P53)</f>
        <v>1869925</v>
      </c>
      <c r="R53" s="907">
        <v>105892</v>
      </c>
      <c r="S53" s="907">
        <f>Q53+R53</f>
        <v>1975817</v>
      </c>
      <c r="T53" s="907">
        <v>84901</v>
      </c>
      <c r="U53" s="907">
        <f>S53+T53</f>
        <v>2060718</v>
      </c>
      <c r="V53" s="821" t="s">
        <v>2092</v>
      </c>
    </row>
    <row r="54" spans="1:27" ht="10.5" customHeight="1">
      <c r="A54" s="451"/>
      <c r="B54" s="1026">
        <f>(B53/S53)*100</f>
        <v>10.395598377784987</v>
      </c>
      <c r="C54" s="1026">
        <f>(C53/S53)*100</f>
        <v>3.017840214959179</v>
      </c>
      <c r="D54" s="1026">
        <f>(D53/S53)*100</f>
        <v>1.7272348603134806</v>
      </c>
      <c r="E54" s="1026">
        <f>(E53/S53)*100</f>
        <v>17.300640696987628</v>
      </c>
      <c r="F54" s="1026">
        <f>(F53/S53)*100</f>
        <v>1.3282606638165377</v>
      </c>
      <c r="G54" s="1026">
        <f>(G53/S53)*100</f>
        <v>7.3947637863223159</v>
      </c>
      <c r="H54" s="1026">
        <f>(H53/S53)*100</f>
        <v>12.34719612190805</v>
      </c>
      <c r="I54" s="1026">
        <f>(I53/S53)*100</f>
        <v>0.97772212709982753</v>
      </c>
      <c r="J54" s="1026">
        <f>(J53/S53)*100</f>
        <v>9.4682857774783802</v>
      </c>
      <c r="K54" s="1026">
        <f>(K53/S53)*100</f>
        <v>3.7050496073269943</v>
      </c>
      <c r="L54" s="1026">
        <f>(L53/S53)*100</f>
        <v>7.315404210005279</v>
      </c>
      <c r="M54" s="1026">
        <f>(M53/S53)*100</f>
        <v>3.9700539068142442</v>
      </c>
      <c r="N54" s="1026">
        <f>(N53/S53)*100</f>
        <v>2.8775944330876797</v>
      </c>
      <c r="O54" s="1026">
        <f>(O53/S53)*100</f>
        <v>1.9732090573165428</v>
      </c>
      <c r="P54" s="1026">
        <f>(P53/S53)*100</f>
        <v>10.841742934694864</v>
      </c>
      <c r="Q54" s="1026">
        <f>(Q53/S53)*100</f>
        <v>94.640596775915981</v>
      </c>
      <c r="R54" s="1026">
        <f>(R53/S53)*100</f>
        <v>5.3594032240840122</v>
      </c>
      <c r="S54" s="1026">
        <f>(S53/S53)*100</f>
        <v>100</v>
      </c>
      <c r="T54" s="486"/>
      <c r="U54" s="486"/>
      <c r="V54" s="452"/>
    </row>
    <row r="55" spans="1:27" s="651" customFormat="1" ht="12.75" customHeight="1">
      <c r="A55" s="252" t="s">
        <v>2320</v>
      </c>
      <c r="B55" s="907">
        <v>227353</v>
      </c>
      <c r="C55" s="907">
        <v>66882</v>
      </c>
      <c r="D55" s="907">
        <v>38884</v>
      </c>
      <c r="E55" s="907">
        <v>404144</v>
      </c>
      <c r="F55" s="907">
        <v>29336</v>
      </c>
      <c r="G55" s="907">
        <v>169855</v>
      </c>
      <c r="H55" s="907">
        <v>279823</v>
      </c>
      <c r="I55" s="907">
        <v>22123</v>
      </c>
      <c r="J55" s="907">
        <v>204630</v>
      </c>
      <c r="K55" s="907">
        <v>83728</v>
      </c>
      <c r="L55" s="907">
        <v>166419</v>
      </c>
      <c r="M55" s="586">
        <v>90228</v>
      </c>
      <c r="N55" s="907">
        <v>64478</v>
      </c>
      <c r="O55" s="907">
        <v>44064</v>
      </c>
      <c r="P55" s="907">
        <v>236378</v>
      </c>
      <c r="Q55" s="908">
        <f>SUM(B55:P55)</f>
        <v>2128325</v>
      </c>
      <c r="R55" s="907">
        <v>122156</v>
      </c>
      <c r="S55" s="907">
        <f>Q55+R55</f>
        <v>2250481</v>
      </c>
      <c r="T55" s="907">
        <v>102628</v>
      </c>
      <c r="U55" s="907">
        <f>S55+T55</f>
        <v>2353109</v>
      </c>
      <c r="V55" s="316" t="s">
        <v>2320</v>
      </c>
    </row>
    <row r="56" spans="1:27" ht="12" customHeight="1" thickBot="1">
      <c r="A56" s="519"/>
      <c r="B56" s="909">
        <f>(B55/S55)*100</f>
        <v>10.102418105285048</v>
      </c>
      <c r="C56" s="909">
        <f>(C55/S55)*100</f>
        <v>2.97189800758149</v>
      </c>
      <c r="D56" s="909">
        <f>(D55/S55)*100</f>
        <v>1.7278084107353049</v>
      </c>
      <c r="E56" s="909">
        <f>(E55/S55)*100</f>
        <v>17.958116509315118</v>
      </c>
      <c r="F56" s="909">
        <f>(F55/S55)*100</f>
        <v>1.3035435535781019</v>
      </c>
      <c r="G56" s="909">
        <f>(G55/S55)*100</f>
        <v>7.5474976238413038</v>
      </c>
      <c r="H56" s="909">
        <f>(H55/S55)*100</f>
        <v>12.433919682059081</v>
      </c>
      <c r="I56" s="909">
        <f>(I55/S55)*100</f>
        <v>0.98303429355768834</v>
      </c>
      <c r="J56" s="909">
        <f>(J55/S55)*100</f>
        <v>9.0927228445830028</v>
      </c>
      <c r="K56" s="909">
        <f>(K55/S55)*100</f>
        <v>3.7204490951045575</v>
      </c>
      <c r="L56" s="909">
        <f>(L55/S55)*100</f>
        <v>7.3948191519946178</v>
      </c>
      <c r="M56" s="909">
        <f>(M55/S55)*100</f>
        <v>4.0092762391684262</v>
      </c>
      <c r="N56" s="909">
        <f>(N55/S55)*100</f>
        <v>2.8650763992230996</v>
      </c>
      <c r="O56" s="909">
        <f>(O55/S55)*100</f>
        <v>1.9579814270815885</v>
      </c>
      <c r="P56" s="909">
        <f>(P55/S55)*100</f>
        <v>10.503443486081419</v>
      </c>
      <c r="Q56" s="909">
        <f>(Q55/S55)*100</f>
        <v>94.572004829189851</v>
      </c>
      <c r="R56" s="909">
        <f>(R55/S55)*100</f>
        <v>5.427995170810151</v>
      </c>
      <c r="S56" s="909">
        <f>(S55/S55)*100</f>
        <v>100</v>
      </c>
      <c r="T56" s="524"/>
      <c r="U56" s="524"/>
      <c r="V56" s="817"/>
    </row>
    <row r="57" spans="1:27" ht="10.5" customHeight="1">
      <c r="A57" s="110" t="s">
        <v>477</v>
      </c>
      <c r="B57" s="2038" t="s">
        <v>2284</v>
      </c>
      <c r="C57" s="2038"/>
      <c r="D57" s="2038"/>
      <c r="E57" s="2038"/>
      <c r="F57" s="2038"/>
      <c r="G57" s="2038"/>
      <c r="H57" s="2038"/>
      <c r="I57" s="2038"/>
      <c r="J57" s="2038"/>
      <c r="K57" s="2038"/>
      <c r="L57" s="136" t="s">
        <v>476</v>
      </c>
      <c r="M57" s="2038" t="s">
        <v>2180</v>
      </c>
      <c r="N57" s="2038"/>
      <c r="O57" s="2038"/>
      <c r="P57" s="45"/>
      <c r="Q57" s="2021"/>
      <c r="R57" s="2021"/>
      <c r="S57" s="45"/>
      <c r="T57" s="45"/>
      <c r="U57" s="45"/>
      <c r="V57" s="45"/>
      <c r="W57" s="101"/>
      <c r="X57" s="101"/>
      <c r="Y57" s="101"/>
      <c r="Z57" s="101"/>
      <c r="AA57" s="101"/>
    </row>
    <row r="58" spans="1:27" ht="11.25" customHeight="1">
      <c r="B58" s="2036" t="s">
        <v>2181</v>
      </c>
      <c r="C58" s="2036"/>
      <c r="D58" s="2036"/>
      <c r="E58" s="2036"/>
      <c r="F58" s="2036"/>
      <c r="G58" s="2036"/>
      <c r="H58" s="2036"/>
      <c r="I58" s="118"/>
      <c r="J58" s="127"/>
      <c r="K58" s="127"/>
      <c r="L58" s="81"/>
      <c r="M58" s="2037"/>
      <c r="N58" s="2037"/>
      <c r="O58" s="2037"/>
      <c r="W58" s="101"/>
      <c r="X58" s="1014"/>
      <c r="Y58" s="101"/>
      <c r="Z58" s="101"/>
      <c r="AA58" s="101"/>
    </row>
    <row r="59" spans="1:27" ht="10.5" customHeight="1">
      <c r="T59" s="907"/>
      <c r="W59" s="101"/>
      <c r="X59" s="1014"/>
      <c r="Y59" s="101"/>
      <c r="Z59" s="101"/>
      <c r="AA59" s="101"/>
    </row>
    <row r="60" spans="1:27" ht="10.5" customHeight="1">
      <c r="S60" s="10"/>
      <c r="W60" s="101"/>
      <c r="X60" s="1015"/>
      <c r="Y60" s="101"/>
      <c r="Z60" s="101"/>
      <c r="AA60" s="101"/>
    </row>
    <row r="61" spans="1:27" ht="10.5" customHeight="1">
      <c r="J61" s="1013"/>
      <c r="W61" s="101"/>
      <c r="X61" s="1014"/>
      <c r="Y61" s="101"/>
      <c r="Z61" s="101"/>
      <c r="AA61" s="101"/>
    </row>
    <row r="62" spans="1:27" ht="10.5" customHeight="1">
      <c r="S62" s="1461"/>
      <c r="W62" s="101"/>
      <c r="X62" s="101"/>
      <c r="Y62" s="101"/>
      <c r="Z62" s="101"/>
      <c r="AA62" s="101"/>
    </row>
    <row r="63" spans="1:27" ht="10.5" customHeight="1">
      <c r="W63" s="101"/>
      <c r="X63" s="101"/>
    </row>
    <row r="64" spans="1:27" ht="10.5" customHeight="1">
      <c r="W64" s="101"/>
      <c r="X64" s="101"/>
    </row>
    <row r="65" spans="8:24">
      <c r="H65" s="816"/>
      <c r="W65" s="101"/>
      <c r="X65" s="101"/>
    </row>
    <row r="66" spans="8:24">
      <c r="H66" s="813"/>
      <c r="W66" s="101"/>
      <c r="X66" s="101"/>
    </row>
    <row r="67" spans="8:24">
      <c r="H67" s="813"/>
      <c r="W67" s="101"/>
      <c r="X67" s="101"/>
    </row>
    <row r="68" spans="8:24">
      <c r="H68" s="813"/>
      <c r="W68" s="101"/>
      <c r="X68" s="101"/>
    </row>
    <row r="69" spans="8:24">
      <c r="H69" s="814"/>
      <c r="W69" s="101"/>
      <c r="X69" s="101"/>
    </row>
    <row r="70" spans="8:24">
      <c r="H70" s="814"/>
      <c r="W70" s="101"/>
      <c r="X70" s="101"/>
    </row>
    <row r="71" spans="8:24">
      <c r="H71" s="815"/>
    </row>
    <row r="72" spans="8:24">
      <c r="H72" s="815"/>
    </row>
    <row r="73" spans="8:24">
      <c r="H73" s="814"/>
    </row>
    <row r="74" spans="8:24">
      <c r="H74" s="814"/>
    </row>
    <row r="75" spans="8:24">
      <c r="H75" s="814"/>
    </row>
    <row r="76" spans="8:24">
      <c r="H76" s="814"/>
    </row>
    <row r="77" spans="8:24">
      <c r="H77" s="814"/>
    </row>
    <row r="78" spans="8:24">
      <c r="H78" s="814"/>
    </row>
    <row r="79" spans="8:24">
      <c r="H79" s="815"/>
    </row>
  </sheetData>
  <mergeCells count="11">
    <mergeCell ref="B58:H58"/>
    <mergeCell ref="M58:O58"/>
    <mergeCell ref="A1:K1"/>
    <mergeCell ref="U1:V1"/>
    <mergeCell ref="U2:V2"/>
    <mergeCell ref="L1:T1"/>
    <mergeCell ref="B57:K57"/>
    <mergeCell ref="A3:A4"/>
    <mergeCell ref="V3:V4"/>
    <mergeCell ref="Q57:R57"/>
    <mergeCell ref="M57:O57"/>
  </mergeCells>
  <phoneticPr fontId="46" type="noConversion"/>
  <pageMargins left="0.62992125984252001" right="0.511811023622047" top="0.31496062992126" bottom="0.31496062992126" header="0.25" footer="0"/>
  <pageSetup paperSize="141" firstPageNumber="46" orientation="portrait" useFirstPageNumber="1" r:id="rId1"/>
  <headerFooter>
    <oddFooter>&amp;C&amp;"Times New Roman,Regular"&amp;8&amp;P</oddFooter>
  </headerFooter>
  <ignoredErrors>
    <ignoredError sqref="B19:P28 T19:T28" numberStoredAsText="1"/>
    <ignoredError sqref="S19:S28 Q19:R28" numberStoredAsText="1" formula="1"/>
    <ignoredError sqref="Q39:Q46 Q5:R18 S39:S47 S29:S30 Q29:Q30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1"/>
  <dimension ref="A1:W58"/>
  <sheetViews>
    <sheetView topLeftCell="I1" zoomScale="170" zoomScaleNormal="170" workbookViewId="0">
      <pane ySplit="4" topLeftCell="A52" activePane="bottomLeft" state="frozen"/>
      <selection pane="bottomLeft" activeCell="E67" sqref="E67"/>
    </sheetView>
  </sheetViews>
  <sheetFormatPr defaultColWidth="9.140625" defaultRowHeight="11.25"/>
  <cols>
    <col min="1" max="1" width="8.28515625" style="10" customWidth="1"/>
    <col min="2" max="2" width="6.5703125" style="10" customWidth="1"/>
    <col min="3" max="3" width="6.7109375" style="10" customWidth="1"/>
    <col min="4" max="4" width="7.140625" style="10" customWidth="1"/>
    <col min="5" max="5" width="7.28515625" style="10" customWidth="1"/>
    <col min="6" max="6" width="6.7109375" style="10" customWidth="1"/>
    <col min="7" max="7" width="7" style="10" customWidth="1"/>
    <col min="8" max="9" width="6.7109375" style="10" customWidth="1"/>
    <col min="10" max="10" width="8.140625" style="10" customWidth="1"/>
    <col min="11" max="11" width="6.28515625" style="10" customWidth="1"/>
    <col min="12" max="12" width="7.7109375" style="10" customWidth="1"/>
    <col min="13" max="13" width="6.85546875" style="10" customWidth="1"/>
    <col min="14" max="14" width="6.42578125" style="10" customWidth="1"/>
    <col min="15" max="15" width="6.5703125" style="10" customWidth="1"/>
    <col min="16" max="16" width="7.28515625" style="10" customWidth="1"/>
    <col min="17" max="17" width="7" style="10" customWidth="1"/>
    <col min="18" max="18" width="6.7109375" style="10" customWidth="1"/>
    <col min="19" max="19" width="7.7109375" style="10" customWidth="1"/>
    <col min="20" max="20" width="7.140625" style="10" customWidth="1"/>
    <col min="21" max="21" width="7.42578125" style="10" customWidth="1"/>
    <col min="22" max="22" width="8.42578125" style="10" customWidth="1"/>
    <col min="23" max="16384" width="9.140625" style="10"/>
  </cols>
  <sheetData>
    <row r="1" spans="1:23" s="32" customFormat="1" ht="15.75" customHeight="1">
      <c r="A1" s="1994" t="s">
        <v>37</v>
      </c>
      <c r="B1" s="1994"/>
      <c r="C1" s="1994"/>
      <c r="D1" s="1994"/>
      <c r="E1" s="1994"/>
      <c r="F1" s="1994"/>
      <c r="G1" s="1994"/>
      <c r="H1" s="1994"/>
      <c r="I1" s="1994"/>
      <c r="J1" s="1994"/>
      <c r="K1" s="1994"/>
      <c r="L1" s="2017" t="s">
        <v>473</v>
      </c>
      <c r="M1" s="2017"/>
      <c r="N1" s="2017"/>
      <c r="O1" s="2017"/>
      <c r="P1" s="2017"/>
      <c r="Q1" s="2017"/>
      <c r="R1" s="2017"/>
      <c r="S1" s="2017"/>
      <c r="T1" s="2017"/>
      <c r="U1" s="1995" t="s">
        <v>1851</v>
      </c>
      <c r="V1" s="1995"/>
      <c r="W1" s="72"/>
    </row>
    <row r="2" spans="1:23" s="134" customFormat="1" ht="11.25" customHeight="1">
      <c r="A2" s="135"/>
      <c r="B2" s="135"/>
      <c r="E2" s="135"/>
      <c r="F2" s="135"/>
      <c r="G2" s="135"/>
      <c r="H2" s="135"/>
      <c r="I2" s="135"/>
      <c r="J2" s="2041" t="s">
        <v>193</v>
      </c>
      <c r="K2" s="2041"/>
      <c r="L2" s="137" t="s">
        <v>2167</v>
      </c>
      <c r="U2" s="2041" t="s">
        <v>489</v>
      </c>
      <c r="V2" s="2041"/>
    </row>
    <row r="3" spans="1:23" s="55" customFormat="1" ht="70.5" customHeight="1">
      <c r="A3" s="1997" t="s">
        <v>764</v>
      </c>
      <c r="B3" s="1126" t="s">
        <v>2233</v>
      </c>
      <c r="C3" s="27" t="s">
        <v>787</v>
      </c>
      <c r="D3" s="1126" t="s">
        <v>2225</v>
      </c>
      <c r="E3" s="27" t="s">
        <v>469</v>
      </c>
      <c r="F3" s="27" t="s">
        <v>475</v>
      </c>
      <c r="G3" s="27" t="s">
        <v>470</v>
      </c>
      <c r="H3" s="1126" t="s">
        <v>2234</v>
      </c>
      <c r="I3" s="1126" t="s">
        <v>2227</v>
      </c>
      <c r="J3" s="1126" t="s">
        <v>2228</v>
      </c>
      <c r="K3" s="27" t="s">
        <v>471</v>
      </c>
      <c r="L3" s="1126" t="s">
        <v>2229</v>
      </c>
      <c r="M3" s="1126" t="s">
        <v>2230</v>
      </c>
      <c r="N3" s="27" t="s">
        <v>472</v>
      </c>
      <c r="O3" s="1126" t="s">
        <v>2231</v>
      </c>
      <c r="P3" s="1126" t="s">
        <v>2232</v>
      </c>
      <c r="Q3" s="27" t="s">
        <v>979</v>
      </c>
      <c r="R3" s="27" t="s">
        <v>467</v>
      </c>
      <c r="S3" s="27" t="s">
        <v>980</v>
      </c>
      <c r="T3" s="27" t="s">
        <v>468</v>
      </c>
      <c r="U3" s="126" t="s">
        <v>978</v>
      </c>
      <c r="V3" s="1997" t="s">
        <v>764</v>
      </c>
    </row>
    <row r="4" spans="1:23" s="68" customFormat="1" ht="9.75" customHeight="1">
      <c r="A4" s="1999"/>
      <c r="B4" s="1027">
        <v>1</v>
      </c>
      <c r="C4" s="1027">
        <v>2</v>
      </c>
      <c r="D4" s="1027">
        <v>3</v>
      </c>
      <c r="E4" s="1027">
        <v>4</v>
      </c>
      <c r="F4" s="1027">
        <v>5</v>
      </c>
      <c r="G4" s="1027">
        <v>6</v>
      </c>
      <c r="H4" s="1027">
        <v>7</v>
      </c>
      <c r="I4" s="1027">
        <v>8</v>
      </c>
      <c r="J4" s="1027">
        <v>9</v>
      </c>
      <c r="K4" s="1027">
        <v>10</v>
      </c>
      <c r="L4" s="1027">
        <v>11</v>
      </c>
      <c r="M4" s="1027">
        <v>12</v>
      </c>
      <c r="N4" s="1027">
        <v>13</v>
      </c>
      <c r="O4" s="1027">
        <v>14</v>
      </c>
      <c r="P4" s="1027">
        <v>15</v>
      </c>
      <c r="Q4" s="1027">
        <v>16</v>
      </c>
      <c r="R4" s="1027">
        <v>17</v>
      </c>
      <c r="S4" s="1027">
        <v>18</v>
      </c>
      <c r="T4" s="1027">
        <v>19</v>
      </c>
      <c r="U4" s="1027">
        <v>20</v>
      </c>
      <c r="V4" s="1999"/>
    </row>
    <row r="5" spans="1:23" ht="9.6" customHeight="1">
      <c r="A5" s="8" t="s">
        <v>832</v>
      </c>
      <c r="B5" s="35">
        <v>38425</v>
      </c>
      <c r="C5" s="35">
        <v>12002</v>
      </c>
      <c r="D5" s="35">
        <v>2028</v>
      </c>
      <c r="E5" s="35">
        <v>30368</v>
      </c>
      <c r="F5" s="35">
        <v>2826</v>
      </c>
      <c r="G5" s="35">
        <v>15459</v>
      </c>
      <c r="H5" s="35">
        <v>26328</v>
      </c>
      <c r="I5" s="35">
        <v>1247</v>
      </c>
      <c r="J5" s="35">
        <v>18142</v>
      </c>
      <c r="K5" s="35">
        <v>3098</v>
      </c>
      <c r="L5" s="35">
        <v>17499</v>
      </c>
      <c r="M5" s="35">
        <v>5026</v>
      </c>
      <c r="N5" s="35">
        <v>4342</v>
      </c>
      <c r="O5" s="35">
        <v>4335</v>
      </c>
      <c r="P5" s="35">
        <v>16033</v>
      </c>
      <c r="Q5" s="35">
        <f>SUM(B5:P5)</f>
        <v>197158</v>
      </c>
      <c r="R5" s="35">
        <v>7769</v>
      </c>
      <c r="S5" s="35">
        <f>Q5+R5</f>
        <v>204927</v>
      </c>
      <c r="T5" s="35">
        <v>7532</v>
      </c>
      <c r="U5" s="35">
        <f>S5+T5</f>
        <v>212459</v>
      </c>
      <c r="V5" s="50" t="s">
        <v>832</v>
      </c>
    </row>
    <row r="6" spans="1:23" ht="9.6" customHeight="1">
      <c r="A6" s="461"/>
      <c r="B6" s="485">
        <f t="shared" ref="B6:S6" si="0">(B5/$S5)*100</f>
        <v>18.750579474642191</v>
      </c>
      <c r="C6" s="485">
        <f t="shared" si="0"/>
        <v>5.8567197099454926</v>
      </c>
      <c r="D6" s="485">
        <f t="shared" si="0"/>
        <v>0.98962069419842191</v>
      </c>
      <c r="E6" s="485">
        <f t="shared" si="0"/>
        <v>14.818935523381496</v>
      </c>
      <c r="F6" s="485">
        <f t="shared" si="0"/>
        <v>1.379027653749872</v>
      </c>
      <c r="G6" s="485">
        <f t="shared" si="0"/>
        <v>7.5436618893557208</v>
      </c>
      <c r="H6" s="485">
        <f t="shared" si="0"/>
        <v>12.847501793321525</v>
      </c>
      <c r="I6" s="485">
        <f t="shared" si="0"/>
        <v>0.60850937162989749</v>
      </c>
      <c r="J6" s="485">
        <f t="shared" si="0"/>
        <v>8.8529085967198071</v>
      </c>
      <c r="K6" s="485">
        <f t="shared" si="0"/>
        <v>1.511757845476682</v>
      </c>
      <c r="L6" s="485">
        <f t="shared" si="0"/>
        <v>8.539138327306798</v>
      </c>
      <c r="M6" s="485">
        <f t="shared" si="0"/>
        <v>2.452580675069659</v>
      </c>
      <c r="N6" s="485">
        <f t="shared" si="0"/>
        <v>2.1188032811684159</v>
      </c>
      <c r="O6" s="485">
        <f t="shared" si="0"/>
        <v>2.115387430646035</v>
      </c>
      <c r="P6" s="485">
        <f t="shared" si="0"/>
        <v>7.8237616321909762</v>
      </c>
      <c r="Q6" s="485">
        <f t="shared" si="0"/>
        <v>96.208893898802984</v>
      </c>
      <c r="R6" s="485">
        <f t="shared" si="0"/>
        <v>3.7911061011970117</v>
      </c>
      <c r="S6" s="485">
        <f t="shared" si="0"/>
        <v>100</v>
      </c>
      <c r="T6" s="442"/>
      <c r="U6" s="442"/>
      <c r="V6" s="452"/>
    </row>
    <row r="7" spans="1:23" ht="9.6" customHeight="1">
      <c r="A7" s="8" t="s">
        <v>833</v>
      </c>
      <c r="B7" s="35">
        <v>40551</v>
      </c>
      <c r="C7" s="35">
        <v>11458</v>
      </c>
      <c r="D7" s="35">
        <v>2225</v>
      </c>
      <c r="E7" s="35">
        <v>32398</v>
      </c>
      <c r="F7" s="35">
        <v>3035</v>
      </c>
      <c r="G7" s="35">
        <v>16796</v>
      </c>
      <c r="H7" s="35">
        <v>28021</v>
      </c>
      <c r="I7" s="35">
        <v>1335</v>
      </c>
      <c r="J7" s="35">
        <v>19580</v>
      </c>
      <c r="K7" s="35">
        <v>3270</v>
      </c>
      <c r="L7" s="35">
        <v>18096</v>
      </c>
      <c r="M7" s="35">
        <v>5321</v>
      </c>
      <c r="N7" s="35">
        <v>4651</v>
      </c>
      <c r="O7" s="35">
        <v>4548</v>
      </c>
      <c r="P7" s="35">
        <v>16538</v>
      </c>
      <c r="Q7" s="35">
        <f>SUM(B7:P7)</f>
        <v>207823</v>
      </c>
      <c r="R7" s="35">
        <v>7913</v>
      </c>
      <c r="S7" s="35">
        <f>Q7+R7</f>
        <v>215736</v>
      </c>
      <c r="T7" s="35">
        <v>7523</v>
      </c>
      <c r="U7" s="35">
        <f>S7+T7</f>
        <v>223259</v>
      </c>
      <c r="V7" s="50" t="s">
        <v>833</v>
      </c>
    </row>
    <row r="8" spans="1:23" ht="9.6" customHeight="1">
      <c r="A8" s="461"/>
      <c r="B8" s="485">
        <f t="shared" ref="B8:S8" si="1">(B7/$S7)*100</f>
        <v>18.796584714651239</v>
      </c>
      <c r="C8" s="485">
        <f t="shared" si="1"/>
        <v>5.3111209997404236</v>
      </c>
      <c r="D8" s="485">
        <f t="shared" si="1"/>
        <v>1.0313531353135312</v>
      </c>
      <c r="E8" s="485">
        <f t="shared" si="1"/>
        <v>15.017428709163049</v>
      </c>
      <c r="F8" s="485">
        <f t="shared" si="1"/>
        <v>1.4068120295175586</v>
      </c>
      <c r="G8" s="485">
        <f t="shared" si="1"/>
        <v>7.7854414654948645</v>
      </c>
      <c r="H8" s="485">
        <f t="shared" si="1"/>
        <v>12.988560091964253</v>
      </c>
      <c r="I8" s="485">
        <f t="shared" si="1"/>
        <v>0.61881188118811881</v>
      </c>
      <c r="J8" s="485">
        <f t="shared" si="1"/>
        <v>9.0759075907590763</v>
      </c>
      <c r="K8" s="485">
        <f t="shared" si="1"/>
        <v>1.5157414617866283</v>
      </c>
      <c r="L8" s="485">
        <f t="shared" si="1"/>
        <v>8.3880298142173757</v>
      </c>
      <c r="M8" s="485">
        <f t="shared" si="1"/>
        <v>2.4664404642711459</v>
      </c>
      <c r="N8" s="485">
        <f t="shared" si="1"/>
        <v>2.1558756999295436</v>
      </c>
      <c r="O8" s="485">
        <f t="shared" si="1"/>
        <v>2.1081321615307598</v>
      </c>
      <c r="P8" s="485">
        <f t="shared" si="1"/>
        <v>7.6658508547483963</v>
      </c>
      <c r="Q8" s="485">
        <f t="shared" si="1"/>
        <v>96.332091074275965</v>
      </c>
      <c r="R8" s="485">
        <f t="shared" si="1"/>
        <v>3.6679089257240332</v>
      </c>
      <c r="S8" s="485">
        <f t="shared" si="1"/>
        <v>100</v>
      </c>
      <c r="T8" s="442"/>
      <c r="U8" s="442"/>
      <c r="V8" s="452"/>
    </row>
    <row r="9" spans="1:23" ht="9.6" customHeight="1">
      <c r="A9" s="8" t="s">
        <v>834</v>
      </c>
      <c r="B9" s="35">
        <v>40300</v>
      </c>
      <c r="C9" s="35">
        <v>11713</v>
      </c>
      <c r="D9" s="35">
        <v>2326</v>
      </c>
      <c r="E9" s="35">
        <v>34174</v>
      </c>
      <c r="F9" s="35">
        <v>3267</v>
      </c>
      <c r="G9" s="35">
        <v>18243</v>
      </c>
      <c r="H9" s="35">
        <v>29868</v>
      </c>
      <c r="I9" s="35">
        <v>1427</v>
      </c>
      <c r="J9" s="35">
        <v>20863</v>
      </c>
      <c r="K9" s="35">
        <v>3489</v>
      </c>
      <c r="L9" s="35">
        <v>18715</v>
      </c>
      <c r="M9" s="35">
        <v>5636</v>
      </c>
      <c r="N9" s="35">
        <v>5004</v>
      </c>
      <c r="O9" s="35">
        <v>4789</v>
      </c>
      <c r="P9" s="35">
        <v>17073</v>
      </c>
      <c r="Q9" s="35">
        <f>SUM(B9:P9)</f>
        <v>216887</v>
      </c>
      <c r="R9" s="35">
        <v>8374</v>
      </c>
      <c r="S9" s="35">
        <f>Q9+R9</f>
        <v>225261</v>
      </c>
      <c r="T9" s="35">
        <v>10342</v>
      </c>
      <c r="U9" s="35">
        <f>S9+T9</f>
        <v>235603</v>
      </c>
      <c r="V9" s="50" t="s">
        <v>834</v>
      </c>
    </row>
    <row r="10" spans="1:23" ht="9.6" customHeight="1">
      <c r="A10" s="461"/>
      <c r="B10" s="485">
        <f t="shared" ref="B10:S10" si="2">(B9/$S9)*100</f>
        <v>17.890358295488344</v>
      </c>
      <c r="C10" s="485">
        <f t="shared" si="2"/>
        <v>5.1997460723338707</v>
      </c>
      <c r="D10" s="485">
        <f t="shared" si="2"/>
        <v>1.0325799849951833</v>
      </c>
      <c r="E10" s="485">
        <f t="shared" si="2"/>
        <v>15.170846262779619</v>
      </c>
      <c r="F10" s="485">
        <f t="shared" si="2"/>
        <v>1.4503176315474051</v>
      </c>
      <c r="G10" s="485">
        <f t="shared" si="2"/>
        <v>8.0986056174837184</v>
      </c>
      <c r="H10" s="485">
        <f t="shared" si="2"/>
        <v>13.259285895028434</v>
      </c>
      <c r="I10" s="485">
        <f t="shared" si="2"/>
        <v>0.63348737686505874</v>
      </c>
      <c r="J10" s="485">
        <f t="shared" si="2"/>
        <v>9.2617008714335807</v>
      </c>
      <c r="K10" s="485">
        <f t="shared" si="2"/>
        <v>1.548869977492775</v>
      </c>
      <c r="L10" s="485">
        <f t="shared" si="2"/>
        <v>8.30814033498919</v>
      </c>
      <c r="M10" s="485">
        <f t="shared" si="2"/>
        <v>2.5019865844509255</v>
      </c>
      <c r="N10" s="485">
        <f t="shared" si="2"/>
        <v>2.2214231491469896</v>
      </c>
      <c r="O10" s="485">
        <f t="shared" si="2"/>
        <v>2.1259783096053022</v>
      </c>
      <c r="P10" s="485">
        <f t="shared" si="2"/>
        <v>7.5792081185824447</v>
      </c>
      <c r="Q10" s="485">
        <f t="shared" si="2"/>
        <v>96.282534482222843</v>
      </c>
      <c r="R10" s="485">
        <f t="shared" si="2"/>
        <v>3.7174655177771561</v>
      </c>
      <c r="S10" s="485">
        <f t="shared" si="2"/>
        <v>100</v>
      </c>
      <c r="T10" s="442"/>
      <c r="U10" s="442"/>
      <c r="V10" s="452"/>
    </row>
    <row r="11" spans="1:23" ht="9.6" customHeight="1">
      <c r="A11" s="8" t="s">
        <v>835</v>
      </c>
      <c r="B11" s="35">
        <v>41627</v>
      </c>
      <c r="C11" s="35">
        <v>11986</v>
      </c>
      <c r="D11" s="35">
        <v>2493</v>
      </c>
      <c r="E11" s="35">
        <v>36480</v>
      </c>
      <c r="F11" s="39">
        <v>3529</v>
      </c>
      <c r="G11" s="35">
        <v>19719</v>
      </c>
      <c r="H11" s="35">
        <v>31687</v>
      </c>
      <c r="I11" s="35">
        <v>1527</v>
      </c>
      <c r="J11" s="35">
        <v>22292</v>
      </c>
      <c r="K11" s="483">
        <v>3722</v>
      </c>
      <c r="L11" s="35">
        <v>19374</v>
      </c>
      <c r="M11" s="35">
        <v>5932</v>
      </c>
      <c r="N11" s="35">
        <v>5384</v>
      </c>
      <c r="O11" s="35">
        <v>5057</v>
      </c>
      <c r="P11" s="35">
        <v>17640</v>
      </c>
      <c r="Q11" s="483">
        <f>SUM(B11:P11)</f>
        <v>228449</v>
      </c>
      <c r="R11" s="35">
        <v>8652</v>
      </c>
      <c r="S11" s="35">
        <f>Q11+R11</f>
        <v>237101</v>
      </c>
      <c r="T11" s="35">
        <v>13081</v>
      </c>
      <c r="U11" s="35">
        <f>S11+T11</f>
        <v>250182</v>
      </c>
      <c r="V11" s="50" t="s">
        <v>835</v>
      </c>
    </row>
    <row r="12" spans="1:23" ht="9.6" customHeight="1">
      <c r="A12" s="461"/>
      <c r="B12" s="485">
        <f t="shared" ref="B12:S12" si="3">(B11/$S11)*100</f>
        <v>17.556653071897628</v>
      </c>
      <c r="C12" s="485">
        <f t="shared" si="3"/>
        <v>5.0552296278801023</v>
      </c>
      <c r="D12" s="485">
        <f t="shared" si="3"/>
        <v>1.0514506476143077</v>
      </c>
      <c r="E12" s="485">
        <f t="shared" si="3"/>
        <v>15.385848225018032</v>
      </c>
      <c r="F12" s="485">
        <f t="shared" si="3"/>
        <v>1.4883952408467278</v>
      </c>
      <c r="G12" s="485">
        <f t="shared" si="3"/>
        <v>8.3167089130792355</v>
      </c>
      <c r="H12" s="485">
        <f t="shared" si="3"/>
        <v>13.364346839532521</v>
      </c>
      <c r="I12" s="485">
        <f t="shared" si="3"/>
        <v>0.64402933770840276</v>
      </c>
      <c r="J12" s="485">
        <f t="shared" si="3"/>
        <v>9.4019004559238457</v>
      </c>
      <c r="K12" s="485">
        <f t="shared" si="3"/>
        <v>1.5697951505898331</v>
      </c>
      <c r="L12" s="485">
        <f t="shared" si="3"/>
        <v>8.1712013023985559</v>
      </c>
      <c r="M12" s="485">
        <f t="shared" si="3"/>
        <v>2.5018873813269451</v>
      </c>
      <c r="N12" s="485">
        <f t="shared" si="3"/>
        <v>2.2707622489993717</v>
      </c>
      <c r="O12" s="485">
        <f t="shared" si="3"/>
        <v>2.1328463397455093</v>
      </c>
      <c r="P12" s="485">
        <f t="shared" si="3"/>
        <v>7.4398673982817449</v>
      </c>
      <c r="Q12" s="485">
        <f t="shared" si="3"/>
        <v>96.350922180842772</v>
      </c>
      <c r="R12" s="485">
        <f t="shared" si="3"/>
        <v>3.6490778191572373</v>
      </c>
      <c r="S12" s="485">
        <f t="shared" si="3"/>
        <v>100</v>
      </c>
      <c r="T12" s="442"/>
      <c r="U12" s="442"/>
      <c r="V12" s="452"/>
    </row>
    <row r="13" spans="1:23" ht="9.6" customHeight="1">
      <c r="A13" s="8" t="s">
        <v>836</v>
      </c>
      <c r="B13" s="35">
        <v>43449</v>
      </c>
      <c r="C13" s="35">
        <v>12356</v>
      </c>
      <c r="D13" s="35">
        <v>2684</v>
      </c>
      <c r="E13" s="35">
        <v>39069</v>
      </c>
      <c r="F13" s="35">
        <v>3849</v>
      </c>
      <c r="G13" s="35">
        <v>21346</v>
      </c>
      <c r="H13" s="35">
        <v>33770</v>
      </c>
      <c r="I13" s="35">
        <v>1635</v>
      </c>
      <c r="J13" s="35">
        <v>23676</v>
      </c>
      <c r="K13" s="35">
        <v>3983</v>
      </c>
      <c r="L13" s="35">
        <v>20068</v>
      </c>
      <c r="M13" s="35">
        <v>6351</v>
      </c>
      <c r="N13" s="35">
        <v>5798</v>
      </c>
      <c r="O13" s="35">
        <v>5371</v>
      </c>
      <c r="P13" s="35">
        <v>18340</v>
      </c>
      <c r="Q13" s="483">
        <f>SUM(B13:P13)</f>
        <v>241745</v>
      </c>
      <c r="R13" s="35">
        <v>10223</v>
      </c>
      <c r="S13" s="35">
        <f>Q13+R13</f>
        <v>251968</v>
      </c>
      <c r="T13" s="35">
        <v>13283</v>
      </c>
      <c r="U13" s="35">
        <f>S13+T13</f>
        <v>265251</v>
      </c>
      <c r="V13" s="50" t="s">
        <v>836</v>
      </c>
    </row>
    <row r="14" spans="1:23" ht="9.6" customHeight="1">
      <c r="A14" s="461"/>
      <c r="B14" s="485">
        <f t="shared" ref="B14:S14" si="4">(B13/$S13)*100</f>
        <v>17.243856362712727</v>
      </c>
      <c r="C14" s="485">
        <f t="shared" si="4"/>
        <v>4.9037973075946155</v>
      </c>
      <c r="D14" s="485">
        <f t="shared" si="4"/>
        <v>1.0652146304292609</v>
      </c>
      <c r="E14" s="485">
        <f t="shared" si="4"/>
        <v>15.505540386080771</v>
      </c>
      <c r="F14" s="485">
        <f t="shared" si="4"/>
        <v>1.5275749301498605</v>
      </c>
      <c r="G14" s="485">
        <f t="shared" si="4"/>
        <v>8.4717106934213877</v>
      </c>
      <c r="H14" s="485">
        <f t="shared" si="4"/>
        <v>13.402495554991109</v>
      </c>
      <c r="I14" s="485">
        <f t="shared" si="4"/>
        <v>0.64889192278384555</v>
      </c>
      <c r="J14" s="485">
        <f t="shared" si="4"/>
        <v>9.3964312928625855</v>
      </c>
      <c r="K14" s="485">
        <f t="shared" si="4"/>
        <v>1.5807562865125728</v>
      </c>
      <c r="L14" s="485">
        <f t="shared" si="4"/>
        <v>7.9645034290068581</v>
      </c>
      <c r="M14" s="485">
        <f t="shared" si="4"/>
        <v>2.5205581661163325</v>
      </c>
      <c r="N14" s="485">
        <f t="shared" si="4"/>
        <v>2.3010858521717044</v>
      </c>
      <c r="O14" s="485">
        <f t="shared" si="4"/>
        <v>2.1316198882397766</v>
      </c>
      <c r="P14" s="485">
        <f t="shared" si="4"/>
        <v>7.2787020574041144</v>
      </c>
      <c r="Q14" s="485">
        <f t="shared" si="4"/>
        <v>95.942738760477525</v>
      </c>
      <c r="R14" s="485">
        <f t="shared" si="4"/>
        <v>4.0572612395224787</v>
      </c>
      <c r="S14" s="485">
        <f t="shared" si="4"/>
        <v>100</v>
      </c>
      <c r="T14" s="442"/>
      <c r="U14" s="442"/>
      <c r="V14" s="452"/>
    </row>
    <row r="15" spans="1:23" ht="9.6" customHeight="1">
      <c r="A15" s="8" t="s">
        <v>837</v>
      </c>
      <c r="B15" s="35">
        <v>44230</v>
      </c>
      <c r="C15" s="35">
        <v>12807</v>
      </c>
      <c r="D15" s="35">
        <v>2909</v>
      </c>
      <c r="E15" s="35">
        <v>42269</v>
      </c>
      <c r="F15" s="35">
        <v>4192</v>
      </c>
      <c r="G15" s="35">
        <v>23120</v>
      </c>
      <c r="H15" s="35">
        <v>36155</v>
      </c>
      <c r="I15" s="35">
        <v>1751</v>
      </c>
      <c r="J15" s="35">
        <v>25552</v>
      </c>
      <c r="K15" s="35">
        <v>4338</v>
      </c>
      <c r="L15" s="35">
        <v>20801</v>
      </c>
      <c r="M15" s="35">
        <v>6860</v>
      </c>
      <c r="N15" s="35">
        <v>6256</v>
      </c>
      <c r="O15" s="35">
        <v>5768</v>
      </c>
      <c r="P15" s="35">
        <v>19082</v>
      </c>
      <c r="Q15" s="35">
        <f>SUM(B15:P15)</f>
        <v>256090</v>
      </c>
      <c r="R15" s="35">
        <v>10884</v>
      </c>
      <c r="S15" s="35">
        <f>Q15+R15</f>
        <v>266974</v>
      </c>
      <c r="T15" s="35">
        <v>13632</v>
      </c>
      <c r="U15" s="35">
        <f>S15+T15</f>
        <v>280606</v>
      </c>
      <c r="V15" s="50" t="s">
        <v>837</v>
      </c>
    </row>
    <row r="16" spans="1:23" ht="9.6" customHeight="1">
      <c r="A16" s="461"/>
      <c r="B16" s="485">
        <f t="shared" ref="B16:S16" si="5">(B15/$S15)*100</f>
        <v>16.567156352303968</v>
      </c>
      <c r="C16" s="485">
        <f t="shared" si="5"/>
        <v>4.7970963464607035</v>
      </c>
      <c r="D16" s="485">
        <f t="shared" si="5"/>
        <v>1.089619213856031</v>
      </c>
      <c r="E16" s="485">
        <f t="shared" si="5"/>
        <v>15.832627896349457</v>
      </c>
      <c r="F16" s="485">
        <f t="shared" si="5"/>
        <v>1.5701903556151535</v>
      </c>
      <c r="G16" s="485">
        <f t="shared" si="5"/>
        <v>8.6600193277247968</v>
      </c>
      <c r="H16" s="485">
        <f t="shared" si="5"/>
        <v>13.542517248870675</v>
      </c>
      <c r="I16" s="485">
        <f t="shared" si="5"/>
        <v>0.65586911084974564</v>
      </c>
      <c r="J16" s="485">
        <f t="shared" si="5"/>
        <v>9.5709694577000004</v>
      </c>
      <c r="K16" s="485">
        <f t="shared" si="5"/>
        <v>1.6248773288784675</v>
      </c>
      <c r="L16" s="485">
        <f t="shared" si="5"/>
        <v>7.7913954167821586</v>
      </c>
      <c r="M16" s="485">
        <f t="shared" si="5"/>
        <v>2.5695386067557142</v>
      </c>
      <c r="N16" s="485">
        <f t="shared" si="5"/>
        <v>2.3432993475020041</v>
      </c>
      <c r="O16" s="485">
        <f t="shared" si="5"/>
        <v>2.1605100122109269</v>
      </c>
      <c r="P16" s="485">
        <f t="shared" si="5"/>
        <v>7.1475124918531394</v>
      </c>
      <c r="Q16" s="485">
        <f t="shared" si="5"/>
        <v>95.923198513712947</v>
      </c>
      <c r="R16" s="485">
        <f t="shared" si="5"/>
        <v>4.0768014862870547</v>
      </c>
      <c r="S16" s="485">
        <f t="shared" si="5"/>
        <v>100</v>
      </c>
      <c r="T16" s="442"/>
      <c r="U16" s="442"/>
      <c r="V16" s="452"/>
    </row>
    <row r="17" spans="1:22" ht="9.6" customHeight="1">
      <c r="A17" s="487" t="s">
        <v>842</v>
      </c>
      <c r="B17" s="483">
        <v>46545</v>
      </c>
      <c r="C17" s="483">
        <v>13308</v>
      </c>
      <c r="D17" s="483">
        <v>3178</v>
      </c>
      <c r="E17" s="483">
        <v>46820</v>
      </c>
      <c r="F17" s="483">
        <v>4513</v>
      </c>
      <c r="G17" s="483">
        <v>25042</v>
      </c>
      <c r="H17" s="483">
        <v>38596</v>
      </c>
      <c r="I17" s="483">
        <v>1881</v>
      </c>
      <c r="J17" s="483">
        <v>27592</v>
      </c>
      <c r="K17" s="483">
        <v>4707</v>
      </c>
      <c r="L17" s="483">
        <v>21569</v>
      </c>
      <c r="M17" s="483">
        <v>7420</v>
      </c>
      <c r="N17" s="483">
        <v>6822</v>
      </c>
      <c r="O17" s="483">
        <v>6217</v>
      </c>
      <c r="P17" s="483">
        <v>19863</v>
      </c>
      <c r="Q17" s="35">
        <f>SUM(B17:P17)</f>
        <v>274073</v>
      </c>
      <c r="R17" s="483">
        <v>10599</v>
      </c>
      <c r="S17" s="35">
        <f>Q17+R17</f>
        <v>284672</v>
      </c>
      <c r="T17" s="483">
        <v>18631</v>
      </c>
      <c r="U17" s="35">
        <f>S17+T17</f>
        <v>303303</v>
      </c>
      <c r="V17" s="488" t="s">
        <v>842</v>
      </c>
    </row>
    <row r="18" spans="1:22" ht="9.6" customHeight="1">
      <c r="A18" s="461"/>
      <c r="B18" s="485">
        <f t="shared" ref="B18:S18" si="6">(B17/$S17)*100</f>
        <v>16.3503962455036</v>
      </c>
      <c r="C18" s="485">
        <f t="shared" si="6"/>
        <v>4.6748538669064743</v>
      </c>
      <c r="D18" s="485">
        <f t="shared" si="6"/>
        <v>1.1163725269784173</v>
      </c>
      <c r="E18" s="485">
        <f t="shared" si="6"/>
        <v>16.446998651079138</v>
      </c>
      <c r="F18" s="485">
        <f t="shared" si="6"/>
        <v>1.5853332958633095</v>
      </c>
      <c r="G18" s="485">
        <f t="shared" si="6"/>
        <v>8.7967906924460433</v>
      </c>
      <c r="H18" s="485">
        <f t="shared" si="6"/>
        <v>13.558059802158272</v>
      </c>
      <c r="I18" s="485">
        <f t="shared" si="6"/>
        <v>0.66076045413669071</v>
      </c>
      <c r="J18" s="485">
        <f t="shared" si="6"/>
        <v>9.6925584532374103</v>
      </c>
      <c r="K18" s="485">
        <f t="shared" si="6"/>
        <v>1.6534819019784173</v>
      </c>
      <c r="L18" s="485">
        <f t="shared" si="6"/>
        <v>7.5767901303956826</v>
      </c>
      <c r="M18" s="485">
        <f t="shared" si="6"/>
        <v>2.6065085431654675</v>
      </c>
      <c r="N18" s="485">
        <f t="shared" si="6"/>
        <v>2.3964422212230216</v>
      </c>
      <c r="O18" s="485">
        <f t="shared" si="6"/>
        <v>2.1839169289568345</v>
      </c>
      <c r="P18" s="485">
        <f t="shared" si="6"/>
        <v>6.9775039343525176</v>
      </c>
      <c r="Q18" s="485">
        <f t="shared" si="6"/>
        <v>96.276767648381295</v>
      </c>
      <c r="R18" s="485">
        <f t="shared" si="6"/>
        <v>3.7232323516187051</v>
      </c>
      <c r="S18" s="485">
        <f t="shared" si="6"/>
        <v>100</v>
      </c>
      <c r="T18" s="442"/>
      <c r="U18" s="442"/>
      <c r="V18" s="452"/>
    </row>
    <row r="19" spans="1:22" ht="9.6" customHeight="1">
      <c r="A19" s="213" t="s">
        <v>851</v>
      </c>
      <c r="B19" s="39">
        <v>48730</v>
      </c>
      <c r="C19" s="39">
        <v>13850</v>
      </c>
      <c r="D19" s="39">
        <v>3443</v>
      </c>
      <c r="E19" s="39">
        <v>51372</v>
      </c>
      <c r="F19" s="39">
        <v>4607</v>
      </c>
      <c r="G19" s="39">
        <v>26796</v>
      </c>
      <c r="H19" s="39">
        <v>41700</v>
      </c>
      <c r="I19" s="39">
        <v>2023</v>
      </c>
      <c r="J19" s="39">
        <v>29809</v>
      </c>
      <c r="K19" s="39">
        <v>5139</v>
      </c>
      <c r="L19" s="39">
        <v>22380</v>
      </c>
      <c r="M19" s="39">
        <v>8044</v>
      </c>
      <c r="N19" s="39">
        <v>7433</v>
      </c>
      <c r="O19" s="39">
        <v>6693</v>
      </c>
      <c r="P19" s="39">
        <v>20773</v>
      </c>
      <c r="Q19" s="35">
        <f>SUM(B19:P19)</f>
        <v>292792</v>
      </c>
      <c r="R19" s="39">
        <v>10179</v>
      </c>
      <c r="S19" s="35">
        <f>Q19+R19</f>
        <v>302971</v>
      </c>
      <c r="T19" s="39">
        <v>22620</v>
      </c>
      <c r="U19" s="35">
        <f>S19+T19</f>
        <v>325591</v>
      </c>
      <c r="V19" s="316" t="s">
        <v>851</v>
      </c>
    </row>
    <row r="20" spans="1:22" ht="9.6" customHeight="1">
      <c r="A20" s="461"/>
      <c r="B20" s="485">
        <f t="shared" ref="B20:S20" si="7">(B19/$S19)*100</f>
        <v>16.084047648124738</v>
      </c>
      <c r="C20" s="485">
        <f t="shared" si="7"/>
        <v>4.571394621927511</v>
      </c>
      <c r="D20" s="485">
        <f t="shared" si="7"/>
        <v>1.1364123959058787</v>
      </c>
      <c r="E20" s="485">
        <f t="shared" si="7"/>
        <v>16.956078304524194</v>
      </c>
      <c r="F20" s="485">
        <f t="shared" si="7"/>
        <v>1.5206075829039742</v>
      </c>
      <c r="G20" s="485">
        <f t="shared" si="7"/>
        <v>8.8444108512035804</v>
      </c>
      <c r="H20" s="485">
        <f t="shared" si="7"/>
        <v>13.763693554828679</v>
      </c>
      <c r="I20" s="485">
        <f t="shared" si="7"/>
        <v>0.66772067293569348</v>
      </c>
      <c r="J20" s="485">
        <f t="shared" si="7"/>
        <v>9.8388954718438395</v>
      </c>
      <c r="K20" s="485">
        <f t="shared" si="7"/>
        <v>1.6962019467209735</v>
      </c>
      <c r="L20" s="485">
        <f t="shared" si="7"/>
        <v>7.3868456056850329</v>
      </c>
      <c r="M20" s="485">
        <f t="shared" si="7"/>
        <v>2.6550395912480074</v>
      </c>
      <c r="N20" s="485">
        <f t="shared" si="7"/>
        <v>2.4533701245333712</v>
      </c>
      <c r="O20" s="485">
        <f t="shared" si="7"/>
        <v>2.2091223252390493</v>
      </c>
      <c r="P20" s="485">
        <f t="shared" si="7"/>
        <v>6.856431803703984</v>
      </c>
      <c r="Q20" s="485">
        <f t="shared" si="7"/>
        <v>96.640272501328511</v>
      </c>
      <c r="R20" s="485">
        <f t="shared" si="7"/>
        <v>3.3597274986714902</v>
      </c>
      <c r="S20" s="485">
        <f t="shared" si="7"/>
        <v>100</v>
      </c>
      <c r="T20" s="442"/>
      <c r="U20" s="442"/>
      <c r="V20" s="452"/>
    </row>
    <row r="21" spans="1:22" ht="9.6" customHeight="1">
      <c r="A21" s="8" t="s">
        <v>574</v>
      </c>
      <c r="B21" s="41">
        <v>50157</v>
      </c>
      <c r="C21" s="41">
        <v>14429</v>
      </c>
      <c r="D21" s="41">
        <v>3751</v>
      </c>
      <c r="E21" s="41">
        <v>55077</v>
      </c>
      <c r="F21" s="41">
        <v>4919</v>
      </c>
      <c r="G21" s="41">
        <v>28318</v>
      </c>
      <c r="H21" s="41">
        <v>44543</v>
      </c>
      <c r="I21" s="41">
        <v>2176</v>
      </c>
      <c r="J21" s="41">
        <v>32357</v>
      </c>
      <c r="K21" s="41">
        <v>5596</v>
      </c>
      <c r="L21" s="41">
        <v>23221</v>
      </c>
      <c r="M21" s="41">
        <v>8543</v>
      </c>
      <c r="N21" s="41">
        <v>8013</v>
      </c>
      <c r="O21" s="41">
        <v>7163</v>
      </c>
      <c r="P21" s="41">
        <v>21731</v>
      </c>
      <c r="Q21" s="35">
        <f>SUM(B21:P21)</f>
        <v>309994</v>
      </c>
      <c r="R21" s="41">
        <v>11732</v>
      </c>
      <c r="S21" s="35">
        <f>Q21+R21</f>
        <v>321726</v>
      </c>
      <c r="T21" s="41">
        <v>28522</v>
      </c>
      <c r="U21" s="35">
        <f>S21+T21</f>
        <v>350248</v>
      </c>
      <c r="V21" s="50" t="s">
        <v>574</v>
      </c>
    </row>
    <row r="22" spans="1:22" ht="9.6" customHeight="1">
      <c r="A22" s="461"/>
      <c r="B22" s="485">
        <f t="shared" ref="B22:S22" si="8">(B21/$S21)*100</f>
        <v>15.589974077320454</v>
      </c>
      <c r="C22" s="485">
        <f t="shared" si="8"/>
        <v>4.4848722204608897</v>
      </c>
      <c r="D22" s="485">
        <f t="shared" si="8"/>
        <v>1.1658989326321156</v>
      </c>
      <c r="E22" s="485">
        <f t="shared" si="8"/>
        <v>17.119225676507337</v>
      </c>
      <c r="F22" s="485">
        <f t="shared" si="8"/>
        <v>1.528940775691116</v>
      </c>
      <c r="G22" s="485">
        <f t="shared" si="8"/>
        <v>8.8018997532061434</v>
      </c>
      <c r="H22" s="485">
        <f t="shared" si="8"/>
        <v>13.845010972069401</v>
      </c>
      <c r="I22" s="485">
        <f t="shared" si="8"/>
        <v>0.67635192679485023</v>
      </c>
      <c r="J22" s="485">
        <f t="shared" si="8"/>
        <v>10.057315852619931</v>
      </c>
      <c r="K22" s="485">
        <f t="shared" si="8"/>
        <v>1.7393682823271976</v>
      </c>
      <c r="L22" s="485">
        <f t="shared" si="8"/>
        <v>7.2176323952680228</v>
      </c>
      <c r="M22" s="485">
        <f t="shared" si="8"/>
        <v>2.6553651243604808</v>
      </c>
      <c r="N22" s="485">
        <f t="shared" si="8"/>
        <v>2.4906286716025439</v>
      </c>
      <c r="O22" s="485">
        <f t="shared" si="8"/>
        <v>2.2264287001983054</v>
      </c>
      <c r="P22" s="485">
        <f t="shared" si="8"/>
        <v>6.7545053865711813</v>
      </c>
      <c r="Q22" s="485">
        <f t="shared" si="8"/>
        <v>96.353418747629973</v>
      </c>
      <c r="R22" s="485">
        <f t="shared" si="8"/>
        <v>3.6465812523700292</v>
      </c>
      <c r="S22" s="485">
        <f t="shared" si="8"/>
        <v>100</v>
      </c>
      <c r="T22" s="442"/>
      <c r="U22" s="442"/>
      <c r="V22" s="452"/>
    </row>
    <row r="23" spans="1:22" ht="9.6" customHeight="1">
      <c r="A23" s="8" t="s">
        <v>114</v>
      </c>
      <c r="B23" s="368">
        <v>52215</v>
      </c>
      <c r="C23" s="368">
        <v>15029</v>
      </c>
      <c r="D23" s="368">
        <v>4120</v>
      </c>
      <c r="E23" s="368">
        <v>58754</v>
      </c>
      <c r="F23" s="368">
        <v>5210</v>
      </c>
      <c r="G23" s="368">
        <v>29931</v>
      </c>
      <c r="H23" s="368">
        <v>47309</v>
      </c>
      <c r="I23" s="368">
        <v>2341</v>
      </c>
      <c r="J23" s="368">
        <v>34949</v>
      </c>
      <c r="K23" s="368">
        <v>6099</v>
      </c>
      <c r="L23" s="368">
        <v>24106</v>
      </c>
      <c r="M23" s="368">
        <v>9142</v>
      </c>
      <c r="N23" s="368">
        <v>8658</v>
      </c>
      <c r="O23" s="368">
        <v>7678</v>
      </c>
      <c r="P23" s="368">
        <v>22753</v>
      </c>
      <c r="Q23" s="35">
        <f>SUM(B23:P23)</f>
        <v>328294</v>
      </c>
      <c r="R23" s="41">
        <v>11903</v>
      </c>
      <c r="S23" s="35">
        <f>Q23+R23</f>
        <v>340197</v>
      </c>
      <c r="T23" s="35">
        <v>30933</v>
      </c>
      <c r="U23" s="35">
        <f>S23+T23</f>
        <v>371130</v>
      </c>
      <c r="V23" s="50" t="s">
        <v>114</v>
      </c>
    </row>
    <row r="24" spans="1:22" ht="9.6" customHeight="1">
      <c r="A24" s="461"/>
      <c r="B24" s="485">
        <f t="shared" ref="B24:S24" si="9">(B23/$S23)*100</f>
        <v>15.348459862961755</v>
      </c>
      <c r="C24" s="485">
        <f t="shared" si="9"/>
        <v>4.4177344303447708</v>
      </c>
      <c r="D24" s="485">
        <f t="shared" si="9"/>
        <v>1.21106300173135</v>
      </c>
      <c r="E24" s="485">
        <f t="shared" si="9"/>
        <v>17.270581457214497</v>
      </c>
      <c r="F24" s="485">
        <f t="shared" si="9"/>
        <v>1.5314655919952265</v>
      </c>
      <c r="G24" s="485">
        <f t="shared" si="9"/>
        <v>8.798137549713843</v>
      </c>
      <c r="H24" s="485">
        <f t="shared" si="9"/>
        <v>13.906354259443793</v>
      </c>
      <c r="I24" s="485">
        <f t="shared" si="9"/>
        <v>0.68813070074104121</v>
      </c>
      <c r="J24" s="485">
        <f t="shared" si="9"/>
        <v>10.273165254249744</v>
      </c>
      <c r="K24" s="485">
        <f t="shared" si="9"/>
        <v>1.7927847688251219</v>
      </c>
      <c r="L24" s="485">
        <f t="shared" si="9"/>
        <v>7.0858943494504656</v>
      </c>
      <c r="M24" s="485">
        <f t="shared" si="9"/>
        <v>2.6872664955893204</v>
      </c>
      <c r="N24" s="485">
        <f t="shared" si="9"/>
        <v>2.5449959876189387</v>
      </c>
      <c r="O24" s="485">
        <f t="shared" si="9"/>
        <v>2.2569276037119668</v>
      </c>
      <c r="P24" s="485">
        <f t="shared" si="9"/>
        <v>6.6881836112605342</v>
      </c>
      <c r="Q24" s="485">
        <f t="shared" si="9"/>
        <v>96.501144924852369</v>
      </c>
      <c r="R24" s="485">
        <f t="shared" si="9"/>
        <v>3.4988550751476355</v>
      </c>
      <c r="S24" s="485">
        <f t="shared" si="9"/>
        <v>100</v>
      </c>
      <c r="T24" s="442"/>
      <c r="U24" s="442"/>
      <c r="V24" s="452"/>
    </row>
    <row r="25" spans="1:22" ht="9.6" customHeight="1">
      <c r="A25" s="8" t="s">
        <v>110</v>
      </c>
      <c r="B25" s="368">
        <v>55117</v>
      </c>
      <c r="C25" s="368">
        <v>15652</v>
      </c>
      <c r="D25" s="368">
        <v>4482</v>
      </c>
      <c r="E25" s="368">
        <v>62571</v>
      </c>
      <c r="F25" s="368">
        <v>5589</v>
      </c>
      <c r="G25" s="368">
        <v>31730</v>
      </c>
      <c r="H25" s="368">
        <v>50088</v>
      </c>
      <c r="I25" s="368">
        <v>2519</v>
      </c>
      <c r="J25" s="368">
        <v>37637</v>
      </c>
      <c r="K25" s="368">
        <v>6809</v>
      </c>
      <c r="L25" s="368">
        <v>25045</v>
      </c>
      <c r="M25" s="368">
        <v>9906</v>
      </c>
      <c r="N25" s="368">
        <v>9458</v>
      </c>
      <c r="O25" s="368">
        <v>8300</v>
      </c>
      <c r="P25" s="368">
        <v>23826</v>
      </c>
      <c r="Q25" s="35">
        <f>SUM(B25:P25)</f>
        <v>348729</v>
      </c>
      <c r="R25" s="41">
        <v>12116</v>
      </c>
      <c r="S25" s="35">
        <f>Q25+R25</f>
        <v>360845</v>
      </c>
      <c r="T25" s="35">
        <v>33575</v>
      </c>
      <c r="U25" s="35">
        <f>S25+T25</f>
        <v>394420</v>
      </c>
      <c r="V25" s="50" t="s">
        <v>110</v>
      </c>
    </row>
    <row r="26" spans="1:22" ht="9.6" customHeight="1">
      <c r="A26" s="442"/>
      <c r="B26" s="485">
        <f t="shared" ref="B26:S26" si="10">(B25/$S25)*100</f>
        <v>15.274425307264892</v>
      </c>
      <c r="C26" s="485">
        <f t="shared" si="10"/>
        <v>4.3375964749407645</v>
      </c>
      <c r="D26" s="485">
        <f t="shared" si="10"/>
        <v>1.2420845515387493</v>
      </c>
      <c r="E26" s="485">
        <f t="shared" si="10"/>
        <v>17.340132189721349</v>
      </c>
      <c r="F26" s="485">
        <f t="shared" si="10"/>
        <v>1.5488644708947055</v>
      </c>
      <c r="G26" s="485">
        <f t="shared" si="10"/>
        <v>8.7932491790103793</v>
      </c>
      <c r="H26" s="485">
        <f t="shared" si="10"/>
        <v>13.880752123487925</v>
      </c>
      <c r="I26" s="485">
        <f t="shared" si="10"/>
        <v>0.69808366473139438</v>
      </c>
      <c r="J26" s="485">
        <f t="shared" si="10"/>
        <v>10.430240130804085</v>
      </c>
      <c r="K26" s="485">
        <f t="shared" si="10"/>
        <v>1.8869597749726339</v>
      </c>
      <c r="L26" s="485">
        <f t="shared" si="10"/>
        <v>6.9406531890423864</v>
      </c>
      <c r="M26" s="485">
        <f t="shared" si="10"/>
        <v>2.7452230181934074</v>
      </c>
      <c r="N26" s="485">
        <f t="shared" si="10"/>
        <v>2.621069988499217</v>
      </c>
      <c r="O26" s="485">
        <f t="shared" si="10"/>
        <v>2.3001565769236101</v>
      </c>
      <c r="P26" s="485">
        <f t="shared" si="10"/>
        <v>6.6028350122628821</v>
      </c>
      <c r="Q26" s="485">
        <f t="shared" si="10"/>
        <v>96.642325652288378</v>
      </c>
      <c r="R26" s="485">
        <f t="shared" si="10"/>
        <v>3.3576743477116215</v>
      </c>
      <c r="S26" s="485">
        <f t="shared" si="10"/>
        <v>100</v>
      </c>
      <c r="T26" s="442"/>
      <c r="U26" s="442"/>
      <c r="V26" s="442"/>
    </row>
    <row r="27" spans="1:22" ht="9.6" customHeight="1">
      <c r="A27" s="8" t="s">
        <v>253</v>
      </c>
      <c r="B27" s="339">
        <v>57923</v>
      </c>
      <c r="C27" s="339">
        <v>16474</v>
      </c>
      <c r="D27" s="339">
        <v>4698</v>
      </c>
      <c r="E27" s="339">
        <v>68482</v>
      </c>
      <c r="F27" s="339">
        <v>5960</v>
      </c>
      <c r="G27" s="339">
        <v>33795</v>
      </c>
      <c r="H27" s="339">
        <v>53249</v>
      </c>
      <c r="I27" s="339">
        <v>2709</v>
      </c>
      <c r="J27" s="339">
        <v>39778</v>
      </c>
      <c r="K27" s="339">
        <v>7466</v>
      </c>
      <c r="L27" s="339">
        <v>26037</v>
      </c>
      <c r="M27" s="339">
        <v>10864</v>
      </c>
      <c r="N27" s="339">
        <v>10343</v>
      </c>
      <c r="O27" s="339">
        <v>8993</v>
      </c>
      <c r="P27" s="339">
        <v>24947</v>
      </c>
      <c r="Q27" s="35">
        <f>SUM(B27:P27)</f>
        <v>371718</v>
      </c>
      <c r="R27" s="339">
        <v>13332</v>
      </c>
      <c r="S27" s="35">
        <f>Q27+R27</f>
        <v>385050</v>
      </c>
      <c r="T27" s="35">
        <v>35046</v>
      </c>
      <c r="U27" s="35">
        <f>S27+T27</f>
        <v>420096</v>
      </c>
      <c r="V27" s="50" t="s">
        <v>253</v>
      </c>
    </row>
    <row r="28" spans="1:22" ht="9.6" customHeight="1">
      <c r="A28" s="442"/>
      <c r="B28" s="485">
        <f t="shared" ref="B28:S28" si="11">(B27/$S27)*100</f>
        <v>15.042981430982987</v>
      </c>
      <c r="C28" s="485">
        <f t="shared" si="11"/>
        <v>4.2784054018958582</v>
      </c>
      <c r="D28" s="485">
        <f t="shared" si="11"/>
        <v>1.2201012855473314</v>
      </c>
      <c r="E28" s="485">
        <f t="shared" si="11"/>
        <v>17.785222698350864</v>
      </c>
      <c r="F28" s="485">
        <f t="shared" si="11"/>
        <v>1.5478509284508506</v>
      </c>
      <c r="G28" s="485">
        <f t="shared" si="11"/>
        <v>8.7767822360732364</v>
      </c>
      <c r="H28" s="485">
        <f t="shared" si="11"/>
        <v>13.829113102194521</v>
      </c>
      <c r="I28" s="485">
        <f t="shared" si="11"/>
        <v>0.70354499415660299</v>
      </c>
      <c r="J28" s="485">
        <f t="shared" si="11"/>
        <v>10.330606414751331</v>
      </c>
      <c r="K28" s="485">
        <f t="shared" si="11"/>
        <v>1.9389689650694715</v>
      </c>
      <c r="L28" s="485">
        <f t="shared" si="11"/>
        <v>6.7619789637709387</v>
      </c>
      <c r="M28" s="485">
        <f t="shared" si="11"/>
        <v>2.8214517595117514</v>
      </c>
      <c r="N28" s="485">
        <f t="shared" si="11"/>
        <v>2.686144656538112</v>
      </c>
      <c r="O28" s="485">
        <f t="shared" si="11"/>
        <v>2.3355408388520971</v>
      </c>
      <c r="P28" s="485">
        <f t="shared" si="11"/>
        <v>6.4788988443059345</v>
      </c>
      <c r="Q28" s="485">
        <f t="shared" si="11"/>
        <v>96.537592520451881</v>
      </c>
      <c r="R28" s="485">
        <f t="shared" si="11"/>
        <v>3.4624074795481108</v>
      </c>
      <c r="S28" s="485">
        <f t="shared" si="11"/>
        <v>100</v>
      </c>
      <c r="T28" s="442"/>
      <c r="U28" s="442"/>
      <c r="V28" s="442"/>
    </row>
    <row r="29" spans="1:22" s="254" customFormat="1" ht="9.6" customHeight="1">
      <c r="A29" s="213" t="s">
        <v>1169</v>
      </c>
      <c r="B29" s="737">
        <v>59348</v>
      </c>
      <c r="C29" s="736">
        <v>17362</v>
      </c>
      <c r="D29" s="736">
        <v>5063</v>
      </c>
      <c r="E29" s="736">
        <v>74897</v>
      </c>
      <c r="F29" s="736">
        <v>6677</v>
      </c>
      <c r="G29" s="736">
        <v>36352</v>
      </c>
      <c r="H29" s="736">
        <v>56248</v>
      </c>
      <c r="I29" s="736">
        <v>2914</v>
      </c>
      <c r="J29" s="736">
        <v>42412</v>
      </c>
      <c r="K29" s="736">
        <v>8290</v>
      </c>
      <c r="L29" s="736">
        <v>27091</v>
      </c>
      <c r="M29" s="736">
        <v>11496</v>
      </c>
      <c r="N29" s="736">
        <v>11088</v>
      </c>
      <c r="O29" s="736">
        <v>9705</v>
      </c>
      <c r="P29" s="736">
        <v>26135</v>
      </c>
      <c r="Q29" s="212">
        <f>SUM(B29:P29)</f>
        <v>395078</v>
      </c>
      <c r="R29" s="736">
        <v>13975</v>
      </c>
      <c r="S29" s="39">
        <f>Q29+R29</f>
        <v>409053</v>
      </c>
      <c r="T29" s="736">
        <v>39786</v>
      </c>
      <c r="U29" s="39">
        <f>S29+T29</f>
        <v>448839</v>
      </c>
      <c r="V29" s="316" t="s">
        <v>1169</v>
      </c>
    </row>
    <row r="30" spans="1:22" s="11" customFormat="1" ht="9.6" customHeight="1">
      <c r="A30" s="442"/>
      <c r="B30" s="485">
        <f t="shared" ref="B30:S30" si="12">(B29/$S29)*100</f>
        <v>14.508633355579839</v>
      </c>
      <c r="C30" s="485">
        <f t="shared" si="12"/>
        <v>4.2444377623437548</v>
      </c>
      <c r="D30" s="485">
        <f t="shared" si="12"/>
        <v>1.2377369191767325</v>
      </c>
      <c r="E30" s="485">
        <f t="shared" si="12"/>
        <v>18.309852268532438</v>
      </c>
      <c r="F30" s="485">
        <f t="shared" si="12"/>
        <v>1.6323068159871703</v>
      </c>
      <c r="G30" s="485">
        <f t="shared" si="12"/>
        <v>8.8868679608754864</v>
      </c>
      <c r="H30" s="485">
        <f t="shared" si="12"/>
        <v>13.750785350553596</v>
      </c>
      <c r="I30" s="485">
        <f t="shared" si="12"/>
        <v>0.71237712472466896</v>
      </c>
      <c r="J30" s="485">
        <f t="shared" si="12"/>
        <v>10.368338577152594</v>
      </c>
      <c r="K30" s="485">
        <f t="shared" si="12"/>
        <v>2.0266322456992123</v>
      </c>
      <c r="L30" s="485">
        <f t="shared" si="12"/>
        <v>6.6228581626341825</v>
      </c>
      <c r="M30" s="485">
        <f t="shared" si="12"/>
        <v>2.8103937631553855</v>
      </c>
      <c r="N30" s="485">
        <f t="shared" si="12"/>
        <v>2.7106511870099963</v>
      </c>
      <c r="O30" s="485">
        <f t="shared" si="12"/>
        <v>2.3725531899289334</v>
      </c>
      <c r="P30" s="485">
        <f t="shared" si="12"/>
        <v>6.3891476165680237</v>
      </c>
      <c r="Q30" s="485">
        <f t="shared" si="12"/>
        <v>96.583572299922011</v>
      </c>
      <c r="R30" s="485">
        <f t="shared" si="12"/>
        <v>3.416427700077985</v>
      </c>
      <c r="S30" s="485">
        <f t="shared" si="12"/>
        <v>100</v>
      </c>
      <c r="T30" s="442"/>
      <c r="U30" s="442"/>
      <c r="V30" s="442"/>
    </row>
    <row r="31" spans="1:22" s="254" customFormat="1" ht="9.6" customHeight="1">
      <c r="A31" s="391" t="s">
        <v>1957</v>
      </c>
      <c r="B31" s="737">
        <v>70171</v>
      </c>
      <c r="C31" s="736">
        <v>16814</v>
      </c>
      <c r="D31" s="736">
        <v>7009</v>
      </c>
      <c r="E31" s="736">
        <v>73834</v>
      </c>
      <c r="F31" s="736">
        <v>5553</v>
      </c>
      <c r="G31" s="736">
        <v>29825</v>
      </c>
      <c r="H31" s="736">
        <v>62352</v>
      </c>
      <c r="I31" s="736">
        <v>3467</v>
      </c>
      <c r="J31" s="736">
        <v>46497</v>
      </c>
      <c r="K31" s="736">
        <v>14216</v>
      </c>
      <c r="L31" s="736">
        <v>37935</v>
      </c>
      <c r="M31" s="736">
        <v>14089</v>
      </c>
      <c r="N31" s="736">
        <v>9962</v>
      </c>
      <c r="O31" s="736">
        <v>9288</v>
      </c>
      <c r="P31" s="736">
        <v>56600</v>
      </c>
      <c r="Q31" s="212">
        <f>SUM(B31:P31)</f>
        <v>457612</v>
      </c>
      <c r="R31" s="736">
        <v>24725</v>
      </c>
      <c r="S31" s="39">
        <f>Q31+R31</f>
        <v>482337</v>
      </c>
      <c r="T31" s="736">
        <v>27208</v>
      </c>
      <c r="U31" s="39">
        <f>S31+T31</f>
        <v>509545</v>
      </c>
      <c r="V31" s="583" t="s">
        <v>1957</v>
      </c>
    </row>
    <row r="32" spans="1:22" ht="9.6" customHeight="1">
      <c r="A32" s="898"/>
      <c r="B32" s="485">
        <f t="shared" ref="B32:S32" si="13">(B31/$S31)*100</f>
        <v>14.548127139323752</v>
      </c>
      <c r="C32" s="485">
        <f t="shared" si="13"/>
        <v>3.4859444745064136</v>
      </c>
      <c r="D32" s="485">
        <f t="shared" si="13"/>
        <v>1.4531333901400889</v>
      </c>
      <c r="E32" s="485">
        <f t="shared" si="13"/>
        <v>15.307554676502114</v>
      </c>
      <c r="F32" s="485">
        <f t="shared" si="13"/>
        <v>1.151269755378501</v>
      </c>
      <c r="G32" s="485">
        <f t="shared" si="13"/>
        <v>6.1834360623381581</v>
      </c>
      <c r="H32" s="485">
        <f t="shared" si="13"/>
        <v>12.927061369955032</v>
      </c>
      <c r="I32" s="485">
        <f t="shared" si="13"/>
        <v>0.71879204788353368</v>
      </c>
      <c r="J32" s="485">
        <f t="shared" si="13"/>
        <v>9.6399405394983173</v>
      </c>
      <c r="K32" s="485">
        <f t="shared" si="13"/>
        <v>2.9473169174249541</v>
      </c>
      <c r="L32" s="485">
        <f t="shared" si="13"/>
        <v>7.8648330938741999</v>
      </c>
      <c r="M32" s="485">
        <f t="shared" si="13"/>
        <v>2.9209867789533042</v>
      </c>
      <c r="N32" s="485">
        <f t="shared" si="13"/>
        <v>2.0653609405871829</v>
      </c>
      <c r="O32" s="485">
        <f t="shared" si="13"/>
        <v>1.9256246151549643</v>
      </c>
      <c r="P32" s="485">
        <f t="shared" si="13"/>
        <v>11.734534153506781</v>
      </c>
      <c r="Q32" s="485">
        <f t="shared" si="13"/>
        <v>94.8739159550273</v>
      </c>
      <c r="R32" s="485">
        <f t="shared" si="13"/>
        <v>5.1260840449727052</v>
      </c>
      <c r="S32" s="485">
        <f t="shared" si="13"/>
        <v>100</v>
      </c>
      <c r="T32" s="442"/>
      <c r="U32" s="442"/>
      <c r="V32" s="452"/>
    </row>
    <row r="33" spans="1:22" ht="9.6" customHeight="1">
      <c r="A33" s="361" t="s">
        <v>851</v>
      </c>
      <c r="B33" s="737">
        <v>74410</v>
      </c>
      <c r="C33" s="736">
        <v>18397</v>
      </c>
      <c r="D33" s="736">
        <v>7433</v>
      </c>
      <c r="E33" s="736">
        <v>81612</v>
      </c>
      <c r="F33" s="736">
        <v>5831</v>
      </c>
      <c r="G33" s="736">
        <v>31836</v>
      </c>
      <c r="H33" s="736">
        <v>67571</v>
      </c>
      <c r="I33" s="736">
        <v>3659</v>
      </c>
      <c r="J33" s="736">
        <v>50878</v>
      </c>
      <c r="K33" s="736">
        <v>15139</v>
      </c>
      <c r="L33" s="736">
        <v>39382</v>
      </c>
      <c r="M33" s="736">
        <v>15293</v>
      </c>
      <c r="N33" s="736">
        <v>10835</v>
      </c>
      <c r="O33" s="736">
        <v>9749</v>
      </c>
      <c r="P33" s="736">
        <v>58399</v>
      </c>
      <c r="Q33" s="212">
        <f>SUM(B33:P33)</f>
        <v>490424</v>
      </c>
      <c r="R33" s="736">
        <v>25959</v>
      </c>
      <c r="S33" s="39">
        <f>Q33+R33</f>
        <v>516383</v>
      </c>
      <c r="T33" s="736">
        <v>33121</v>
      </c>
      <c r="U33" s="39">
        <f>S33+T33</f>
        <v>549504</v>
      </c>
      <c r="V33" s="316" t="s">
        <v>851</v>
      </c>
    </row>
    <row r="34" spans="1:22" ht="9.6" customHeight="1">
      <c r="A34" s="898"/>
      <c r="B34" s="485">
        <f t="shared" ref="B34:S34" si="14">(B33/$S33)*100</f>
        <v>14.409846954682862</v>
      </c>
      <c r="C34" s="485">
        <f t="shared" si="14"/>
        <v>3.562665695811055</v>
      </c>
      <c r="D34" s="485">
        <f t="shared" si="14"/>
        <v>1.4394354577900512</v>
      </c>
      <c r="E34" s="485">
        <f t="shared" si="14"/>
        <v>15.804548174513878</v>
      </c>
      <c r="F34" s="485">
        <f t="shared" si="14"/>
        <v>1.1292006127235017</v>
      </c>
      <c r="G34" s="485">
        <f t="shared" si="14"/>
        <v>6.1651913405359977</v>
      </c>
      <c r="H34" s="485">
        <f t="shared" si="14"/>
        <v>13.085442394501756</v>
      </c>
      <c r="I34" s="485">
        <f t="shared" si="14"/>
        <v>0.70858258308271183</v>
      </c>
      <c r="J34" s="485">
        <f t="shared" si="14"/>
        <v>9.8527643241547462</v>
      </c>
      <c r="K34" s="485">
        <f t="shared" si="14"/>
        <v>2.9317386513498702</v>
      </c>
      <c r="L34" s="485">
        <f t="shared" si="14"/>
        <v>7.6265097805311166</v>
      </c>
      <c r="M34" s="485">
        <f t="shared" si="14"/>
        <v>2.9615614766558931</v>
      </c>
      <c r="N34" s="485">
        <f t="shared" si="14"/>
        <v>2.0982487804594654</v>
      </c>
      <c r="O34" s="485">
        <f t="shared" si="14"/>
        <v>1.8879397656390702</v>
      </c>
      <c r="P34" s="485">
        <f t="shared" si="14"/>
        <v>11.309241396405382</v>
      </c>
      <c r="Q34" s="485">
        <f t="shared" si="14"/>
        <v>94.972917388837345</v>
      </c>
      <c r="R34" s="485">
        <f t="shared" si="14"/>
        <v>5.027082611162645</v>
      </c>
      <c r="S34" s="485">
        <f t="shared" si="14"/>
        <v>100</v>
      </c>
      <c r="T34" s="442"/>
      <c r="U34" s="442"/>
      <c r="V34" s="452"/>
    </row>
    <row r="35" spans="1:22" ht="9.6" customHeight="1">
      <c r="A35" s="361" t="s">
        <v>574</v>
      </c>
      <c r="B35" s="737">
        <v>77292</v>
      </c>
      <c r="C35" s="736">
        <v>19685</v>
      </c>
      <c r="D35" s="736">
        <v>8003</v>
      </c>
      <c r="E35" s="736">
        <v>87596</v>
      </c>
      <c r="F35" s="736">
        <v>6284</v>
      </c>
      <c r="G35" s="736">
        <v>33742</v>
      </c>
      <c r="H35" s="736">
        <v>72481</v>
      </c>
      <c r="I35" s="736">
        <v>3866</v>
      </c>
      <c r="J35" s="736">
        <v>55079</v>
      </c>
      <c r="K35" s="736">
        <v>15733</v>
      </c>
      <c r="L35" s="736">
        <v>40877</v>
      </c>
      <c r="M35" s="736">
        <v>16289</v>
      </c>
      <c r="N35" s="736">
        <v>11609</v>
      </c>
      <c r="O35" s="736">
        <v>10321</v>
      </c>
      <c r="P35" s="736">
        <v>60261</v>
      </c>
      <c r="Q35" s="212">
        <f>SUM(B35:P35)</f>
        <v>519118</v>
      </c>
      <c r="R35" s="736">
        <v>28319</v>
      </c>
      <c r="S35" s="39">
        <f>Q35+R35</f>
        <v>547437</v>
      </c>
      <c r="T35" s="736">
        <v>42109</v>
      </c>
      <c r="U35" s="39">
        <f>S35+T35</f>
        <v>589546</v>
      </c>
      <c r="V35" s="316" t="s">
        <v>574</v>
      </c>
    </row>
    <row r="36" spans="1:22" ht="9.6" customHeight="1">
      <c r="A36" s="898"/>
      <c r="B36" s="485">
        <f t="shared" ref="B36:S36" si="15">(B35/$S35)*100</f>
        <v>14.118884912784486</v>
      </c>
      <c r="C36" s="485">
        <f t="shared" si="15"/>
        <v>3.5958475587145191</v>
      </c>
      <c r="D36" s="485">
        <f t="shared" si="15"/>
        <v>1.4619033788362861</v>
      </c>
      <c r="E36" s="485">
        <f t="shared" si="15"/>
        <v>16.001110630081637</v>
      </c>
      <c r="F36" s="485">
        <f t="shared" si="15"/>
        <v>1.1478946435845585</v>
      </c>
      <c r="G36" s="485">
        <f t="shared" si="15"/>
        <v>6.1636316142314094</v>
      </c>
      <c r="H36" s="485">
        <f t="shared" si="15"/>
        <v>13.240062326806553</v>
      </c>
      <c r="I36" s="485">
        <f t="shared" si="15"/>
        <v>0.70619998282907448</v>
      </c>
      <c r="J36" s="485">
        <f t="shared" si="15"/>
        <v>10.061249056969112</v>
      </c>
      <c r="K36" s="485">
        <f t="shared" si="15"/>
        <v>2.8739380056517922</v>
      </c>
      <c r="L36" s="485">
        <f t="shared" si="15"/>
        <v>7.4669779353605987</v>
      </c>
      <c r="M36" s="485">
        <f t="shared" si="15"/>
        <v>2.9755022039065682</v>
      </c>
      <c r="N36" s="485">
        <f t="shared" si="15"/>
        <v>2.12060931212176</v>
      </c>
      <c r="O36" s="485">
        <f t="shared" si="15"/>
        <v>1.8853310974596162</v>
      </c>
      <c r="P36" s="485">
        <f t="shared" si="15"/>
        <v>11.007841998257334</v>
      </c>
      <c r="Q36" s="485">
        <f t="shared" si="15"/>
        <v>94.826984657595304</v>
      </c>
      <c r="R36" s="485">
        <f t="shared" si="15"/>
        <v>5.1730153424046961</v>
      </c>
      <c r="S36" s="485">
        <f t="shared" si="15"/>
        <v>100</v>
      </c>
      <c r="T36" s="442"/>
      <c r="U36" s="442"/>
      <c r="V36" s="452"/>
    </row>
    <row r="37" spans="1:22" ht="9.6" customHeight="1">
      <c r="A37" s="361" t="s">
        <v>114</v>
      </c>
      <c r="B37" s="737">
        <v>79682</v>
      </c>
      <c r="C37" s="736">
        <v>20657</v>
      </c>
      <c r="D37" s="736">
        <v>8841</v>
      </c>
      <c r="E37" s="736">
        <v>93459</v>
      </c>
      <c r="F37" s="736">
        <v>6740</v>
      </c>
      <c r="G37" s="736">
        <v>35962</v>
      </c>
      <c r="H37" s="736">
        <v>76728</v>
      </c>
      <c r="I37" s="736">
        <v>4093</v>
      </c>
      <c r="J37" s="736">
        <v>59513</v>
      </c>
      <c r="K37" s="736">
        <v>15728</v>
      </c>
      <c r="L37" s="736">
        <v>42442</v>
      </c>
      <c r="M37" s="736">
        <v>17447</v>
      </c>
      <c r="N37" s="736">
        <v>12293</v>
      </c>
      <c r="O37" s="736">
        <v>10634</v>
      </c>
      <c r="P37" s="736">
        <v>62191</v>
      </c>
      <c r="Q37" s="212">
        <f>SUM(B37:P37)</f>
        <v>546410</v>
      </c>
      <c r="R37" s="736">
        <v>28646</v>
      </c>
      <c r="S37" s="39">
        <f>Q37+R37</f>
        <v>575056</v>
      </c>
      <c r="T37" s="736">
        <v>45558</v>
      </c>
      <c r="U37" s="39">
        <f>S37+T37</f>
        <v>620614</v>
      </c>
      <c r="V37" s="316" t="s">
        <v>114</v>
      </c>
    </row>
    <row r="38" spans="1:22" ht="9.6" customHeight="1">
      <c r="A38" s="898"/>
      <c r="B38" s="485">
        <f t="shared" ref="B38:S38" si="16">(B37/$S37)*100</f>
        <v>13.856389638574329</v>
      </c>
      <c r="C38" s="485">
        <f t="shared" si="16"/>
        <v>3.5921718928243509</v>
      </c>
      <c r="D38" s="485">
        <f t="shared" si="16"/>
        <v>1.5374154864917504</v>
      </c>
      <c r="E38" s="485">
        <f t="shared" si="16"/>
        <v>16.252156311733117</v>
      </c>
      <c r="F38" s="485">
        <f t="shared" si="16"/>
        <v>1.1720597646142288</v>
      </c>
      <c r="G38" s="485">
        <f t="shared" si="16"/>
        <v>6.2536518182576994</v>
      </c>
      <c r="H38" s="485">
        <f t="shared" si="16"/>
        <v>13.342700536991181</v>
      </c>
      <c r="I38" s="485">
        <f t="shared" si="16"/>
        <v>0.71175676803650434</v>
      </c>
      <c r="J38" s="485">
        <f t="shared" si="16"/>
        <v>10.34907904621463</v>
      </c>
      <c r="K38" s="485">
        <f t="shared" si="16"/>
        <v>2.73503797890988</v>
      </c>
      <c r="L38" s="485">
        <f t="shared" si="16"/>
        <v>7.3804985949194517</v>
      </c>
      <c r="M38" s="485">
        <f t="shared" si="16"/>
        <v>3.0339653877187613</v>
      </c>
      <c r="N38" s="485">
        <f t="shared" si="16"/>
        <v>2.1377048496146465</v>
      </c>
      <c r="O38" s="485">
        <f t="shared" si="16"/>
        <v>1.8492112072563367</v>
      </c>
      <c r="P38" s="485">
        <f t="shared" si="16"/>
        <v>10.81477282212515</v>
      </c>
      <c r="Q38" s="485">
        <f t="shared" si="16"/>
        <v>95.018572104282015</v>
      </c>
      <c r="R38" s="485">
        <f t="shared" si="16"/>
        <v>4.9814278957179825</v>
      </c>
      <c r="S38" s="485">
        <f t="shared" si="16"/>
        <v>100</v>
      </c>
      <c r="T38" s="442"/>
      <c r="U38" s="442"/>
      <c r="V38" s="452"/>
    </row>
    <row r="39" spans="1:22" ht="9.6" customHeight="1">
      <c r="A39" s="361" t="s">
        <v>110</v>
      </c>
      <c r="B39" s="737">
        <v>84904</v>
      </c>
      <c r="C39" s="736">
        <v>21607</v>
      </c>
      <c r="D39" s="736">
        <v>9561</v>
      </c>
      <c r="E39" s="736">
        <v>99671</v>
      </c>
      <c r="F39" s="736">
        <v>7412</v>
      </c>
      <c r="G39" s="736">
        <v>38554</v>
      </c>
      <c r="H39" s="736">
        <v>81219</v>
      </c>
      <c r="I39" s="736">
        <v>4339</v>
      </c>
      <c r="J39" s="736">
        <v>64006</v>
      </c>
      <c r="K39" s="736">
        <v>16711</v>
      </c>
      <c r="L39" s="736">
        <v>44078</v>
      </c>
      <c r="M39" s="736">
        <v>18882</v>
      </c>
      <c r="N39" s="736">
        <v>12930</v>
      </c>
      <c r="O39" s="736">
        <v>11360</v>
      </c>
      <c r="P39" s="736">
        <v>64191</v>
      </c>
      <c r="Q39" s="212">
        <f>SUM(B39:P39)</f>
        <v>579425</v>
      </c>
      <c r="R39" s="736">
        <v>27672</v>
      </c>
      <c r="S39" s="39">
        <f>Q39+R39</f>
        <v>607097</v>
      </c>
      <c r="T39" s="736">
        <v>49143</v>
      </c>
      <c r="U39" s="39">
        <f>S39+T39</f>
        <v>656240</v>
      </c>
      <c r="V39" s="316" t="s">
        <v>110</v>
      </c>
    </row>
    <row r="40" spans="1:22" ht="9.6" customHeight="1">
      <c r="A40" s="442"/>
      <c r="B40" s="485">
        <f t="shared" ref="B40:S40" si="17">(B39/$S39)*100</f>
        <v>13.98524453258705</v>
      </c>
      <c r="C40" s="485">
        <f t="shared" si="17"/>
        <v>3.5590688143739801</v>
      </c>
      <c r="D40" s="485">
        <f t="shared" si="17"/>
        <v>1.5748718903239516</v>
      </c>
      <c r="E40" s="485">
        <f t="shared" si="17"/>
        <v>16.417640014692875</v>
      </c>
      <c r="F40" s="485">
        <f t="shared" si="17"/>
        <v>1.2208922132706963</v>
      </c>
      <c r="G40" s="485">
        <f t="shared" si="17"/>
        <v>6.3505502415594215</v>
      </c>
      <c r="H40" s="485">
        <f t="shared" si="17"/>
        <v>13.378257510743751</v>
      </c>
      <c r="I40" s="485">
        <f t="shared" si="17"/>
        <v>0.71471280536718185</v>
      </c>
      <c r="J40" s="485">
        <f t="shared" si="17"/>
        <v>10.54296100952566</v>
      </c>
      <c r="K40" s="485">
        <f t="shared" si="17"/>
        <v>2.7526079028557215</v>
      </c>
      <c r="L40" s="485">
        <f t="shared" si="17"/>
        <v>7.2604542601923576</v>
      </c>
      <c r="M40" s="485">
        <f t="shared" si="17"/>
        <v>3.1102113830244589</v>
      </c>
      <c r="N40" s="485">
        <f t="shared" si="17"/>
        <v>2.1298079219630472</v>
      </c>
      <c r="O40" s="485">
        <f t="shared" si="17"/>
        <v>1.8712001541763508</v>
      </c>
      <c r="P40" s="485">
        <f t="shared" si="17"/>
        <v>10.573433899360399</v>
      </c>
      <c r="Q40" s="485">
        <f t="shared" si="17"/>
        <v>95.441914554016904</v>
      </c>
      <c r="R40" s="485">
        <f t="shared" si="17"/>
        <v>4.5580854459830968</v>
      </c>
      <c r="S40" s="485">
        <f t="shared" si="17"/>
        <v>100</v>
      </c>
      <c r="T40" s="442"/>
      <c r="U40" s="442"/>
      <c r="V40" s="442"/>
    </row>
    <row r="41" spans="1:22" ht="9.6" customHeight="1">
      <c r="A41" s="818" t="s">
        <v>253</v>
      </c>
      <c r="B41" s="736">
        <v>88206</v>
      </c>
      <c r="C41" s="736">
        <v>23051</v>
      </c>
      <c r="D41" s="736">
        <v>9907</v>
      </c>
      <c r="E41" s="736">
        <v>109651</v>
      </c>
      <c r="F41" s="736">
        <v>8402</v>
      </c>
      <c r="G41" s="736">
        <v>41235</v>
      </c>
      <c r="H41" s="736">
        <v>86650</v>
      </c>
      <c r="I41" s="736">
        <v>4608</v>
      </c>
      <c r="J41" s="736">
        <v>69409</v>
      </c>
      <c r="K41" s="736">
        <v>18456</v>
      </c>
      <c r="L41" s="736">
        <v>45790</v>
      </c>
      <c r="M41" s="736">
        <v>20552</v>
      </c>
      <c r="N41" s="736">
        <v>13659</v>
      </c>
      <c r="O41" s="736">
        <v>12080</v>
      </c>
      <c r="P41" s="736">
        <v>66265</v>
      </c>
      <c r="Q41" s="212">
        <f>SUM(B41:P41)</f>
        <v>617921</v>
      </c>
      <c r="R41" s="736">
        <v>28421</v>
      </c>
      <c r="S41" s="39">
        <f>Q41+R41</f>
        <v>646342</v>
      </c>
      <c r="T41" s="736">
        <v>51126</v>
      </c>
      <c r="U41" s="39">
        <f>S41+T41</f>
        <v>697468</v>
      </c>
      <c r="V41" s="819" t="s">
        <v>253</v>
      </c>
    </row>
    <row r="42" spans="1:22" ht="9.6" customHeight="1">
      <c r="A42" s="461"/>
      <c r="B42" s="485">
        <f t="shared" ref="B42:S42" si="18">(B41/$S41)*100</f>
        <v>13.646954708188543</v>
      </c>
      <c r="C42" s="485">
        <f t="shared" si="18"/>
        <v>3.5663781713086879</v>
      </c>
      <c r="D42" s="485">
        <f t="shared" si="18"/>
        <v>1.5327798595789845</v>
      </c>
      <c r="E42" s="485">
        <f t="shared" si="18"/>
        <v>16.964857614080472</v>
      </c>
      <c r="F42" s="485">
        <f t="shared" si="18"/>
        <v>1.2999309962837011</v>
      </c>
      <c r="G42" s="485">
        <f t="shared" si="18"/>
        <v>6.3797494205853873</v>
      </c>
      <c r="H42" s="485">
        <f t="shared" si="18"/>
        <v>13.406215285406178</v>
      </c>
      <c r="I42" s="485">
        <f t="shared" si="18"/>
        <v>0.71293525718582429</v>
      </c>
      <c r="J42" s="485">
        <f t="shared" si="18"/>
        <v>10.738742028214165</v>
      </c>
      <c r="K42" s="485">
        <f t="shared" si="18"/>
        <v>2.8554542332078063</v>
      </c>
      <c r="L42" s="485">
        <f t="shared" si="18"/>
        <v>7.0844846845787526</v>
      </c>
      <c r="M42" s="485">
        <f t="shared" si="18"/>
        <v>3.1797407564416362</v>
      </c>
      <c r="N42" s="485">
        <f t="shared" si="18"/>
        <v>2.11327749086397</v>
      </c>
      <c r="O42" s="485">
        <f t="shared" si="18"/>
        <v>1.8689795804697822</v>
      </c>
      <c r="P42" s="485">
        <f t="shared" si="18"/>
        <v>10.25231224336342</v>
      </c>
      <c r="Q42" s="485">
        <f t="shared" si="18"/>
        <v>95.602792329757307</v>
      </c>
      <c r="R42" s="485">
        <f t="shared" si="18"/>
        <v>4.3972076702426888</v>
      </c>
      <c r="S42" s="485">
        <f t="shared" si="18"/>
        <v>100</v>
      </c>
      <c r="T42" s="442"/>
      <c r="U42" s="442"/>
      <c r="V42" s="452"/>
    </row>
    <row r="43" spans="1:22" ht="9.6" customHeight="1">
      <c r="A43" s="818" t="s">
        <v>1169</v>
      </c>
      <c r="B43" s="736">
        <v>90332</v>
      </c>
      <c r="C43" s="736">
        <v>24279</v>
      </c>
      <c r="D43" s="736">
        <v>10593</v>
      </c>
      <c r="E43" s="736">
        <v>120567</v>
      </c>
      <c r="F43" s="736">
        <v>9291</v>
      </c>
      <c r="G43" s="736">
        <v>44709</v>
      </c>
      <c r="H43" s="736">
        <v>92457</v>
      </c>
      <c r="I43" s="736">
        <v>4902</v>
      </c>
      <c r="J43" s="736">
        <v>75761</v>
      </c>
      <c r="K43" s="736">
        <v>21180</v>
      </c>
      <c r="L43" s="736">
        <v>47587</v>
      </c>
      <c r="M43" s="736">
        <v>22099</v>
      </c>
      <c r="N43" s="736">
        <v>14718</v>
      </c>
      <c r="O43" s="736">
        <v>12540</v>
      </c>
      <c r="P43" s="736">
        <v>68416</v>
      </c>
      <c r="Q43" s="212">
        <f>SUM(B43:P43)</f>
        <v>659431</v>
      </c>
      <c r="R43" s="736">
        <v>29062</v>
      </c>
      <c r="S43" s="39">
        <f>Q43+R43</f>
        <v>688493</v>
      </c>
      <c r="T43" s="736">
        <v>58267</v>
      </c>
      <c r="U43" s="39">
        <f>S43+T43</f>
        <v>746760</v>
      </c>
      <c r="V43" s="819" t="s">
        <v>1169</v>
      </c>
    </row>
    <row r="44" spans="1:22" ht="9.6" customHeight="1">
      <c r="A44" s="461"/>
      <c r="B44" s="485">
        <f t="shared" ref="B44:S44" si="19">(B43/$S43)*100</f>
        <v>13.120249588594218</v>
      </c>
      <c r="C44" s="485">
        <f t="shared" si="19"/>
        <v>3.5263975087618902</v>
      </c>
      <c r="D44" s="485">
        <f t="shared" si="19"/>
        <v>1.5385777342689033</v>
      </c>
      <c r="E44" s="485">
        <f t="shared" si="19"/>
        <v>17.511724883186901</v>
      </c>
      <c r="F44" s="485">
        <f t="shared" si="19"/>
        <v>1.3494690577827226</v>
      </c>
      <c r="G44" s="485">
        <f t="shared" si="19"/>
        <v>6.4937479393399791</v>
      </c>
      <c r="H44" s="485">
        <f t="shared" si="19"/>
        <v>13.428894701906918</v>
      </c>
      <c r="I44" s="485">
        <f t="shared" si="19"/>
        <v>0.71198980962769409</v>
      </c>
      <c r="J44" s="485">
        <f t="shared" si="19"/>
        <v>11.003888202203944</v>
      </c>
      <c r="K44" s="485">
        <f t="shared" si="19"/>
        <v>3.0762839999825706</v>
      </c>
      <c r="L44" s="485">
        <f t="shared" si="19"/>
        <v>6.9117623563347772</v>
      </c>
      <c r="M44" s="485">
        <f t="shared" si="19"/>
        <v>3.2097639336928627</v>
      </c>
      <c r="N44" s="485">
        <f t="shared" si="19"/>
        <v>2.1377123659935542</v>
      </c>
      <c r="O44" s="485">
        <f t="shared" si="19"/>
        <v>1.8213692804429384</v>
      </c>
      <c r="P44" s="485">
        <f t="shared" si="19"/>
        <v>9.9370654458360512</v>
      </c>
      <c r="Q44" s="485">
        <f t="shared" si="19"/>
        <v>95.778896807955931</v>
      </c>
      <c r="R44" s="485">
        <f t="shared" si="19"/>
        <v>4.2211031920440734</v>
      </c>
      <c r="S44" s="485">
        <f t="shared" si="19"/>
        <v>100</v>
      </c>
      <c r="T44" s="442"/>
      <c r="U44" s="442"/>
      <c r="V44" s="452"/>
    </row>
    <row r="45" spans="1:22" ht="9.6" customHeight="1">
      <c r="A45" s="818" t="s">
        <v>1361</v>
      </c>
      <c r="B45" s="736">
        <v>91656</v>
      </c>
      <c r="C45" s="736">
        <v>25779</v>
      </c>
      <c r="D45" s="736">
        <v>11584</v>
      </c>
      <c r="E45" s="736">
        <v>132994</v>
      </c>
      <c r="F45" s="736">
        <v>10126</v>
      </c>
      <c r="G45" s="736">
        <v>48305</v>
      </c>
      <c r="H45" s="736">
        <v>98173</v>
      </c>
      <c r="I45" s="736">
        <v>5220</v>
      </c>
      <c r="J45" s="736">
        <v>80514</v>
      </c>
      <c r="K45" s="736">
        <v>23110</v>
      </c>
      <c r="L45" s="736">
        <v>49509</v>
      </c>
      <c r="M45" s="736">
        <v>23542</v>
      </c>
      <c r="N45" s="736">
        <v>15645</v>
      </c>
      <c r="O45" s="736">
        <v>13137</v>
      </c>
      <c r="P45" s="736">
        <v>70642</v>
      </c>
      <c r="Q45" s="212">
        <f>SUM(B45:P45)</f>
        <v>699936</v>
      </c>
      <c r="R45" s="736">
        <v>29960</v>
      </c>
      <c r="S45" s="39">
        <f>Q45+R45</f>
        <v>729896</v>
      </c>
      <c r="T45" s="736">
        <v>58705</v>
      </c>
      <c r="U45" s="39">
        <f>S45+T45</f>
        <v>788601</v>
      </c>
      <c r="V45" s="819" t="s">
        <v>1361</v>
      </c>
    </row>
    <row r="46" spans="1:22" ht="9.6" customHeight="1">
      <c r="A46" s="461"/>
      <c r="B46" s="485">
        <f t="shared" ref="B46:S46" si="20">(B45/$S45)*100</f>
        <v>12.55740543858303</v>
      </c>
      <c r="C46" s="485">
        <f t="shared" si="20"/>
        <v>3.531873033966483</v>
      </c>
      <c r="D46" s="485">
        <f t="shared" si="20"/>
        <v>1.5870754189637977</v>
      </c>
      <c r="E46" s="485">
        <f t="shared" si="20"/>
        <v>18.220952026042067</v>
      </c>
      <c r="F46" s="485">
        <f t="shared" si="20"/>
        <v>1.3873209333932506</v>
      </c>
      <c r="G46" s="485">
        <f t="shared" si="20"/>
        <v>6.6180661354494337</v>
      </c>
      <c r="H46" s="485">
        <f t="shared" si="20"/>
        <v>13.450272367570173</v>
      </c>
      <c r="I46" s="485">
        <f t="shared" si="20"/>
        <v>0.71517038043776104</v>
      </c>
      <c r="J46" s="485">
        <f t="shared" si="20"/>
        <v>11.03088659206243</v>
      </c>
      <c r="K46" s="485">
        <f t="shared" si="20"/>
        <v>3.1662045003671757</v>
      </c>
      <c r="L46" s="485">
        <f t="shared" si="20"/>
        <v>6.7830211427381437</v>
      </c>
      <c r="M46" s="485">
        <f t="shared" si="20"/>
        <v>3.2253910146103006</v>
      </c>
      <c r="N46" s="485">
        <f t="shared" si="20"/>
        <v>2.1434560540131744</v>
      </c>
      <c r="O46" s="485">
        <f t="shared" si="20"/>
        <v>1.7998454574350318</v>
      </c>
      <c r="P46" s="485">
        <f t="shared" si="20"/>
        <v>9.6783651369510171</v>
      </c>
      <c r="Q46" s="485">
        <f t="shared" si="20"/>
        <v>95.895305632583273</v>
      </c>
      <c r="R46" s="485">
        <f t="shared" si="20"/>
        <v>4.1046943674167284</v>
      </c>
      <c r="S46" s="485">
        <f t="shared" si="20"/>
        <v>100</v>
      </c>
      <c r="T46" s="442"/>
      <c r="U46" s="442"/>
      <c r="V46" s="452"/>
    </row>
    <row r="47" spans="1:22" ht="9.6" customHeight="1">
      <c r="A47" s="822" t="s">
        <v>1693</v>
      </c>
      <c r="B47" s="736">
        <v>95151</v>
      </c>
      <c r="C47" s="736">
        <v>27419</v>
      </c>
      <c r="D47" s="736">
        <v>12127</v>
      </c>
      <c r="E47" s="736">
        <v>144653</v>
      </c>
      <c r="F47" s="736">
        <v>10585</v>
      </c>
      <c r="G47" s="736">
        <v>52209</v>
      </c>
      <c r="H47" s="736">
        <v>104776</v>
      </c>
      <c r="I47" s="736">
        <v>5570</v>
      </c>
      <c r="J47" s="736">
        <v>85382</v>
      </c>
      <c r="K47" s="736">
        <v>24790</v>
      </c>
      <c r="L47" s="736">
        <v>51615</v>
      </c>
      <c r="M47" s="736">
        <v>25165</v>
      </c>
      <c r="N47" s="736">
        <v>16781</v>
      </c>
      <c r="O47" s="736">
        <v>13802</v>
      </c>
      <c r="P47" s="736">
        <v>72955</v>
      </c>
      <c r="Q47" s="212">
        <f>SUM(B47:P47)</f>
        <v>742980</v>
      </c>
      <c r="R47" s="736">
        <v>31156</v>
      </c>
      <c r="S47" s="39">
        <f>Q47+R47</f>
        <v>774136</v>
      </c>
      <c r="T47" s="736">
        <v>51592</v>
      </c>
      <c r="U47" s="39">
        <f>S47+T47</f>
        <v>825728</v>
      </c>
      <c r="V47" s="821" t="s">
        <v>1693</v>
      </c>
    </row>
    <row r="48" spans="1:22" ht="9.6" customHeight="1">
      <c r="A48" s="442"/>
      <c r="B48" s="485">
        <f t="shared" ref="B48:S48" si="21">(B47/$S47)*100</f>
        <v>12.291251149668792</v>
      </c>
      <c r="C48" s="485">
        <f t="shared" si="21"/>
        <v>3.5418841133857617</v>
      </c>
      <c r="D48" s="485">
        <f t="shared" si="21"/>
        <v>1.5665206113654448</v>
      </c>
      <c r="E48" s="485">
        <f t="shared" si="21"/>
        <v>18.685734806287268</v>
      </c>
      <c r="F48" s="485">
        <f t="shared" si="21"/>
        <v>1.3673308049231658</v>
      </c>
      <c r="G48" s="485">
        <f t="shared" si="21"/>
        <v>6.7441638161770028</v>
      </c>
      <c r="H48" s="485">
        <f t="shared" si="21"/>
        <v>13.53457273657342</v>
      </c>
      <c r="I48" s="485">
        <f t="shared" si="21"/>
        <v>0.71951181704506706</v>
      </c>
      <c r="J48" s="485">
        <f t="shared" si="21"/>
        <v>11.029328180061384</v>
      </c>
      <c r="K48" s="485">
        <f t="shared" si="21"/>
        <v>3.2022797027912406</v>
      </c>
      <c r="L48" s="485">
        <f t="shared" si="21"/>
        <v>6.6674331125280322</v>
      </c>
      <c r="M48" s="485">
        <f t="shared" si="21"/>
        <v>3.2507208035797328</v>
      </c>
      <c r="N48" s="485">
        <f t="shared" si="21"/>
        <v>2.1677069662178221</v>
      </c>
      <c r="O48" s="485">
        <f t="shared" si="21"/>
        <v>1.7828908615540422</v>
      </c>
      <c r="P48" s="485">
        <f t="shared" si="21"/>
        <v>9.4240546880651461</v>
      </c>
      <c r="Q48" s="485">
        <f t="shared" si="21"/>
        <v>95.975384170223322</v>
      </c>
      <c r="R48" s="485">
        <f t="shared" si="21"/>
        <v>4.0246158297766801</v>
      </c>
      <c r="S48" s="485">
        <f t="shared" si="21"/>
        <v>100</v>
      </c>
      <c r="T48" s="442"/>
      <c r="U48" s="442"/>
      <c r="V48" s="452"/>
    </row>
    <row r="49" spans="1:22" ht="9.6" customHeight="1">
      <c r="A49" s="822" t="s">
        <v>1795</v>
      </c>
      <c r="B49" s="736">
        <v>97480</v>
      </c>
      <c r="C49" s="736">
        <v>29170</v>
      </c>
      <c r="D49" s="736">
        <v>13290</v>
      </c>
      <c r="E49" s="736">
        <v>159568</v>
      </c>
      <c r="F49" s="736">
        <v>11243</v>
      </c>
      <c r="G49" s="736">
        <v>56698</v>
      </c>
      <c r="H49" s="736">
        <v>111426</v>
      </c>
      <c r="I49" s="736">
        <v>5950</v>
      </c>
      <c r="J49" s="736">
        <v>90475</v>
      </c>
      <c r="K49" s="736">
        <v>26719</v>
      </c>
      <c r="L49" s="736">
        <v>53888</v>
      </c>
      <c r="M49" s="736">
        <v>27637</v>
      </c>
      <c r="N49" s="736">
        <v>18125</v>
      </c>
      <c r="O49" s="736">
        <v>14517</v>
      </c>
      <c r="P49" s="736">
        <v>75352</v>
      </c>
      <c r="Q49" s="212">
        <f>SUM(B49:P49)</f>
        <v>791538</v>
      </c>
      <c r="R49" s="736">
        <v>33324</v>
      </c>
      <c r="S49" s="39">
        <f>Q49+R49</f>
        <v>824862</v>
      </c>
      <c r="T49" s="736">
        <v>53548</v>
      </c>
      <c r="U49" s="39">
        <f>S49+T49</f>
        <v>878410</v>
      </c>
      <c r="V49" s="821" t="s">
        <v>1795</v>
      </c>
    </row>
    <row r="50" spans="1:22" ht="9.6" customHeight="1">
      <c r="A50" s="442"/>
      <c r="B50" s="485">
        <f t="shared" ref="B50:S52" si="22">(B49/$S49)*100</f>
        <v>11.817734360414226</v>
      </c>
      <c r="C50" s="485">
        <f t="shared" si="22"/>
        <v>3.5363491105178806</v>
      </c>
      <c r="D50" s="485">
        <f t="shared" si="22"/>
        <v>1.6111785971471591</v>
      </c>
      <c r="E50" s="485">
        <f t="shared" si="22"/>
        <v>19.344811616973505</v>
      </c>
      <c r="F50" s="485">
        <f t="shared" si="22"/>
        <v>1.3630158741704674</v>
      </c>
      <c r="G50" s="485">
        <f t="shared" si="22"/>
        <v>6.8736346200940286</v>
      </c>
      <c r="H50" s="485">
        <f t="shared" si="22"/>
        <v>13.50844141201801</v>
      </c>
      <c r="I50" s="485">
        <f t="shared" si="22"/>
        <v>0.72133278051358896</v>
      </c>
      <c r="J50" s="485">
        <f t="shared" si="22"/>
        <v>10.968501397809574</v>
      </c>
      <c r="K50" s="485">
        <f t="shared" si="22"/>
        <v>3.2392084979063167</v>
      </c>
      <c r="L50" s="485">
        <f t="shared" si="22"/>
        <v>6.5329715758514766</v>
      </c>
      <c r="M50" s="485">
        <f t="shared" si="22"/>
        <v>3.350499841185556</v>
      </c>
      <c r="N50" s="485">
        <f t="shared" si="22"/>
        <v>2.197337251564504</v>
      </c>
      <c r="O50" s="485">
        <f t="shared" si="22"/>
        <v>1.7599307520530707</v>
      </c>
      <c r="P50" s="485">
        <f t="shared" si="22"/>
        <v>9.1351038113041927</v>
      </c>
      <c r="Q50" s="485">
        <f t="shared" si="22"/>
        <v>95.960051499523559</v>
      </c>
      <c r="R50" s="485">
        <f t="shared" si="22"/>
        <v>4.0399485004764433</v>
      </c>
      <c r="S50" s="485">
        <f t="shared" si="22"/>
        <v>100</v>
      </c>
      <c r="T50" s="442"/>
      <c r="U50" s="442"/>
      <c r="V50" s="452"/>
    </row>
    <row r="51" spans="1:22" ht="9.6" customHeight="1">
      <c r="A51" s="818" t="s">
        <v>1996</v>
      </c>
      <c r="B51" s="736">
        <v>99228</v>
      </c>
      <c r="C51" s="736">
        <v>30950</v>
      </c>
      <c r="D51" s="736">
        <v>14997</v>
      </c>
      <c r="E51" s="736">
        <v>178223</v>
      </c>
      <c r="F51" s="736">
        <v>12742</v>
      </c>
      <c r="G51" s="736">
        <v>61552</v>
      </c>
      <c r="H51" s="736">
        <v>118665</v>
      </c>
      <c r="I51" s="736">
        <v>6366</v>
      </c>
      <c r="J51" s="736">
        <v>95972</v>
      </c>
      <c r="K51" s="736">
        <v>28787</v>
      </c>
      <c r="L51" s="736">
        <v>56297</v>
      </c>
      <c r="M51" s="736">
        <v>30796</v>
      </c>
      <c r="N51" s="736">
        <v>20248</v>
      </c>
      <c r="O51" s="736">
        <v>15612</v>
      </c>
      <c r="P51" s="736">
        <v>77838</v>
      </c>
      <c r="Q51" s="212">
        <f>SUM(B51:P51)</f>
        <v>848273</v>
      </c>
      <c r="R51" s="736">
        <v>35266</v>
      </c>
      <c r="S51" s="39">
        <f>Q51+R51</f>
        <v>883539</v>
      </c>
      <c r="T51" s="736">
        <v>50891</v>
      </c>
      <c r="U51" s="39">
        <f>S51+T51</f>
        <v>934430</v>
      </c>
      <c r="V51" s="819" t="s">
        <v>1996</v>
      </c>
    </row>
    <row r="52" spans="1:22" ht="9.6" customHeight="1">
      <c r="A52" s="442"/>
      <c r="B52" s="485">
        <f t="shared" si="22"/>
        <v>11.230743634406631</v>
      </c>
      <c r="C52" s="485">
        <f t="shared" si="22"/>
        <v>3.5029579905357884</v>
      </c>
      <c r="D52" s="485">
        <f t="shared" si="22"/>
        <v>1.6973783839762593</v>
      </c>
      <c r="E52" s="485">
        <f t="shared" si="22"/>
        <v>20.171492146922773</v>
      </c>
      <c r="F52" s="485">
        <f t="shared" si="22"/>
        <v>1.4421547888661395</v>
      </c>
      <c r="G52" s="485">
        <f t="shared" si="22"/>
        <v>6.9665289251521436</v>
      </c>
      <c r="H52" s="485">
        <f t="shared" si="22"/>
        <v>13.430646524941173</v>
      </c>
      <c r="I52" s="485">
        <f t="shared" si="22"/>
        <v>0.7205114884572158</v>
      </c>
      <c r="J52" s="485">
        <f t="shared" si="22"/>
        <v>10.862225662930555</v>
      </c>
      <c r="K52" s="485">
        <f t="shared" si="22"/>
        <v>3.2581470653813809</v>
      </c>
      <c r="L52" s="485">
        <f t="shared" si="22"/>
        <v>6.3717617445296693</v>
      </c>
      <c r="M52" s="485">
        <f t="shared" si="22"/>
        <v>3.4855280864794875</v>
      </c>
      <c r="N52" s="485">
        <f t="shared" si="22"/>
        <v>2.2916928398180501</v>
      </c>
      <c r="O52" s="485">
        <f t="shared" si="22"/>
        <v>1.7669848190062918</v>
      </c>
      <c r="P52" s="485">
        <f t="shared" si="22"/>
        <v>8.8097978697035444</v>
      </c>
      <c r="Q52" s="485">
        <f t="shared" si="22"/>
        <v>96.00855197110711</v>
      </c>
      <c r="R52" s="485">
        <f t="shared" si="22"/>
        <v>3.9914480288928953</v>
      </c>
      <c r="S52" s="485">
        <f t="shared" si="22"/>
        <v>100</v>
      </c>
      <c r="T52" s="442"/>
      <c r="U52" s="442"/>
      <c r="V52" s="452"/>
    </row>
    <row r="53" spans="1:22" s="252" customFormat="1" ht="9.6" customHeight="1">
      <c r="A53" s="252" t="s">
        <v>2092</v>
      </c>
      <c r="B53" s="736">
        <v>101173</v>
      </c>
      <c r="C53" s="736">
        <v>32879</v>
      </c>
      <c r="D53" s="736">
        <v>16330</v>
      </c>
      <c r="E53" s="736">
        <v>197765</v>
      </c>
      <c r="F53" s="736">
        <v>13820</v>
      </c>
      <c r="G53" s="736">
        <v>66951</v>
      </c>
      <c r="H53" s="736">
        <v>127417</v>
      </c>
      <c r="I53" s="736">
        <v>6820</v>
      </c>
      <c r="J53" s="736">
        <v>102463</v>
      </c>
      <c r="K53" s="736">
        <v>31413</v>
      </c>
      <c r="L53" s="736">
        <v>58997</v>
      </c>
      <c r="M53" s="736">
        <v>33615</v>
      </c>
      <c r="N53" s="736">
        <v>22547</v>
      </c>
      <c r="O53" s="736">
        <v>16804</v>
      </c>
      <c r="P53" s="736">
        <v>80653</v>
      </c>
      <c r="Q53" s="212">
        <f>SUM(B53:P53)</f>
        <v>909647</v>
      </c>
      <c r="R53" s="736">
        <v>38252</v>
      </c>
      <c r="S53" s="39">
        <f>Q53+R53</f>
        <v>947899</v>
      </c>
      <c r="T53" s="39">
        <v>40731</v>
      </c>
      <c r="U53" s="39">
        <f>S53+T53</f>
        <v>988630</v>
      </c>
      <c r="V53" s="821" t="s">
        <v>2092</v>
      </c>
    </row>
    <row r="54" spans="1:22" s="11" customFormat="1" ht="9.6" customHeight="1">
      <c r="A54" s="442"/>
      <c r="B54" s="485">
        <f t="shared" ref="B54:S56" si="23">(B53/$S53)*100</f>
        <v>10.673394528319999</v>
      </c>
      <c r="C54" s="485">
        <f t="shared" si="23"/>
        <v>3.4686184920545329</v>
      </c>
      <c r="D54" s="485">
        <f t="shared" si="23"/>
        <v>1.7227573823793463</v>
      </c>
      <c r="E54" s="485">
        <f t="shared" si="23"/>
        <v>20.863509719917417</v>
      </c>
      <c r="F54" s="485">
        <f t="shared" si="23"/>
        <v>1.4579612384863789</v>
      </c>
      <c r="G54" s="485">
        <f t="shared" si="23"/>
        <v>7.0630942748119789</v>
      </c>
      <c r="H54" s="485">
        <f t="shared" si="23"/>
        <v>13.442043930840732</v>
      </c>
      <c r="I54" s="485">
        <f t="shared" si="23"/>
        <v>0.71948593679284401</v>
      </c>
      <c r="J54" s="485">
        <f t="shared" si="23"/>
        <v>10.809484976774952</v>
      </c>
      <c r="K54" s="485">
        <f t="shared" si="23"/>
        <v>3.313960664585573</v>
      </c>
      <c r="L54" s="485">
        <f t="shared" si="23"/>
        <v>6.2239753391447818</v>
      </c>
      <c r="M54" s="485">
        <f t="shared" si="23"/>
        <v>3.5462638952040249</v>
      </c>
      <c r="N54" s="485">
        <f t="shared" si="23"/>
        <v>2.3786289467548758</v>
      </c>
      <c r="O54" s="485">
        <f t="shared" si="23"/>
        <v>1.7727627099511656</v>
      </c>
      <c r="P54" s="485">
        <f t="shared" si="23"/>
        <v>8.508606929641239</v>
      </c>
      <c r="Q54" s="485">
        <f t="shared" si="23"/>
        <v>95.964548965659844</v>
      </c>
      <c r="R54" s="485">
        <f t="shared" si="23"/>
        <v>4.0354510343401566</v>
      </c>
      <c r="S54" s="485">
        <f t="shared" si="23"/>
        <v>100</v>
      </c>
      <c r="T54" s="442"/>
      <c r="U54" s="442"/>
      <c r="V54" s="452"/>
    </row>
    <row r="55" spans="1:22" s="252" customFormat="1" ht="12.75" customHeight="1">
      <c r="A55" s="252" t="s">
        <v>2320</v>
      </c>
      <c r="B55" s="736">
        <v>104688</v>
      </c>
      <c r="C55" s="736">
        <v>34974</v>
      </c>
      <c r="D55" s="736">
        <v>17474</v>
      </c>
      <c r="E55" s="736">
        <v>224270</v>
      </c>
      <c r="F55" s="736">
        <v>15089</v>
      </c>
      <c r="G55" s="736">
        <v>73595</v>
      </c>
      <c r="H55" s="736">
        <v>136914</v>
      </c>
      <c r="I55" s="736">
        <v>7316</v>
      </c>
      <c r="J55" s="736">
        <v>109208</v>
      </c>
      <c r="K55" s="736">
        <v>33893</v>
      </c>
      <c r="L55" s="736">
        <v>61936</v>
      </c>
      <c r="M55" s="736">
        <v>36463</v>
      </c>
      <c r="N55" s="736">
        <v>24127</v>
      </c>
      <c r="O55" s="736">
        <v>17984</v>
      </c>
      <c r="P55" s="736">
        <v>83598</v>
      </c>
      <c r="Q55" s="212">
        <f>SUM(B55:P55)</f>
        <v>981529</v>
      </c>
      <c r="R55" s="736">
        <v>40909</v>
      </c>
      <c r="S55" s="39">
        <f>Q55+R55</f>
        <v>1022438</v>
      </c>
      <c r="T55" s="39">
        <v>46626</v>
      </c>
      <c r="U55" s="39">
        <f>S55+T55</f>
        <v>1069064</v>
      </c>
      <c r="V55" s="316" t="s">
        <v>2320</v>
      </c>
    </row>
    <row r="56" spans="1:22" s="11" customFormat="1" ht="11.25" customHeight="1" thickBot="1">
      <c r="A56" s="1420"/>
      <c r="B56" s="523">
        <f t="shared" si="23"/>
        <v>10.239056060122961</v>
      </c>
      <c r="C56" s="523">
        <f t="shared" si="23"/>
        <v>3.4206475111449302</v>
      </c>
      <c r="D56" s="523">
        <f t="shared" si="23"/>
        <v>1.7090522848329188</v>
      </c>
      <c r="E56" s="523">
        <f t="shared" si="23"/>
        <v>21.934826365999697</v>
      </c>
      <c r="F56" s="523">
        <f t="shared" si="23"/>
        <v>1.4757863068469677</v>
      </c>
      <c r="G56" s="523">
        <f t="shared" si="23"/>
        <v>7.1979914674532841</v>
      </c>
      <c r="H56" s="523">
        <f t="shared" si="23"/>
        <v>13.390934218016154</v>
      </c>
      <c r="I56" s="523">
        <f t="shared" si="23"/>
        <v>0.7155446100399242</v>
      </c>
      <c r="J56" s="523">
        <f t="shared" si="23"/>
        <v>10.681136655718976</v>
      </c>
      <c r="K56" s="523">
        <f t="shared" si="23"/>
        <v>3.3149198288795998</v>
      </c>
      <c r="L56" s="523">
        <f t="shared" si="23"/>
        <v>6.05767782496347</v>
      </c>
      <c r="M56" s="523">
        <f t="shared" si="23"/>
        <v>3.5662798135437059</v>
      </c>
      <c r="N56" s="523">
        <f t="shared" si="23"/>
        <v>2.3597518871559937</v>
      </c>
      <c r="O56" s="523">
        <f t="shared" si="23"/>
        <v>1.7589330599997259</v>
      </c>
      <c r="P56" s="523">
        <f t="shared" si="23"/>
        <v>8.1763392988132289</v>
      </c>
      <c r="Q56" s="523">
        <f t="shared" si="23"/>
        <v>95.998877193531541</v>
      </c>
      <c r="R56" s="523">
        <f t="shared" si="23"/>
        <v>4.0011228064684605</v>
      </c>
      <c r="S56" s="523">
        <f t="shared" si="23"/>
        <v>100</v>
      </c>
      <c r="T56" s="520"/>
      <c r="U56" s="520"/>
      <c r="V56" s="817"/>
    </row>
    <row r="57" spans="1:22" ht="11.25" customHeight="1">
      <c r="A57" s="110" t="s">
        <v>477</v>
      </c>
      <c r="B57" s="2042" t="s">
        <v>2285</v>
      </c>
      <c r="C57" s="2042"/>
      <c r="D57" s="2042"/>
      <c r="E57" s="2042"/>
      <c r="F57" s="2042"/>
      <c r="G57" s="2042"/>
      <c r="H57" s="2042"/>
      <c r="I57" s="2042"/>
      <c r="J57" s="2042"/>
      <c r="K57" s="2042"/>
      <c r="L57" s="110" t="s">
        <v>478</v>
      </c>
      <c r="M57" s="1419" t="s">
        <v>2180</v>
      </c>
      <c r="N57" s="7"/>
      <c r="O57" s="7"/>
      <c r="P57" s="7"/>
      <c r="Q57" s="2021"/>
      <c r="R57" s="2021"/>
      <c r="S57" s="7"/>
      <c r="T57" s="44"/>
      <c r="U57" s="18"/>
      <c r="V57" s="7"/>
    </row>
    <row r="58" spans="1:22" ht="10.5" customHeight="1">
      <c r="B58" s="2039" t="s">
        <v>2134</v>
      </c>
      <c r="C58" s="2040"/>
      <c r="D58" s="2040"/>
      <c r="E58" s="2040"/>
      <c r="F58" s="2040"/>
      <c r="G58" s="2040"/>
      <c r="H58" s="2040"/>
      <c r="I58" s="2040"/>
      <c r="J58" s="2040"/>
      <c r="K58" s="2040"/>
      <c r="M58" s="2037"/>
      <c r="N58" s="2037"/>
      <c r="O58" s="2037"/>
    </row>
  </sheetData>
  <mergeCells count="11">
    <mergeCell ref="B58:K58"/>
    <mergeCell ref="A1:K1"/>
    <mergeCell ref="U1:V1"/>
    <mergeCell ref="J2:K2"/>
    <mergeCell ref="U2:V2"/>
    <mergeCell ref="L1:T1"/>
    <mergeCell ref="M58:O58"/>
    <mergeCell ref="V3:V4"/>
    <mergeCell ref="A3:A4"/>
    <mergeCell ref="B57:K57"/>
    <mergeCell ref="Q57:R57"/>
  </mergeCells>
  <phoneticPr fontId="46" type="noConversion"/>
  <pageMargins left="0.62992125984252001" right="0.511811023622047" top="0.511811023622047" bottom="0.511811023622047" header="0.25" footer="0"/>
  <pageSetup paperSize="141" firstPageNumber="48" orientation="portrait" useFirstPageNumber="1" r:id="rId1"/>
  <headerFooter>
    <oddFooter>&amp;C&amp;"Times New Roman,Regular"&amp;8&amp;P</oddFooter>
  </headerFooter>
  <ignoredErrors>
    <ignoredError sqref="Q5:S28 Q41:Q47 Q30:S30 Q29 S29 S41:S47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2"/>
  <dimension ref="A1:X74"/>
  <sheetViews>
    <sheetView zoomScale="160" zoomScaleNormal="160"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R67" sqref="R67"/>
    </sheetView>
  </sheetViews>
  <sheetFormatPr defaultColWidth="9.140625" defaultRowHeight="11.25"/>
  <cols>
    <col min="1" max="1" width="8.5703125" style="10" customWidth="1"/>
    <col min="2" max="2" width="7.140625" style="10" customWidth="1"/>
    <col min="3" max="3" width="7.28515625" style="10" customWidth="1"/>
    <col min="4" max="4" width="7.42578125" style="10" customWidth="1"/>
    <col min="5" max="5" width="7.7109375" style="10" customWidth="1"/>
    <col min="6" max="6" width="7" style="10" customWidth="1"/>
    <col min="7" max="7" width="6.5703125" style="10" customWidth="1"/>
    <col min="8" max="9" width="7.28515625" style="10" customWidth="1"/>
    <col min="10" max="10" width="7.42578125" style="10" customWidth="1"/>
    <col min="11" max="11" width="7.5703125" style="10" customWidth="1"/>
    <col min="12" max="12" width="7.7109375" style="10" customWidth="1"/>
    <col min="13" max="13" width="7" style="10" customWidth="1"/>
    <col min="14" max="14" width="7.28515625" style="10" customWidth="1"/>
    <col min="15" max="16" width="7.140625" style="10" customWidth="1"/>
    <col min="17" max="17" width="7" style="10" customWidth="1"/>
    <col min="18" max="18" width="7.28515625" style="10" customWidth="1"/>
    <col min="19" max="19" width="7.85546875" style="10" customWidth="1"/>
    <col min="20" max="20" width="4.5703125" style="10" hidden="1" customWidth="1"/>
    <col min="21" max="21" width="7.42578125" style="10" customWidth="1"/>
    <col min="22" max="22" width="7" style="10" customWidth="1"/>
    <col min="23" max="23" width="6.85546875" style="10" customWidth="1"/>
    <col min="24" max="16384" width="9.140625" style="10"/>
  </cols>
  <sheetData>
    <row r="1" spans="1:24" s="47" customFormat="1" ht="14.25" customHeight="1">
      <c r="B1" s="1761" t="s">
        <v>314</v>
      </c>
      <c r="C1" s="1761"/>
      <c r="D1" s="1761"/>
      <c r="E1" s="1761"/>
      <c r="F1" s="1761"/>
      <c r="G1" s="1761"/>
      <c r="H1" s="1761"/>
      <c r="I1" s="1761"/>
      <c r="J1" s="1761"/>
      <c r="K1" s="1761"/>
      <c r="L1" s="2047" t="s">
        <v>315</v>
      </c>
      <c r="M1" s="2047"/>
      <c r="N1" s="2047"/>
      <c r="O1" s="2047"/>
      <c r="P1" s="48"/>
      <c r="Q1" s="48"/>
      <c r="R1" s="48"/>
      <c r="U1" s="1761" t="s">
        <v>1852</v>
      </c>
      <c r="V1" s="1761"/>
      <c r="W1" s="1761"/>
    </row>
    <row r="2" spans="1:24" ht="12" customHeight="1">
      <c r="B2" s="22"/>
      <c r="C2" s="22"/>
      <c r="D2" s="2044"/>
      <c r="E2" s="2044"/>
      <c r="F2" s="142"/>
      <c r="G2" s="142"/>
      <c r="H2" s="142"/>
      <c r="I2" s="142"/>
      <c r="J2" s="2045" t="s">
        <v>193</v>
      </c>
      <c r="K2" s="2045"/>
      <c r="L2" s="2048" t="s">
        <v>2167</v>
      </c>
      <c r="M2" s="2048"/>
      <c r="N2" s="2048"/>
      <c r="O2" s="2048"/>
      <c r="P2" s="2048"/>
      <c r="S2" s="22"/>
      <c r="T2" s="22"/>
      <c r="V2" s="2046" t="s">
        <v>490</v>
      </c>
      <c r="W2" s="2046"/>
    </row>
    <row r="3" spans="1:24" ht="13.5" customHeight="1">
      <c r="A3" s="1799" t="s">
        <v>764</v>
      </c>
      <c r="B3" s="2043" t="s">
        <v>316</v>
      </c>
      <c r="C3" s="2043" t="s">
        <v>317</v>
      </c>
      <c r="D3" s="2043" t="s">
        <v>318</v>
      </c>
      <c r="E3" s="2043" t="s">
        <v>479</v>
      </c>
      <c r="F3" s="2043" t="s">
        <v>480</v>
      </c>
      <c r="G3" s="2043" t="s">
        <v>492</v>
      </c>
      <c r="H3" s="2043" t="s">
        <v>319</v>
      </c>
      <c r="I3" s="2043" t="s">
        <v>320</v>
      </c>
      <c r="J3" s="2043" t="s">
        <v>321</v>
      </c>
      <c r="K3" s="2043" t="s">
        <v>2417</v>
      </c>
      <c r="L3" s="2043" t="s">
        <v>491</v>
      </c>
      <c r="M3" s="2043" t="s">
        <v>322</v>
      </c>
      <c r="N3" s="2043" t="s">
        <v>323</v>
      </c>
      <c r="O3" s="2043" t="s">
        <v>1356</v>
      </c>
      <c r="P3" s="2043" t="s">
        <v>482</v>
      </c>
      <c r="Q3" s="2043" t="s">
        <v>1358</v>
      </c>
      <c r="R3" s="2043" t="s">
        <v>2418</v>
      </c>
      <c r="S3" s="2055" t="s">
        <v>324</v>
      </c>
      <c r="T3" s="2056"/>
      <c r="U3" s="2056"/>
      <c r="V3" s="2056"/>
      <c r="W3" s="2057"/>
    </row>
    <row r="4" spans="1:24" s="143" customFormat="1" ht="74.25" customHeight="1">
      <c r="A4" s="1800"/>
      <c r="B4" s="2043"/>
      <c r="C4" s="2043"/>
      <c r="D4" s="2043"/>
      <c r="E4" s="2043"/>
      <c r="F4" s="2043"/>
      <c r="G4" s="2043"/>
      <c r="H4" s="2043"/>
      <c r="I4" s="2043"/>
      <c r="J4" s="2043"/>
      <c r="K4" s="2043"/>
      <c r="L4" s="2043"/>
      <c r="M4" s="2043"/>
      <c r="N4" s="2043"/>
      <c r="O4" s="2043"/>
      <c r="P4" s="2043"/>
      <c r="Q4" s="2043"/>
      <c r="R4" s="2043"/>
      <c r="S4" s="2058" t="s">
        <v>316</v>
      </c>
      <c r="T4" s="2059"/>
      <c r="U4" s="139" t="s">
        <v>322</v>
      </c>
      <c r="V4" s="1077" t="s">
        <v>325</v>
      </c>
      <c r="W4" s="1077" t="s">
        <v>481</v>
      </c>
    </row>
    <row r="5" spans="1:24" s="147" customFormat="1" ht="9.75" customHeight="1">
      <c r="A5" s="1801"/>
      <c r="B5" s="146">
        <v>1</v>
      </c>
      <c r="C5" s="146">
        <v>2</v>
      </c>
      <c r="D5" s="146">
        <v>3</v>
      </c>
      <c r="E5" s="146">
        <v>4</v>
      </c>
      <c r="F5" s="146">
        <v>5</v>
      </c>
      <c r="G5" s="146">
        <v>6</v>
      </c>
      <c r="H5" s="146">
        <v>7</v>
      </c>
      <c r="I5" s="146">
        <v>8</v>
      </c>
      <c r="J5" s="146">
        <v>9</v>
      </c>
      <c r="K5" s="146">
        <v>10</v>
      </c>
      <c r="L5" s="146">
        <v>11</v>
      </c>
      <c r="M5" s="146">
        <v>12</v>
      </c>
      <c r="N5" s="146">
        <v>13</v>
      </c>
      <c r="O5" s="146">
        <v>14</v>
      </c>
      <c r="P5" s="146">
        <v>15</v>
      </c>
      <c r="Q5" s="146">
        <v>16</v>
      </c>
      <c r="R5" s="146">
        <v>17</v>
      </c>
      <c r="S5" s="2060">
        <v>18</v>
      </c>
      <c r="T5" s="2060"/>
      <c r="U5" s="146">
        <v>19</v>
      </c>
      <c r="V5" s="146">
        <v>20</v>
      </c>
      <c r="W5" s="146">
        <v>21</v>
      </c>
    </row>
    <row r="6" spans="1:24" s="81" customFormat="1" ht="9.6" customHeight="1">
      <c r="A6" s="8" t="s">
        <v>832</v>
      </c>
      <c r="B6" s="910">
        <v>237086</v>
      </c>
      <c r="C6" s="910">
        <v>245799</v>
      </c>
      <c r="D6" s="910">
        <v>3653</v>
      </c>
      <c r="E6" s="910">
        <v>249452</v>
      </c>
      <c r="F6" s="910">
        <v>194691</v>
      </c>
      <c r="G6" s="910">
        <v>82.12</v>
      </c>
      <c r="H6" s="910">
        <v>42394</v>
      </c>
      <c r="I6" s="910">
        <v>54761</v>
      </c>
      <c r="J6" s="910" t="s">
        <v>326</v>
      </c>
      <c r="K6" s="910">
        <v>54587</v>
      </c>
      <c r="L6" s="910">
        <v>23.02</v>
      </c>
      <c r="M6" s="910">
        <v>204927</v>
      </c>
      <c r="N6" s="910">
        <v>212459</v>
      </c>
      <c r="O6" s="910">
        <v>7.91</v>
      </c>
      <c r="P6" s="910">
        <v>5.94</v>
      </c>
      <c r="Q6" s="910">
        <v>116</v>
      </c>
      <c r="R6" s="910">
        <v>12.98</v>
      </c>
      <c r="S6" s="2051">
        <v>18270</v>
      </c>
      <c r="T6" s="2051"/>
      <c r="U6" s="910">
        <v>15792</v>
      </c>
      <c r="V6" s="910">
        <v>18942</v>
      </c>
      <c r="W6" s="910" t="s">
        <v>327</v>
      </c>
      <c r="X6" s="369"/>
    </row>
    <row r="7" spans="1:24" s="372" customFormat="1" ht="10.5" customHeight="1">
      <c r="A7" s="490"/>
      <c r="B7" s="911" t="s">
        <v>328</v>
      </c>
      <c r="C7" s="911" t="s">
        <v>329</v>
      </c>
      <c r="D7" s="911" t="s">
        <v>330</v>
      </c>
      <c r="E7" s="911" t="s">
        <v>331</v>
      </c>
      <c r="F7" s="911" t="s">
        <v>332</v>
      </c>
      <c r="G7" s="911"/>
      <c r="H7" s="911" t="s">
        <v>333</v>
      </c>
      <c r="I7" s="911" t="s">
        <v>334</v>
      </c>
      <c r="J7" s="911"/>
      <c r="K7" s="911" t="s">
        <v>335</v>
      </c>
      <c r="L7" s="911"/>
      <c r="M7" s="911"/>
      <c r="N7" s="911"/>
      <c r="O7" s="911"/>
      <c r="P7" s="911"/>
      <c r="Q7" s="911"/>
      <c r="R7" s="911"/>
      <c r="S7" s="2050" t="s">
        <v>336</v>
      </c>
      <c r="T7" s="2050"/>
      <c r="U7" s="911"/>
      <c r="V7" s="911" t="s">
        <v>337</v>
      </c>
      <c r="W7" s="911"/>
      <c r="X7" s="371"/>
    </row>
    <row r="8" spans="1:24" s="81" customFormat="1" ht="9.6" customHeight="1">
      <c r="A8" s="8" t="s">
        <v>833</v>
      </c>
      <c r="B8" s="910">
        <v>253546</v>
      </c>
      <c r="C8" s="910">
        <v>262387</v>
      </c>
      <c r="D8" s="910">
        <v>2339</v>
      </c>
      <c r="E8" s="910">
        <v>264726</v>
      </c>
      <c r="F8" s="910">
        <v>207918</v>
      </c>
      <c r="G8" s="910" t="s">
        <v>338</v>
      </c>
      <c r="H8" s="910">
        <v>45628</v>
      </c>
      <c r="I8" s="910">
        <v>56809</v>
      </c>
      <c r="J8" s="910">
        <v>22.41</v>
      </c>
      <c r="K8" s="910">
        <v>58536</v>
      </c>
      <c r="L8" s="910">
        <v>23.09</v>
      </c>
      <c r="M8" s="910">
        <v>215735</v>
      </c>
      <c r="N8" s="910">
        <v>223258</v>
      </c>
      <c r="O8" s="910">
        <v>6.94</v>
      </c>
      <c r="P8" s="910">
        <v>5.27</v>
      </c>
      <c r="Q8" s="910">
        <v>118</v>
      </c>
      <c r="R8" s="1066">
        <v>12.99</v>
      </c>
      <c r="S8" s="2051">
        <v>19518</v>
      </c>
      <c r="T8" s="2051"/>
      <c r="U8" s="910">
        <v>16608</v>
      </c>
      <c r="V8" s="910">
        <v>20199</v>
      </c>
      <c r="W8" s="910">
        <v>17187</v>
      </c>
      <c r="X8" s="369"/>
    </row>
    <row r="9" spans="1:24" s="372" customFormat="1" ht="9.6" customHeight="1">
      <c r="A9" s="489"/>
      <c r="B9" s="911" t="s">
        <v>339</v>
      </c>
      <c r="C9" s="911" t="s">
        <v>340</v>
      </c>
      <c r="D9" s="911" t="s">
        <v>341</v>
      </c>
      <c r="E9" s="911" t="s">
        <v>342</v>
      </c>
      <c r="F9" s="911" t="s">
        <v>343</v>
      </c>
      <c r="G9" s="911"/>
      <c r="H9" s="911" t="s">
        <v>344</v>
      </c>
      <c r="I9" s="911" t="s">
        <v>345</v>
      </c>
      <c r="J9" s="911"/>
      <c r="K9" s="911" t="s">
        <v>346</v>
      </c>
      <c r="L9" s="911"/>
      <c r="M9" s="911"/>
      <c r="N9" s="911"/>
      <c r="O9" s="911"/>
      <c r="P9" s="911"/>
      <c r="Q9" s="911"/>
      <c r="R9" s="911"/>
      <c r="S9" s="2050" t="s">
        <v>347</v>
      </c>
      <c r="T9" s="2050"/>
      <c r="U9" s="911"/>
      <c r="V9" s="911" t="s">
        <v>348</v>
      </c>
      <c r="W9" s="911"/>
      <c r="X9" s="371"/>
    </row>
    <row r="10" spans="1:24" s="81" customFormat="1" ht="9.6" customHeight="1">
      <c r="A10" s="8" t="s">
        <v>834</v>
      </c>
      <c r="B10" s="910" t="s">
        <v>349</v>
      </c>
      <c r="C10" s="910" t="s">
        <v>350</v>
      </c>
      <c r="D10" s="910" t="s">
        <v>351</v>
      </c>
      <c r="E10" s="910" t="s">
        <v>352</v>
      </c>
      <c r="F10" s="910" t="s">
        <v>353</v>
      </c>
      <c r="G10" s="910" t="s">
        <v>354</v>
      </c>
      <c r="H10" s="910" t="s">
        <v>355</v>
      </c>
      <c r="I10" s="910" t="s">
        <v>356</v>
      </c>
      <c r="J10" s="910" t="s">
        <v>357</v>
      </c>
      <c r="K10" s="910" t="s">
        <v>358</v>
      </c>
      <c r="L10" s="910">
        <v>23.15</v>
      </c>
      <c r="M10" s="910">
        <v>225261</v>
      </c>
      <c r="N10" s="910">
        <v>235603</v>
      </c>
      <c r="O10" s="910">
        <v>7.75</v>
      </c>
      <c r="P10" s="910">
        <v>4.42</v>
      </c>
      <c r="Q10" s="910">
        <v>121</v>
      </c>
      <c r="R10" s="910">
        <v>13.16</v>
      </c>
      <c r="S10" s="2051">
        <v>20760</v>
      </c>
      <c r="T10" s="2051"/>
      <c r="U10" s="910">
        <v>17117</v>
      </c>
      <c r="V10" s="910" t="s">
        <v>359</v>
      </c>
      <c r="W10" s="910">
        <v>17903</v>
      </c>
      <c r="X10" s="369"/>
    </row>
    <row r="11" spans="1:24" s="372" customFormat="1" ht="9.6" customHeight="1">
      <c r="A11" s="489"/>
      <c r="B11" s="911" t="s">
        <v>360</v>
      </c>
      <c r="C11" s="911" t="s">
        <v>361</v>
      </c>
      <c r="D11" s="911" t="s">
        <v>362</v>
      </c>
      <c r="E11" s="911" t="s">
        <v>363</v>
      </c>
      <c r="F11" s="911" t="s">
        <v>364</v>
      </c>
      <c r="G11" s="911"/>
      <c r="H11" s="911" t="s">
        <v>365</v>
      </c>
      <c r="I11" s="911" t="s">
        <v>366</v>
      </c>
      <c r="J11" s="911"/>
      <c r="K11" s="911" t="s">
        <v>367</v>
      </c>
      <c r="L11" s="911"/>
      <c r="M11" s="911"/>
      <c r="N11" s="911"/>
      <c r="O11" s="911"/>
      <c r="P11" s="911"/>
      <c r="Q11" s="911"/>
      <c r="R11" s="911"/>
      <c r="S11" s="2050" t="s">
        <v>368</v>
      </c>
      <c r="T11" s="2050"/>
      <c r="U11" s="911"/>
      <c r="V11" s="911" t="s">
        <v>369</v>
      </c>
      <c r="W11" s="911"/>
      <c r="X11" s="371"/>
    </row>
    <row r="12" spans="1:24" s="81" customFormat="1" ht="9.6" customHeight="1">
      <c r="A12" s="8" t="s">
        <v>835</v>
      </c>
      <c r="B12" s="910" t="s">
        <v>370</v>
      </c>
      <c r="C12" s="910">
        <v>317163</v>
      </c>
      <c r="D12" s="910">
        <v>2158</v>
      </c>
      <c r="E12" s="910">
        <v>319322</v>
      </c>
      <c r="F12" s="910">
        <v>244570</v>
      </c>
      <c r="G12" s="910">
        <v>81.790000000000006</v>
      </c>
      <c r="H12" s="910">
        <v>56010</v>
      </c>
      <c r="I12" s="910">
        <v>74752</v>
      </c>
      <c r="J12" s="910">
        <v>24.45</v>
      </c>
      <c r="K12" s="910">
        <v>70352</v>
      </c>
      <c r="L12" s="910">
        <v>23.41</v>
      </c>
      <c r="M12" s="910">
        <v>237101</v>
      </c>
      <c r="N12" s="910">
        <v>250182</v>
      </c>
      <c r="O12" s="910">
        <v>10.02</v>
      </c>
      <c r="P12" s="910">
        <v>5.26</v>
      </c>
      <c r="Q12" s="910">
        <v>127</v>
      </c>
      <c r="R12" s="910">
        <v>13.34</v>
      </c>
      <c r="S12" s="2051">
        <v>22532</v>
      </c>
      <c r="T12" s="2051"/>
      <c r="U12" s="910">
        <v>17774</v>
      </c>
      <c r="V12" s="910">
        <v>23773</v>
      </c>
      <c r="W12" s="910">
        <v>18754</v>
      </c>
      <c r="X12" s="369"/>
    </row>
    <row r="13" spans="1:24" s="372" customFormat="1" ht="9.6" customHeight="1">
      <c r="A13" s="489"/>
      <c r="B13" s="911" t="s">
        <v>371</v>
      </c>
      <c r="C13" s="911" t="s">
        <v>372</v>
      </c>
      <c r="D13" s="911" t="s">
        <v>373</v>
      </c>
      <c r="E13" s="911" t="s">
        <v>374</v>
      </c>
      <c r="F13" s="911" t="s">
        <v>375</v>
      </c>
      <c r="G13" s="911"/>
      <c r="H13" s="911" t="s">
        <v>376</v>
      </c>
      <c r="I13" s="911" t="s">
        <v>377</v>
      </c>
      <c r="J13" s="911"/>
      <c r="K13" s="911" t="s">
        <v>378</v>
      </c>
      <c r="L13" s="911"/>
      <c r="M13" s="911"/>
      <c r="N13" s="911"/>
      <c r="O13" s="911"/>
      <c r="P13" s="911"/>
      <c r="Q13" s="911"/>
      <c r="R13" s="911"/>
      <c r="S13" s="2050" t="s">
        <v>379</v>
      </c>
      <c r="T13" s="2050"/>
      <c r="U13" s="911"/>
      <c r="V13" s="911" t="s">
        <v>380</v>
      </c>
      <c r="W13" s="911"/>
      <c r="X13" s="371"/>
    </row>
    <row r="14" spans="1:24" s="81" customFormat="1" ht="10.5" customHeight="1">
      <c r="A14" s="8" t="s">
        <v>836</v>
      </c>
      <c r="B14" s="910" t="s">
        <v>381</v>
      </c>
      <c r="C14" s="910">
        <v>350526</v>
      </c>
      <c r="D14" s="910">
        <v>2121</v>
      </c>
      <c r="E14" s="910">
        <v>352647</v>
      </c>
      <c r="F14" s="910">
        <v>267927</v>
      </c>
      <c r="G14" s="910">
        <v>80.739999999999995</v>
      </c>
      <c r="H14" s="910">
        <v>65046</v>
      </c>
      <c r="I14" s="910">
        <v>84719</v>
      </c>
      <c r="J14" s="910">
        <v>25.44</v>
      </c>
      <c r="K14" s="910">
        <v>79991</v>
      </c>
      <c r="L14" s="910">
        <v>24.02</v>
      </c>
      <c r="M14" s="910">
        <v>251968</v>
      </c>
      <c r="N14" s="910">
        <v>265251</v>
      </c>
      <c r="O14" s="910">
        <v>10.78</v>
      </c>
      <c r="P14" s="910">
        <v>6.27</v>
      </c>
      <c r="Q14" s="910">
        <v>132</v>
      </c>
      <c r="R14" s="910">
        <v>13.52</v>
      </c>
      <c r="S14" s="2051">
        <v>24628</v>
      </c>
      <c r="T14" s="2051"/>
      <c r="U14" s="910">
        <v>18637</v>
      </c>
      <c r="V14" s="910">
        <v>25926</v>
      </c>
      <c r="W14" s="910">
        <v>19619</v>
      </c>
      <c r="X14" s="369"/>
    </row>
    <row r="15" spans="1:24" s="372" customFormat="1" ht="9.6" customHeight="1">
      <c r="A15" s="489"/>
      <c r="B15" s="911" t="s">
        <v>382</v>
      </c>
      <c r="C15" s="911" t="s">
        <v>383</v>
      </c>
      <c r="D15" s="911" t="s">
        <v>384</v>
      </c>
      <c r="E15" s="911" t="s">
        <v>385</v>
      </c>
      <c r="F15" s="911" t="s">
        <v>386</v>
      </c>
      <c r="G15" s="911"/>
      <c r="H15" s="911" t="s">
        <v>387</v>
      </c>
      <c r="I15" s="911" t="s">
        <v>388</v>
      </c>
      <c r="J15" s="911"/>
      <c r="K15" s="911" t="s">
        <v>389</v>
      </c>
      <c r="L15" s="911"/>
      <c r="M15" s="911"/>
      <c r="N15" s="911"/>
      <c r="O15" s="911"/>
      <c r="P15" s="911"/>
      <c r="Q15" s="911"/>
      <c r="R15" s="911"/>
      <c r="S15" s="2050" t="s">
        <v>390</v>
      </c>
      <c r="T15" s="2050"/>
      <c r="U15" s="911"/>
      <c r="V15" s="911" t="s">
        <v>391</v>
      </c>
      <c r="W15" s="911"/>
      <c r="X15" s="371"/>
    </row>
    <row r="16" spans="1:24" s="81" customFormat="1" ht="9.6" customHeight="1">
      <c r="A16" s="8" t="s">
        <v>837</v>
      </c>
      <c r="B16" s="910">
        <v>370707</v>
      </c>
      <c r="C16" s="910">
        <v>389635</v>
      </c>
      <c r="D16" s="910">
        <v>2681</v>
      </c>
      <c r="E16" s="910">
        <v>392316</v>
      </c>
      <c r="F16" s="910">
        <v>296512</v>
      </c>
      <c r="G16" s="910">
        <v>79.989999999999995</v>
      </c>
      <c r="H16" s="910">
        <v>74195</v>
      </c>
      <c r="I16" s="910">
        <v>95804</v>
      </c>
      <c r="J16" s="910">
        <v>25.84</v>
      </c>
      <c r="K16" s="910" t="s">
        <v>392</v>
      </c>
      <c r="L16" s="910">
        <v>24.53</v>
      </c>
      <c r="M16" s="910">
        <v>266974</v>
      </c>
      <c r="N16" s="910">
        <v>280606</v>
      </c>
      <c r="O16" s="910">
        <v>11.33</v>
      </c>
      <c r="P16" s="910">
        <v>5.96</v>
      </c>
      <c r="Q16" s="910">
        <v>139</v>
      </c>
      <c r="R16" s="910" t="s">
        <v>393</v>
      </c>
      <c r="S16" s="2051">
        <v>27061</v>
      </c>
      <c r="T16" s="2051"/>
      <c r="U16" s="910">
        <v>19489</v>
      </c>
      <c r="V16" s="910">
        <v>28443</v>
      </c>
      <c r="W16" s="910">
        <v>20484</v>
      </c>
      <c r="X16" s="369"/>
    </row>
    <row r="17" spans="1:24" s="372" customFormat="1" ht="9.6" customHeight="1">
      <c r="A17" s="489"/>
      <c r="B17" s="911" t="s">
        <v>394</v>
      </c>
      <c r="C17" s="911" t="s">
        <v>395</v>
      </c>
      <c r="D17" s="911" t="s">
        <v>396</v>
      </c>
      <c r="E17" s="911" t="s">
        <v>397</v>
      </c>
      <c r="F17" s="911" t="s">
        <v>398</v>
      </c>
      <c r="G17" s="911"/>
      <c r="H17" s="911" t="s">
        <v>399</v>
      </c>
      <c r="I17" s="911" t="s">
        <v>400</v>
      </c>
      <c r="J17" s="911"/>
      <c r="K17" s="911" t="s">
        <v>401</v>
      </c>
      <c r="L17" s="911"/>
      <c r="M17" s="911"/>
      <c r="N17" s="911"/>
      <c r="O17" s="911"/>
      <c r="P17" s="911"/>
      <c r="Q17" s="911"/>
      <c r="R17" s="911"/>
      <c r="S17" s="2050" t="s">
        <v>402</v>
      </c>
      <c r="T17" s="2050"/>
      <c r="U17" s="911"/>
      <c r="V17" s="911" t="s">
        <v>403</v>
      </c>
      <c r="W17" s="911"/>
      <c r="X17" s="371"/>
    </row>
    <row r="18" spans="1:24" s="81" customFormat="1" ht="9.6" customHeight="1">
      <c r="A18" s="8" t="s">
        <v>842</v>
      </c>
      <c r="B18" s="910">
        <v>415728</v>
      </c>
      <c r="C18" s="910">
        <v>442935</v>
      </c>
      <c r="D18" s="910">
        <v>3653</v>
      </c>
      <c r="E18" s="910" t="s">
        <v>404</v>
      </c>
      <c r="F18" s="910">
        <v>331552</v>
      </c>
      <c r="G18" s="910">
        <v>79.75</v>
      </c>
      <c r="H18" s="910">
        <v>84176</v>
      </c>
      <c r="I18" s="910">
        <v>115036</v>
      </c>
      <c r="J18" s="910">
        <v>27.67</v>
      </c>
      <c r="K18" s="910">
        <v>102480</v>
      </c>
      <c r="L18" s="910">
        <v>24.65</v>
      </c>
      <c r="M18" s="910">
        <v>284673</v>
      </c>
      <c r="N18" s="910">
        <v>303303</v>
      </c>
      <c r="O18" s="910">
        <v>12.14</v>
      </c>
      <c r="P18" s="910" t="s">
        <v>405</v>
      </c>
      <c r="Q18" s="910">
        <v>146</v>
      </c>
      <c r="R18" s="910">
        <v>13.88</v>
      </c>
      <c r="S18" s="2051">
        <v>29955</v>
      </c>
      <c r="T18" s="2051"/>
      <c r="U18" s="910">
        <v>20512</v>
      </c>
      <c r="V18" s="910">
        <v>31915</v>
      </c>
      <c r="W18" s="910">
        <v>21854</v>
      </c>
      <c r="X18" s="369"/>
    </row>
    <row r="19" spans="1:24" s="372" customFormat="1" ht="9.6" customHeight="1">
      <c r="A19" s="489"/>
      <c r="B19" s="911" t="s">
        <v>406</v>
      </c>
      <c r="C19" s="911" t="s">
        <v>407</v>
      </c>
      <c r="D19" s="911" t="s">
        <v>408</v>
      </c>
      <c r="E19" s="911" t="s">
        <v>409</v>
      </c>
      <c r="F19" s="911" t="s">
        <v>410</v>
      </c>
      <c r="G19" s="911"/>
      <c r="H19" s="911" t="s">
        <v>411</v>
      </c>
      <c r="I19" s="911" t="s">
        <v>412</v>
      </c>
      <c r="J19" s="911"/>
      <c r="K19" s="911" t="s">
        <v>413</v>
      </c>
      <c r="L19" s="911"/>
      <c r="M19" s="911"/>
      <c r="N19" s="911"/>
      <c r="O19" s="911"/>
      <c r="P19" s="911"/>
      <c r="Q19" s="911"/>
      <c r="R19" s="911"/>
      <c r="S19" s="2050" t="s">
        <v>414</v>
      </c>
      <c r="T19" s="2050"/>
      <c r="U19" s="911"/>
      <c r="V19" s="911" t="s">
        <v>415</v>
      </c>
      <c r="W19" s="911"/>
      <c r="X19" s="371"/>
    </row>
    <row r="20" spans="1:24" s="81" customFormat="1" ht="9.6" customHeight="1">
      <c r="A20" s="7" t="s">
        <v>851</v>
      </c>
      <c r="B20" s="910" t="s">
        <v>881</v>
      </c>
      <c r="C20" s="910" t="s">
        <v>416</v>
      </c>
      <c r="D20" s="910" t="s">
        <v>417</v>
      </c>
      <c r="E20" s="910" t="s">
        <v>418</v>
      </c>
      <c r="F20" s="910" t="s">
        <v>419</v>
      </c>
      <c r="G20" s="910" t="s">
        <v>420</v>
      </c>
      <c r="H20" s="910" t="s">
        <v>421</v>
      </c>
      <c r="I20" s="910" t="s">
        <v>422</v>
      </c>
      <c r="J20" s="910" t="s">
        <v>423</v>
      </c>
      <c r="K20" s="910" t="s">
        <v>424</v>
      </c>
      <c r="L20" s="912" t="s">
        <v>425</v>
      </c>
      <c r="M20" s="912" t="s">
        <v>426</v>
      </c>
      <c r="N20" s="912" t="s">
        <v>427</v>
      </c>
      <c r="O20" s="912" t="s">
        <v>428</v>
      </c>
      <c r="P20" s="912" t="s">
        <v>429</v>
      </c>
      <c r="Q20" s="912" t="s">
        <v>430</v>
      </c>
      <c r="R20" s="518">
        <v>14.06</v>
      </c>
      <c r="S20" s="912" t="s">
        <v>431</v>
      </c>
      <c r="T20" s="912"/>
      <c r="U20" s="912" t="s">
        <v>432</v>
      </c>
      <c r="V20" s="912" t="s">
        <v>433</v>
      </c>
      <c r="W20" s="912" t="s">
        <v>434</v>
      </c>
      <c r="X20" s="373"/>
    </row>
    <row r="21" spans="1:24" s="372" customFormat="1" ht="9.6" customHeight="1">
      <c r="A21" s="491"/>
      <c r="B21" s="913" t="s">
        <v>435</v>
      </c>
      <c r="C21" s="913" t="s">
        <v>436</v>
      </c>
      <c r="D21" s="913" t="s">
        <v>437</v>
      </c>
      <c r="E21" s="913" t="s">
        <v>438</v>
      </c>
      <c r="F21" s="913" t="s">
        <v>439</v>
      </c>
      <c r="G21" s="913"/>
      <c r="H21" s="913" t="s">
        <v>440</v>
      </c>
      <c r="I21" s="913" t="s">
        <v>441</v>
      </c>
      <c r="J21" s="913"/>
      <c r="K21" s="913" t="s">
        <v>442</v>
      </c>
      <c r="L21" s="913"/>
      <c r="M21" s="913"/>
      <c r="N21" s="913"/>
      <c r="O21" s="913"/>
      <c r="P21" s="913"/>
      <c r="Q21" s="913"/>
      <c r="R21" s="913"/>
      <c r="S21" s="913" t="s">
        <v>443</v>
      </c>
      <c r="T21" s="913"/>
      <c r="U21" s="913"/>
      <c r="V21" s="913" t="s">
        <v>444</v>
      </c>
      <c r="W21" s="913"/>
      <c r="X21" s="370"/>
    </row>
    <row r="22" spans="1:24" s="81" customFormat="1" ht="9.6" customHeight="1">
      <c r="A22" s="375" t="s">
        <v>574</v>
      </c>
      <c r="B22" s="914" t="s">
        <v>158</v>
      </c>
      <c r="C22" s="914">
        <v>594212</v>
      </c>
      <c r="D22" s="914" t="s">
        <v>445</v>
      </c>
      <c r="E22" s="914" t="s">
        <v>446</v>
      </c>
      <c r="F22" s="914" t="s">
        <v>447</v>
      </c>
      <c r="G22" s="914" t="s">
        <v>448</v>
      </c>
      <c r="H22" s="914" t="s">
        <v>449</v>
      </c>
      <c r="I22" s="914" t="s">
        <v>450</v>
      </c>
      <c r="J22" s="914" t="s">
        <v>451</v>
      </c>
      <c r="K22" s="914" t="s">
        <v>452</v>
      </c>
      <c r="L22" s="914" t="s">
        <v>453</v>
      </c>
      <c r="M22" s="914" t="s">
        <v>454</v>
      </c>
      <c r="N22" s="914">
        <v>350248</v>
      </c>
      <c r="O22" s="914" t="s">
        <v>455</v>
      </c>
      <c r="P22" s="914" t="s">
        <v>456</v>
      </c>
      <c r="Q22" s="914" t="s">
        <v>457</v>
      </c>
      <c r="R22" s="518" t="s">
        <v>458</v>
      </c>
      <c r="S22" s="718">
        <v>38330</v>
      </c>
      <c r="T22" s="914"/>
      <c r="U22" s="914" t="s">
        <v>459</v>
      </c>
      <c r="V22" s="914">
        <v>41728</v>
      </c>
      <c r="W22" s="914">
        <v>24596</v>
      </c>
      <c r="X22" s="373"/>
    </row>
    <row r="23" spans="1:24" s="374" customFormat="1" ht="9.6" customHeight="1">
      <c r="A23" s="492"/>
      <c r="B23" s="915">
        <v>-79565.889212827999</v>
      </c>
      <c r="C23" s="915">
        <v>-86619.825072886306</v>
      </c>
      <c r="D23" s="915">
        <v>-826.67638483965004</v>
      </c>
      <c r="E23" s="915">
        <v>-87446.501457726001</v>
      </c>
      <c r="F23" s="915">
        <v>-63406.851311953404</v>
      </c>
      <c r="G23" s="915"/>
      <c r="H23" s="915">
        <v>-16159.0379008746</v>
      </c>
      <c r="I23" s="915">
        <v>-24039.650145772601</v>
      </c>
      <c r="J23" s="915"/>
      <c r="K23" s="915">
        <v>-19261.224489795899</v>
      </c>
      <c r="L23" s="916"/>
      <c r="M23" s="916"/>
      <c r="N23" s="916"/>
      <c r="O23" s="916"/>
      <c r="P23" s="916"/>
      <c r="Q23" s="916"/>
      <c r="R23" s="916"/>
      <c r="S23" s="917">
        <v>559</v>
      </c>
      <c r="T23" s="916"/>
      <c r="U23" s="916"/>
      <c r="V23" s="915">
        <v>-608</v>
      </c>
      <c r="W23" s="916"/>
      <c r="X23" s="376"/>
    </row>
    <row r="24" spans="1:24" s="81" customFormat="1" ht="9.6" customHeight="1">
      <c r="A24" s="375" t="s">
        <v>114</v>
      </c>
      <c r="B24" s="914">
        <v>614795</v>
      </c>
      <c r="C24" s="914">
        <v>670696</v>
      </c>
      <c r="D24" s="914">
        <v>2407</v>
      </c>
      <c r="E24" s="914">
        <v>673103</v>
      </c>
      <c r="F24" s="914">
        <v>491291</v>
      </c>
      <c r="G24" s="518">
        <v>79.91</v>
      </c>
      <c r="H24" s="914">
        <v>123504</v>
      </c>
      <c r="I24" s="914">
        <v>181812</v>
      </c>
      <c r="J24" s="914">
        <v>29.57</v>
      </c>
      <c r="K24" s="914">
        <v>149839</v>
      </c>
      <c r="L24" s="914">
        <v>24.37</v>
      </c>
      <c r="M24" s="914">
        <v>340197</v>
      </c>
      <c r="N24" s="914">
        <v>371130</v>
      </c>
      <c r="O24" s="914">
        <v>12.64</v>
      </c>
      <c r="P24" s="914">
        <v>5.74</v>
      </c>
      <c r="Q24" s="914">
        <v>181</v>
      </c>
      <c r="R24" s="914" t="s">
        <v>460</v>
      </c>
      <c r="S24" s="914">
        <v>42628</v>
      </c>
      <c r="T24" s="914"/>
      <c r="U24" s="914">
        <v>23588</v>
      </c>
      <c r="V24" s="914">
        <v>46504</v>
      </c>
      <c r="W24" s="914">
        <v>25733</v>
      </c>
      <c r="X24" s="369"/>
    </row>
    <row r="25" spans="1:24" ht="9.6" customHeight="1">
      <c r="A25" s="451"/>
      <c r="B25" s="917">
        <f>(B24/68.8)*10</f>
        <v>89359.738372093037</v>
      </c>
      <c r="C25" s="917">
        <f>(C24/68.8)*10</f>
        <v>97484.883720930229</v>
      </c>
      <c r="D25" s="917">
        <f>(D24/68.8)*10</f>
        <v>349.85465116279073</v>
      </c>
      <c r="E25" s="917">
        <f>(E24/68.8)*10</f>
        <v>97834.738372093037</v>
      </c>
      <c r="F25" s="917">
        <f>(F24/68.8)*10</f>
        <v>71408.575581395358</v>
      </c>
      <c r="G25" s="917"/>
      <c r="H25" s="917">
        <f>(H24/68.8)*10</f>
        <v>17951.162790697676</v>
      </c>
      <c r="I25" s="917">
        <f>(I24/68.8)*10</f>
        <v>26426.162790697676</v>
      </c>
      <c r="J25" s="917"/>
      <c r="K25" s="917">
        <f>(K24/68.8)*10</f>
        <v>21778.924418604653</v>
      </c>
      <c r="L25" s="913"/>
      <c r="M25" s="913"/>
      <c r="N25" s="913"/>
      <c r="O25" s="913"/>
      <c r="P25" s="913"/>
      <c r="Q25" s="913"/>
      <c r="R25" s="913"/>
      <c r="S25" s="917">
        <f>(S24/68.8)</f>
        <v>619.59302325581393</v>
      </c>
      <c r="T25" s="913"/>
      <c r="U25" s="913"/>
      <c r="V25" s="917">
        <f>(V24/68.8)</f>
        <v>675.93023255813955</v>
      </c>
      <c r="W25" s="913"/>
      <c r="X25" s="71"/>
    </row>
    <row r="26" spans="1:24" ht="9.6" customHeight="1">
      <c r="A26" s="11" t="s">
        <v>110</v>
      </c>
      <c r="B26" s="918">
        <v>694324</v>
      </c>
      <c r="C26" s="919">
        <v>758928</v>
      </c>
      <c r="D26" s="919">
        <v>4248</v>
      </c>
      <c r="E26" s="919">
        <v>763176</v>
      </c>
      <c r="F26" s="919">
        <v>554771</v>
      </c>
      <c r="G26" s="518">
        <f>(F26/B26)*100</f>
        <v>79.900882008975643</v>
      </c>
      <c r="H26" s="919">
        <v>139553</v>
      </c>
      <c r="I26" s="919">
        <v>208405</v>
      </c>
      <c r="J26" s="518">
        <f>(I26/B26)*100</f>
        <v>30.015525892810853</v>
      </c>
      <c r="K26" s="919">
        <v>169511</v>
      </c>
      <c r="L26" s="518">
        <f>(K26/B26)*100</f>
        <v>24.413818332651616</v>
      </c>
      <c r="M26" s="912" t="s">
        <v>1001</v>
      </c>
      <c r="N26" s="912" t="s">
        <v>1006</v>
      </c>
      <c r="O26" s="912" t="s">
        <v>1002</v>
      </c>
      <c r="P26" s="912" t="s">
        <v>1003</v>
      </c>
      <c r="Q26" s="912" t="s">
        <v>175</v>
      </c>
      <c r="R26" s="912" t="s">
        <v>174</v>
      </c>
      <c r="S26" s="912" t="s">
        <v>1004</v>
      </c>
      <c r="T26" s="912"/>
      <c r="U26" s="912" t="s">
        <v>1007</v>
      </c>
      <c r="V26" s="912" t="s">
        <v>1005</v>
      </c>
      <c r="W26" s="912" t="s">
        <v>1008</v>
      </c>
      <c r="X26" s="71"/>
    </row>
    <row r="27" spans="1:24" s="11" customFormat="1" ht="9.6" customHeight="1">
      <c r="A27" s="451"/>
      <c r="B27" s="917">
        <f>(B26/69.18)*10</f>
        <v>100364.84533102051</v>
      </c>
      <c r="C27" s="917">
        <f t="shared" ref="C27:K27" si="0">(C26/69.18)*10</f>
        <v>109703.38248048567</v>
      </c>
      <c r="D27" s="917">
        <f t="shared" si="0"/>
        <v>614.0503035559409</v>
      </c>
      <c r="E27" s="917">
        <f t="shared" si="0"/>
        <v>110317.43278404161</v>
      </c>
      <c r="F27" s="917">
        <f t="shared" si="0"/>
        <v>80192.396646429595</v>
      </c>
      <c r="G27" s="917"/>
      <c r="H27" s="917">
        <f t="shared" si="0"/>
        <v>20172.44868459092</v>
      </c>
      <c r="I27" s="917">
        <f t="shared" si="0"/>
        <v>30125.036137612024</v>
      </c>
      <c r="J27" s="917"/>
      <c r="K27" s="917">
        <f t="shared" si="0"/>
        <v>24502.891008962124</v>
      </c>
      <c r="L27" s="913"/>
      <c r="M27" s="913"/>
      <c r="N27" s="913"/>
      <c r="O27" s="913"/>
      <c r="P27" s="913"/>
      <c r="Q27" s="913"/>
      <c r="R27" s="913"/>
      <c r="S27" s="917">
        <f>S26/69.18</f>
        <v>687.13501011853134</v>
      </c>
      <c r="T27" s="913"/>
      <c r="U27" s="913"/>
      <c r="V27" s="917">
        <f>V26/69.18</f>
        <v>751.06967331598719</v>
      </c>
      <c r="W27" s="913"/>
      <c r="X27" s="125"/>
    </row>
    <row r="28" spans="1:24" s="11" customFormat="1" ht="9.6" customHeight="1">
      <c r="A28" s="11" t="s">
        <v>253</v>
      </c>
      <c r="B28" s="914">
        <v>796704</v>
      </c>
      <c r="C28" s="914">
        <v>869217</v>
      </c>
      <c r="D28" s="914">
        <v>3101</v>
      </c>
      <c r="E28" s="914">
        <v>872319</v>
      </c>
      <c r="F28" s="914">
        <v>643022</v>
      </c>
      <c r="G28" s="518">
        <f>(F28/B28)*100</f>
        <v>80.710276338514689</v>
      </c>
      <c r="H28" s="914">
        <v>153682</v>
      </c>
      <c r="I28" s="914">
        <v>229297</v>
      </c>
      <c r="J28" s="518">
        <f>(I28/B28)*100</f>
        <v>28.780701490139375</v>
      </c>
      <c r="K28" s="914">
        <v>200378</v>
      </c>
      <c r="L28" s="518">
        <f>(K28/B28)*100</f>
        <v>25.150871590954733</v>
      </c>
      <c r="M28" s="912" t="s">
        <v>1347</v>
      </c>
      <c r="N28" s="912" t="s">
        <v>1354</v>
      </c>
      <c r="O28" s="912" t="s">
        <v>1348</v>
      </c>
      <c r="P28" s="912" t="s">
        <v>1349</v>
      </c>
      <c r="Q28" s="920" t="s">
        <v>1352</v>
      </c>
      <c r="R28" s="912" t="s">
        <v>1350</v>
      </c>
      <c r="S28" s="914">
        <v>53238</v>
      </c>
      <c r="T28" s="912"/>
      <c r="U28" s="920" t="s">
        <v>1353</v>
      </c>
      <c r="V28" s="914">
        <v>58083</v>
      </c>
      <c r="W28" s="912" t="s">
        <v>1355</v>
      </c>
      <c r="X28" s="246"/>
    </row>
    <row r="29" spans="1:24" s="11" customFormat="1" ht="9.6" customHeight="1">
      <c r="A29" s="451"/>
      <c r="B29" s="917">
        <f>(B28/71.17)*10</f>
        <v>111943.79654348742</v>
      </c>
      <c r="C29" s="917">
        <f>(C28/71.17)*10</f>
        <v>122132.49964872839</v>
      </c>
      <c r="D29" s="917">
        <f>(D28/71.17)*10</f>
        <v>435.71729661374172</v>
      </c>
      <c r="E29" s="917">
        <f>(E28/71.17)*10</f>
        <v>122568.35745398341</v>
      </c>
      <c r="F29" s="917">
        <f>(F28/71.17)*10</f>
        <v>90350.147534073345</v>
      </c>
      <c r="G29" s="917"/>
      <c r="H29" s="917">
        <f>(H28/71.17)*10</f>
        <v>21593.649009414079</v>
      </c>
      <c r="I29" s="917">
        <f>(I28/71.17)*10</f>
        <v>32218.209919910074</v>
      </c>
      <c r="J29" s="917"/>
      <c r="K29" s="917">
        <f>(K28/71.17)*10</f>
        <v>28154.840522692142</v>
      </c>
      <c r="L29" s="913"/>
      <c r="M29" s="913"/>
      <c r="N29" s="913"/>
      <c r="O29" s="913"/>
      <c r="P29" s="913"/>
      <c r="Q29" s="913"/>
      <c r="R29" s="913"/>
      <c r="S29" s="917">
        <f>S28/71.17</f>
        <v>748.03990445412387</v>
      </c>
      <c r="T29" s="913"/>
      <c r="U29" s="913"/>
      <c r="V29" s="917">
        <f>V28/71.17</f>
        <v>816.116341154981</v>
      </c>
      <c r="W29" s="913"/>
      <c r="X29" s="125"/>
    </row>
    <row r="30" spans="1:24" s="11" customFormat="1" ht="9.6" customHeight="1">
      <c r="A30" s="11" t="s">
        <v>1169</v>
      </c>
      <c r="B30" s="907">
        <v>918141</v>
      </c>
      <c r="C30" s="914">
        <v>1007443</v>
      </c>
      <c r="D30" s="914">
        <v>1791</v>
      </c>
      <c r="E30" s="914">
        <v>1009234</v>
      </c>
      <c r="F30" s="914">
        <v>741287</v>
      </c>
      <c r="G30" s="518">
        <f>(F30/B30)*100</f>
        <v>80.73781695839746</v>
      </c>
      <c r="H30" s="914">
        <v>176854</v>
      </c>
      <c r="I30" s="914">
        <v>267947</v>
      </c>
      <c r="J30" s="518">
        <f>(I30/B30)*100</f>
        <v>29.183643906545942</v>
      </c>
      <c r="K30" s="914">
        <v>243691</v>
      </c>
      <c r="L30" s="518">
        <f>(K30/B30)*100</f>
        <v>26.541783887224295</v>
      </c>
      <c r="M30" s="912">
        <v>409053</v>
      </c>
      <c r="N30" s="912" t="s">
        <v>1663</v>
      </c>
      <c r="O30" s="912" t="s">
        <v>1651</v>
      </c>
      <c r="P30" s="912" t="s">
        <v>1652</v>
      </c>
      <c r="Q30" s="912" t="s">
        <v>1664</v>
      </c>
      <c r="R30" s="912" t="s">
        <v>1351</v>
      </c>
      <c r="S30" s="914">
        <v>60571</v>
      </c>
      <c r="T30" s="912"/>
      <c r="U30" s="912" t="s">
        <v>1666</v>
      </c>
      <c r="V30" s="914">
        <v>66463</v>
      </c>
      <c r="W30" s="912" t="s">
        <v>1667</v>
      </c>
      <c r="X30" s="125"/>
    </row>
    <row r="31" spans="1:24" s="11" customFormat="1" ht="9.6" customHeight="1">
      <c r="A31" s="451"/>
      <c r="B31" s="917">
        <f>(B30/79.1)*10</f>
        <v>116073.45132743364</v>
      </c>
      <c r="C31" s="917">
        <f>(C30/79.1)*10</f>
        <v>127363.21112515804</v>
      </c>
      <c r="D31" s="917">
        <f>(D30/79.1)*10</f>
        <v>226.42225031605562</v>
      </c>
      <c r="E31" s="917">
        <f>(E30/79.1)*10</f>
        <v>127589.63337547409</v>
      </c>
      <c r="F31" s="917">
        <f>(F30/79.1)*10</f>
        <v>93715.170670037929</v>
      </c>
      <c r="G31" s="917"/>
      <c r="H31" s="917">
        <f>(H30/79.1)*10</f>
        <v>22358.280657395702</v>
      </c>
      <c r="I31" s="917">
        <f>(I30/79.1)*10</f>
        <v>33874.462705436155</v>
      </c>
      <c r="J31" s="917"/>
      <c r="K31" s="917">
        <f>(K30/79.1)*10</f>
        <v>30807.964601769912</v>
      </c>
      <c r="L31" s="913"/>
      <c r="M31" s="913"/>
      <c r="N31" s="913"/>
      <c r="O31" s="913"/>
      <c r="P31" s="913"/>
      <c r="Q31" s="913"/>
      <c r="R31" s="913"/>
      <c r="S31" s="917">
        <f>S30/79.1</f>
        <v>765.75221238938059</v>
      </c>
      <c r="T31" s="913"/>
      <c r="U31" s="913"/>
      <c r="V31" s="917">
        <f>V30/79.1</f>
        <v>840.24020227560061</v>
      </c>
      <c r="W31" s="913"/>
      <c r="X31" s="125"/>
    </row>
    <row r="32" spans="1:24" s="11" customFormat="1" ht="9.6" customHeight="1">
      <c r="A32" s="541" t="s">
        <v>1957</v>
      </c>
      <c r="B32" s="718">
        <v>482337</v>
      </c>
      <c r="C32" s="914">
        <v>509545</v>
      </c>
      <c r="D32" s="914">
        <v>3653</v>
      </c>
      <c r="E32" s="914">
        <v>513197</v>
      </c>
      <c r="F32" s="914">
        <v>378940</v>
      </c>
      <c r="G32" s="518">
        <f>(F32/B32)*100</f>
        <v>78.563328129502821</v>
      </c>
      <c r="H32" s="914">
        <v>103397</v>
      </c>
      <c r="I32" s="914">
        <v>134257</v>
      </c>
      <c r="J32" s="518">
        <f>(I32/B32)*100</f>
        <v>27.834688195183038</v>
      </c>
      <c r="K32" s="914">
        <v>126103</v>
      </c>
      <c r="L32" s="518">
        <f>(K32/B32)*100</f>
        <v>26.144168910948157</v>
      </c>
      <c r="M32" s="912" t="s">
        <v>1958</v>
      </c>
      <c r="N32" s="912" t="s">
        <v>1963</v>
      </c>
      <c r="O32" s="912" t="s">
        <v>1002</v>
      </c>
      <c r="P32" s="912" t="s">
        <v>1972</v>
      </c>
      <c r="Q32" s="912" t="s">
        <v>1665</v>
      </c>
      <c r="R32" s="912" t="s">
        <v>1976</v>
      </c>
      <c r="S32" s="914">
        <v>34502</v>
      </c>
      <c r="T32" s="912"/>
      <c r="U32" s="912" t="s">
        <v>1982</v>
      </c>
      <c r="V32" s="914">
        <v>36448</v>
      </c>
      <c r="W32" s="912" t="s">
        <v>1981</v>
      </c>
      <c r="X32" s="125"/>
    </row>
    <row r="33" spans="1:24" s="11" customFormat="1" ht="9.6" customHeight="1">
      <c r="A33" s="451"/>
      <c r="B33" s="917">
        <f>(B32/67.08)*10</f>
        <v>71904.740608228982</v>
      </c>
      <c r="C33" s="917">
        <f>(C32/67.08)*10</f>
        <v>75960.793082886114</v>
      </c>
      <c r="D33" s="917">
        <f>(D32/67.08)*10</f>
        <v>544.5736434108527</v>
      </c>
      <c r="E33" s="917">
        <f>(E32/67.08)*10</f>
        <v>76505.217650566497</v>
      </c>
      <c r="F33" s="917">
        <f>(F32/67.08)*10</f>
        <v>56490.757304710794</v>
      </c>
      <c r="G33" s="917"/>
      <c r="H33" s="917">
        <f>(H32/67.08)*10</f>
        <v>15413.983303518187</v>
      </c>
      <c r="I33" s="917">
        <f>(I32/67.08)*10</f>
        <v>20014.460345855696</v>
      </c>
      <c r="J33" s="917"/>
      <c r="K33" s="917">
        <f>(K32/67.08)*10</f>
        <v>18798.896839594516</v>
      </c>
      <c r="L33" s="913"/>
      <c r="M33" s="913"/>
      <c r="N33" s="913"/>
      <c r="O33" s="913"/>
      <c r="P33" s="913"/>
      <c r="Q33" s="913"/>
      <c r="R33" s="913"/>
      <c r="S33" s="917">
        <f>S32/67.08</f>
        <v>514.34108527131787</v>
      </c>
      <c r="T33" s="913"/>
      <c r="U33" s="913"/>
      <c r="V33" s="917">
        <f>V32/67.08</f>
        <v>543.35122242098987</v>
      </c>
      <c r="W33" s="913"/>
      <c r="X33" s="125"/>
    </row>
    <row r="34" spans="1:24" s="11" customFormat="1" ht="9.6" customHeight="1">
      <c r="A34" s="252" t="s">
        <v>851</v>
      </c>
      <c r="B34" s="718">
        <v>549800</v>
      </c>
      <c r="C34" s="914">
        <v>585075</v>
      </c>
      <c r="D34" s="914">
        <v>3989</v>
      </c>
      <c r="E34" s="914">
        <v>589064</v>
      </c>
      <c r="F34" s="914">
        <v>435731</v>
      </c>
      <c r="G34" s="518">
        <f>(F34/B34)*100</f>
        <v>79.252637322662792</v>
      </c>
      <c r="H34" s="914">
        <v>114069</v>
      </c>
      <c r="I34" s="914">
        <v>153333</v>
      </c>
      <c r="J34" s="518">
        <f>(I34/B34)*100</f>
        <v>27.888868679519824</v>
      </c>
      <c r="K34" s="914">
        <v>143929</v>
      </c>
      <c r="L34" s="518">
        <f>(K34/B34)*100</f>
        <v>26.178428519461622</v>
      </c>
      <c r="M34" s="912" t="s">
        <v>1959</v>
      </c>
      <c r="N34" s="912" t="s">
        <v>1964</v>
      </c>
      <c r="O34" s="912" t="s">
        <v>1968</v>
      </c>
      <c r="P34" s="912" t="s">
        <v>1973</v>
      </c>
      <c r="Q34" s="912" t="s">
        <v>1665</v>
      </c>
      <c r="R34" s="912" t="s">
        <v>1977</v>
      </c>
      <c r="S34" s="914">
        <v>38773</v>
      </c>
      <c r="T34" s="912"/>
      <c r="U34" s="912" t="s">
        <v>1983</v>
      </c>
      <c r="V34" s="914">
        <v>41261</v>
      </c>
      <c r="W34" s="912" t="s">
        <v>1987</v>
      </c>
      <c r="X34" s="125"/>
    </row>
    <row r="35" spans="1:24" s="11" customFormat="1" ht="9.6" customHeight="1">
      <c r="A35" s="451"/>
      <c r="B35" s="917">
        <f>(B34/69.03)*10</f>
        <v>79646.530493988117</v>
      </c>
      <c r="C35" s="917">
        <f>(C34/69.03)*10</f>
        <v>84756.627553237719</v>
      </c>
      <c r="D35" s="917">
        <f>(D34/69.03)*10</f>
        <v>577.86469650876427</v>
      </c>
      <c r="E35" s="917">
        <f>(E34/69.03)*10</f>
        <v>85334.492249746487</v>
      </c>
      <c r="F35" s="917">
        <f>(F34/69.03)*10</f>
        <v>63121.975952484427</v>
      </c>
      <c r="G35" s="917"/>
      <c r="H35" s="917">
        <f>(H34/69.03)*10</f>
        <v>16524.554541503694</v>
      </c>
      <c r="I35" s="917">
        <f>(I34/69.03)*10</f>
        <v>22212.51629726206</v>
      </c>
      <c r="J35" s="917"/>
      <c r="K35" s="917">
        <f>(K34/69.03)*10</f>
        <v>20850.210053599883</v>
      </c>
      <c r="L35" s="913"/>
      <c r="M35" s="913"/>
      <c r="N35" s="913"/>
      <c r="O35" s="913"/>
      <c r="P35" s="913"/>
      <c r="Q35" s="913"/>
      <c r="R35" s="913"/>
      <c r="S35" s="917">
        <f>S34/69.03</f>
        <v>561.68332609010577</v>
      </c>
      <c r="T35" s="913"/>
      <c r="U35" s="913"/>
      <c r="V35" s="917">
        <f>V34/69.03</f>
        <v>597.7256265391859</v>
      </c>
      <c r="W35" s="913"/>
      <c r="X35" s="125"/>
    </row>
    <row r="36" spans="1:24" s="11" customFormat="1" ht="9.6" customHeight="1">
      <c r="A36" s="252" t="s">
        <v>574</v>
      </c>
      <c r="B36" s="718">
        <v>628682</v>
      </c>
      <c r="C36" s="914">
        <v>677072</v>
      </c>
      <c r="D36" s="914">
        <v>5671</v>
      </c>
      <c r="E36" s="914">
        <v>682743</v>
      </c>
      <c r="F36" s="914">
        <v>508042</v>
      </c>
      <c r="G36" s="518">
        <f>(F36/B36)*100</f>
        <v>80.810648308683881</v>
      </c>
      <c r="H36" s="914">
        <v>120640</v>
      </c>
      <c r="I36" s="914">
        <v>174701</v>
      </c>
      <c r="J36" s="518">
        <f>(I36/B36)*100</f>
        <v>27.788452667644375</v>
      </c>
      <c r="K36" s="914">
        <v>164729</v>
      </c>
      <c r="L36" s="518">
        <f>(K36/B36)*100</f>
        <v>26.202277144884057</v>
      </c>
      <c r="M36" s="912" t="s">
        <v>1960</v>
      </c>
      <c r="N36" s="912" t="s">
        <v>1965</v>
      </c>
      <c r="O36" s="912" t="s">
        <v>1969</v>
      </c>
      <c r="P36" s="912" t="s">
        <v>1787</v>
      </c>
      <c r="Q36" s="912" t="s">
        <v>1665</v>
      </c>
      <c r="R36" s="912" t="s">
        <v>1978</v>
      </c>
      <c r="S36" s="914">
        <v>43719</v>
      </c>
      <c r="T36" s="912"/>
      <c r="U36" s="912" t="s">
        <v>1988</v>
      </c>
      <c r="V36" s="914">
        <v>47084</v>
      </c>
      <c r="W36" s="912" t="s">
        <v>1984</v>
      </c>
      <c r="X36" s="125"/>
    </row>
    <row r="37" spans="1:24" s="11" customFormat="1" ht="9.6" customHeight="1">
      <c r="A37" s="451"/>
      <c r="B37" s="917">
        <f>(B36/68.6)*10</f>
        <v>91644.606413994174</v>
      </c>
      <c r="C37" s="917">
        <f>(C36/68.6)*10</f>
        <v>98698.542274052481</v>
      </c>
      <c r="D37" s="917">
        <f>(D36/68.6)*10</f>
        <v>826.67638483965015</v>
      </c>
      <c r="E37" s="917">
        <f>(E36/68.6)*10</f>
        <v>99525.218658892132</v>
      </c>
      <c r="F37" s="917">
        <f>(F36/68.6)*10</f>
        <v>74058.600583090389</v>
      </c>
      <c r="G37" s="917"/>
      <c r="H37" s="917">
        <f>(H36/68.6)*10</f>
        <v>17586.005830903792</v>
      </c>
      <c r="I37" s="917">
        <f>(I36/68.6)*10</f>
        <v>25466.618075801751</v>
      </c>
      <c r="J37" s="917"/>
      <c r="K37" s="917">
        <f>(K36/68.6)*10</f>
        <v>24012.973760932946</v>
      </c>
      <c r="L37" s="913"/>
      <c r="M37" s="913"/>
      <c r="N37" s="913"/>
      <c r="O37" s="913"/>
      <c r="P37" s="913"/>
      <c r="Q37" s="913"/>
      <c r="R37" s="913"/>
      <c r="S37" s="917">
        <f>S36/68.6</f>
        <v>637.30320699708454</v>
      </c>
      <c r="T37" s="913"/>
      <c r="U37" s="913"/>
      <c r="V37" s="917">
        <f>V36/68.6</f>
        <v>686.3556851311954</v>
      </c>
      <c r="W37" s="913"/>
      <c r="X37" s="125"/>
    </row>
    <row r="38" spans="1:24" s="11" customFormat="1" ht="9.6" customHeight="1">
      <c r="A38" s="252" t="s">
        <v>114</v>
      </c>
      <c r="B38" s="718">
        <v>705072</v>
      </c>
      <c r="C38" s="914">
        <v>760973</v>
      </c>
      <c r="D38" s="914">
        <v>2407</v>
      </c>
      <c r="E38" s="914">
        <v>763380</v>
      </c>
      <c r="F38" s="914">
        <v>561714</v>
      </c>
      <c r="G38" s="518">
        <f>(F38/B38)*100</f>
        <v>79.667608414459806</v>
      </c>
      <c r="H38" s="914">
        <v>143358</v>
      </c>
      <c r="I38" s="914">
        <v>201662</v>
      </c>
      <c r="J38" s="518">
        <f>(I38/B38)*100</f>
        <v>28.601617990786753</v>
      </c>
      <c r="K38" s="914">
        <v>184772</v>
      </c>
      <c r="L38" s="518">
        <f>(K38/B38)*100</f>
        <v>26.206117956747683</v>
      </c>
      <c r="M38" s="912" t="s">
        <v>1961</v>
      </c>
      <c r="N38" s="912" t="s">
        <v>1966</v>
      </c>
      <c r="O38" s="912" t="s">
        <v>1970</v>
      </c>
      <c r="P38" s="912" t="s">
        <v>1974</v>
      </c>
      <c r="Q38" s="912" t="s">
        <v>1665</v>
      </c>
      <c r="R38" s="912" t="s">
        <v>1979</v>
      </c>
      <c r="S38" s="914">
        <v>48359</v>
      </c>
      <c r="T38" s="912"/>
      <c r="U38" s="912" t="s">
        <v>1989</v>
      </c>
      <c r="V38" s="914">
        <v>52193</v>
      </c>
      <c r="W38" s="912" t="s">
        <v>1985</v>
      </c>
      <c r="X38" s="125"/>
    </row>
    <row r="39" spans="1:24" s="11" customFormat="1" ht="9.6" customHeight="1">
      <c r="A39" s="451"/>
      <c r="B39" s="917">
        <f>(B38/68.8)*10</f>
        <v>102481.39534883722</v>
      </c>
      <c r="C39" s="917">
        <f>(C38/68.8)*10</f>
        <v>110606.54069767443</v>
      </c>
      <c r="D39" s="917">
        <f>(D38/68.8)*10</f>
        <v>349.85465116279073</v>
      </c>
      <c r="E39" s="917">
        <f>(E38/68.8)*10</f>
        <v>110956.39534883722</v>
      </c>
      <c r="F39" s="917">
        <f>(F38/68.8)*10</f>
        <v>81644.476744186046</v>
      </c>
      <c r="G39" s="917"/>
      <c r="H39" s="917">
        <f>(H38/68.8)*10</f>
        <v>20836.918604651164</v>
      </c>
      <c r="I39" s="917">
        <f>(I38/68.8)*10</f>
        <v>29311.337209302328</v>
      </c>
      <c r="J39" s="917"/>
      <c r="K39" s="917">
        <f>(K38/68.8)*10</f>
        <v>26856.39534883721</v>
      </c>
      <c r="L39" s="913"/>
      <c r="M39" s="913"/>
      <c r="N39" s="913"/>
      <c r="O39" s="913"/>
      <c r="P39" s="913"/>
      <c r="Q39" s="913"/>
      <c r="R39" s="913"/>
      <c r="S39" s="917">
        <f>S38/68.8</f>
        <v>702.89244186046517</v>
      </c>
      <c r="T39" s="913"/>
      <c r="U39" s="913"/>
      <c r="V39" s="917">
        <f>V38/68.8</f>
        <v>758.61918604651169</v>
      </c>
      <c r="W39" s="913"/>
      <c r="X39" s="125"/>
    </row>
    <row r="40" spans="1:24" s="11" customFormat="1" ht="9.6" customHeight="1">
      <c r="A40" s="252" t="s">
        <v>110</v>
      </c>
      <c r="B40" s="718">
        <v>797539</v>
      </c>
      <c r="C40" s="914">
        <v>862142</v>
      </c>
      <c r="D40" s="914">
        <v>4248</v>
      </c>
      <c r="E40" s="914">
        <v>866390</v>
      </c>
      <c r="F40" s="914">
        <v>631571</v>
      </c>
      <c r="G40" s="518">
        <f>(F40/B40)*100</f>
        <v>79.189983185775233</v>
      </c>
      <c r="H40" s="914">
        <v>165968</v>
      </c>
      <c r="I40" s="914">
        <v>234819</v>
      </c>
      <c r="J40" s="518">
        <f>(I40/B40)*100</f>
        <v>29.442948871465845</v>
      </c>
      <c r="K40" s="914">
        <v>209327</v>
      </c>
      <c r="L40" s="518">
        <f>(K40/B40)*100</f>
        <v>26.246616152940483</v>
      </c>
      <c r="M40" s="912" t="s">
        <v>1962</v>
      </c>
      <c r="N40" s="912" t="s">
        <v>1967</v>
      </c>
      <c r="O40" s="912" t="s">
        <v>1971</v>
      </c>
      <c r="P40" s="912" t="s">
        <v>1975</v>
      </c>
      <c r="Q40" s="912" t="s">
        <v>1665</v>
      </c>
      <c r="R40" s="912" t="s">
        <v>1980</v>
      </c>
      <c r="S40" s="914">
        <v>53961</v>
      </c>
      <c r="T40" s="912"/>
      <c r="U40" s="912" t="s">
        <v>1990</v>
      </c>
      <c r="V40" s="914">
        <v>58332</v>
      </c>
      <c r="W40" s="912" t="s">
        <v>1986</v>
      </c>
      <c r="X40" s="125"/>
    </row>
    <row r="41" spans="1:24" s="11" customFormat="1" ht="9.6" customHeight="1">
      <c r="A41" s="451"/>
      <c r="B41" s="917">
        <f>(B40/69.18)*10</f>
        <v>115284.61983232148</v>
      </c>
      <c r="C41" s="917">
        <f>(C40/69.18)*10</f>
        <v>124623.01243133852</v>
      </c>
      <c r="D41" s="917">
        <f>(D40/69.18)*10</f>
        <v>614.0503035559409</v>
      </c>
      <c r="E41" s="917">
        <f>(E40/69.18)*10</f>
        <v>125237.06273489445</v>
      </c>
      <c r="F41" s="917">
        <f>(F40/69.18)*10</f>
        <v>91293.871061000274</v>
      </c>
      <c r="G41" s="917"/>
      <c r="H41" s="917">
        <f>(H40/69.18)*10</f>
        <v>23990.748771321189</v>
      </c>
      <c r="I41" s="917">
        <f>(I40/69.18)*10</f>
        <v>33943.191673894187</v>
      </c>
      <c r="J41" s="917"/>
      <c r="K41" s="917">
        <f>(K40/69.18)*10</f>
        <v>30258.311650766114</v>
      </c>
      <c r="L41" s="913"/>
      <c r="M41" s="913"/>
      <c r="N41" s="913"/>
      <c r="O41" s="913"/>
      <c r="P41" s="913"/>
      <c r="Q41" s="913"/>
      <c r="R41" s="913"/>
      <c r="S41" s="917">
        <f>S40/69.18</f>
        <v>780.0086730268863</v>
      </c>
      <c r="T41" s="913"/>
      <c r="U41" s="913"/>
      <c r="V41" s="917">
        <f>V40/69.18</f>
        <v>843.19167389418897</v>
      </c>
      <c r="W41" s="913"/>
      <c r="X41" s="125"/>
    </row>
    <row r="42" spans="1:24" s="11" customFormat="1" ht="9.6" customHeight="1">
      <c r="A42" s="11" t="s">
        <v>253</v>
      </c>
      <c r="B42" s="914">
        <v>915829</v>
      </c>
      <c r="C42" s="914">
        <v>988342</v>
      </c>
      <c r="D42" s="914">
        <v>3102</v>
      </c>
      <c r="E42" s="914">
        <v>991444</v>
      </c>
      <c r="F42" s="914">
        <v>726966</v>
      </c>
      <c r="G42" s="518">
        <f>(F42/B42)*100</f>
        <v>79.377918803619451</v>
      </c>
      <c r="H42" s="914">
        <v>188863</v>
      </c>
      <c r="I42" s="914">
        <v>264478</v>
      </c>
      <c r="J42" s="518">
        <f>(I42/B42)*100</f>
        <v>28.878535185061839</v>
      </c>
      <c r="K42" s="914">
        <v>251129</v>
      </c>
      <c r="L42" s="518">
        <f>(K42/B42)*100</f>
        <v>27.420948670548761</v>
      </c>
      <c r="M42" s="912" t="s">
        <v>1780</v>
      </c>
      <c r="N42" s="912" t="s">
        <v>1811</v>
      </c>
      <c r="O42" s="912" t="s">
        <v>1781</v>
      </c>
      <c r="P42" s="912" t="s">
        <v>1782</v>
      </c>
      <c r="Q42" s="921">
        <f>(B42/M42)*100</f>
        <v>141.694180480303</v>
      </c>
      <c r="R42" s="912" t="s">
        <v>1350</v>
      </c>
      <c r="S42" s="914">
        <v>61198</v>
      </c>
      <c r="T42" s="912"/>
      <c r="U42" s="921">
        <v>43190</v>
      </c>
      <c r="V42" s="914">
        <v>66044</v>
      </c>
      <c r="W42" s="912" t="s">
        <v>1814</v>
      </c>
      <c r="X42" s="125"/>
    </row>
    <row r="43" spans="1:24" s="11" customFormat="1" ht="9.6" customHeight="1">
      <c r="A43" s="451"/>
      <c r="B43" s="917">
        <f>(B42/71.17)*10</f>
        <v>128681.88843613882</v>
      </c>
      <c r="C43" s="917">
        <f>(C42/71.17)*10</f>
        <v>138870.59154137981</v>
      </c>
      <c r="D43" s="917">
        <f>(D42/71.17)*10</f>
        <v>435.85780525502315</v>
      </c>
      <c r="E43" s="917">
        <f>(E42/71.17)*10</f>
        <v>139306.44934663482</v>
      </c>
      <c r="F43" s="917">
        <f>(F42/71.17)*10</f>
        <v>102145.00491780243</v>
      </c>
      <c r="G43" s="917"/>
      <c r="H43" s="917">
        <f>(H42/71.17)*10</f>
        <v>26536.883518336377</v>
      </c>
      <c r="I43" s="917">
        <f>(I42/71.17)*10</f>
        <v>37161.444428832372</v>
      </c>
      <c r="J43" s="917"/>
      <c r="K43" s="917">
        <f>(K42/71.17)*10</f>
        <v>35285.794576366447</v>
      </c>
      <c r="L43" s="913"/>
      <c r="M43" s="913"/>
      <c r="N43" s="913"/>
      <c r="O43" s="913"/>
      <c r="P43" s="913"/>
      <c r="Q43" s="913"/>
      <c r="R43" s="913"/>
      <c r="S43" s="917">
        <f>S42/71.17</f>
        <v>859.88478291414924</v>
      </c>
      <c r="T43" s="913"/>
      <c r="U43" s="913"/>
      <c r="V43" s="917">
        <f>V42/71.17</f>
        <v>927.97527047913445</v>
      </c>
      <c r="W43" s="913"/>
      <c r="X43" s="125"/>
    </row>
    <row r="44" spans="1:24" s="11" customFormat="1" ht="9.6" customHeight="1">
      <c r="A44" s="11" t="s">
        <v>1169</v>
      </c>
      <c r="B44" s="907">
        <v>1055204</v>
      </c>
      <c r="C44" s="914">
        <v>1144506</v>
      </c>
      <c r="D44" s="914">
        <v>1791</v>
      </c>
      <c r="E44" s="914">
        <v>1146297</v>
      </c>
      <c r="F44" s="914">
        <v>831250</v>
      </c>
      <c r="G44" s="518">
        <f>(F44/B44)*100</f>
        <v>78.776236632916479</v>
      </c>
      <c r="H44" s="914">
        <v>223954</v>
      </c>
      <c r="I44" s="914">
        <v>315047</v>
      </c>
      <c r="J44" s="518">
        <f>(I44/B44)*100</f>
        <v>29.856501681191506</v>
      </c>
      <c r="K44" s="914">
        <v>298225</v>
      </c>
      <c r="L44" s="518">
        <f>(K44/B44)*100</f>
        <v>28.262307572753702</v>
      </c>
      <c r="M44" s="912" t="s">
        <v>1783</v>
      </c>
      <c r="N44" s="912" t="s">
        <v>1810</v>
      </c>
      <c r="O44" s="912" t="s">
        <v>1784</v>
      </c>
      <c r="P44" s="912" t="s">
        <v>1785</v>
      </c>
      <c r="Q44" s="921">
        <f>(B44/M44)*100</f>
        <v>153.26285089318264</v>
      </c>
      <c r="R44" s="912" t="s">
        <v>1351</v>
      </c>
      <c r="S44" s="914">
        <v>69614</v>
      </c>
      <c r="T44" s="912"/>
      <c r="U44" s="921">
        <v>45421</v>
      </c>
      <c r="V44" s="914">
        <v>75505</v>
      </c>
      <c r="W44" s="912" t="s">
        <v>1813</v>
      </c>
      <c r="X44" s="125"/>
    </row>
    <row r="45" spans="1:24" s="11" customFormat="1" ht="9.6" customHeight="1">
      <c r="A45" s="451"/>
      <c r="B45" s="917">
        <f>(B44/79.1)*10</f>
        <v>133401.26422250317</v>
      </c>
      <c r="C45" s="917">
        <f>(C44/79.1)*10</f>
        <v>144691.02402022757</v>
      </c>
      <c r="D45" s="917">
        <f>(D44/79.1)*10</f>
        <v>226.42225031605562</v>
      </c>
      <c r="E45" s="917">
        <f>(E44/79.1)*10</f>
        <v>144917.44627054362</v>
      </c>
      <c r="F45" s="917">
        <f>(F44/79.1)*10</f>
        <v>105088.49557522124</v>
      </c>
      <c r="G45" s="917"/>
      <c r="H45" s="917">
        <f>(H44/79.1)*10</f>
        <v>28312.768647281922</v>
      </c>
      <c r="I45" s="917">
        <f>(I44/79.1)*10</f>
        <v>39828.950695322375</v>
      </c>
      <c r="J45" s="917"/>
      <c r="K45" s="917">
        <f>(K44/79.1)*10</f>
        <v>37702.275600505687</v>
      </c>
      <c r="L45" s="913"/>
      <c r="M45" s="913"/>
      <c r="N45" s="913"/>
      <c r="O45" s="913"/>
      <c r="P45" s="913"/>
      <c r="Q45" s="913"/>
      <c r="R45" s="913"/>
      <c r="S45" s="917">
        <f>S44/79.1</f>
        <v>880.07585335018973</v>
      </c>
      <c r="T45" s="913"/>
      <c r="U45" s="913"/>
      <c r="V45" s="917">
        <f>V44/79.1</f>
        <v>954.55120101137811</v>
      </c>
      <c r="W45" s="913"/>
      <c r="X45" s="125"/>
    </row>
    <row r="46" spans="1:24" s="11" customFormat="1" ht="9.6" customHeight="1">
      <c r="A46" s="11" t="s">
        <v>1361</v>
      </c>
      <c r="B46" s="718">
        <v>1198923</v>
      </c>
      <c r="C46" s="914">
        <v>1295352</v>
      </c>
      <c r="D46" s="914">
        <v>5375</v>
      </c>
      <c r="E46" s="914">
        <v>1300727</v>
      </c>
      <c r="F46" s="914">
        <v>934727</v>
      </c>
      <c r="G46" s="518">
        <f>(F46/B46)*100</f>
        <v>77.963889257275071</v>
      </c>
      <c r="H46" s="914">
        <v>264196</v>
      </c>
      <c r="I46" s="914">
        <v>365999.9</v>
      </c>
      <c r="J46" s="518">
        <f>(I46/B46)*100</f>
        <v>30.527389999190941</v>
      </c>
      <c r="K46" s="914">
        <v>340370</v>
      </c>
      <c r="L46" s="518">
        <f>(K46/B46)*100</f>
        <v>28.38964637428759</v>
      </c>
      <c r="M46" s="912" t="s">
        <v>1786</v>
      </c>
      <c r="N46" s="912" t="s">
        <v>1809</v>
      </c>
      <c r="O46" s="912" t="s">
        <v>1788</v>
      </c>
      <c r="P46" s="912" t="s">
        <v>1787</v>
      </c>
      <c r="Q46" s="921">
        <f>(B46/M46)*100</f>
        <v>164.25920369586393</v>
      </c>
      <c r="R46" s="912" t="s">
        <v>1789</v>
      </c>
      <c r="S46" s="914">
        <v>78009</v>
      </c>
      <c r="T46" s="912"/>
      <c r="U46" s="921">
        <v>47491</v>
      </c>
      <c r="V46" s="914">
        <v>84283</v>
      </c>
      <c r="W46" s="912" t="s">
        <v>1812</v>
      </c>
      <c r="X46" s="125"/>
    </row>
    <row r="47" spans="1:24" s="11" customFormat="1" ht="9.6" customHeight="1">
      <c r="A47" s="451"/>
      <c r="B47" s="917">
        <f>(B46/79.93)*10</f>
        <v>149996.62204428873</v>
      </c>
      <c r="C47" s="917">
        <f>(C46/79.93)*10</f>
        <v>162060.80320280243</v>
      </c>
      <c r="D47" s="917">
        <f>(D46/79.93)*10</f>
        <v>672.46340547979469</v>
      </c>
      <c r="E47" s="917">
        <f>(E46/79.93)*10</f>
        <v>162733.26660828223</v>
      </c>
      <c r="F47" s="917">
        <f>(F46/79.93)*10</f>
        <v>116943.20030026272</v>
      </c>
      <c r="G47" s="917"/>
      <c r="H47" s="917">
        <f>(H46/79.93)*10</f>
        <v>33053.421744026018</v>
      </c>
      <c r="I47" s="917">
        <f>(I46/79.93)*10</f>
        <v>45790.05379707244</v>
      </c>
      <c r="J47" s="917"/>
      <c r="K47" s="917">
        <f>(K46/79.93)*10</f>
        <v>42583.510571750274</v>
      </c>
      <c r="L47" s="913"/>
      <c r="M47" s="913"/>
      <c r="N47" s="913"/>
      <c r="O47" s="913"/>
      <c r="P47" s="913"/>
      <c r="Q47" s="913"/>
      <c r="R47" s="913"/>
      <c r="S47" s="917">
        <f>S46/79.93</f>
        <v>975.96647066182902</v>
      </c>
      <c r="T47" s="913"/>
      <c r="U47" s="913"/>
      <c r="V47" s="917">
        <f>V46/79.93</f>
        <v>1054.4601526335543</v>
      </c>
      <c r="W47" s="913"/>
      <c r="X47" s="125"/>
    </row>
    <row r="48" spans="1:24" s="11" customFormat="1" ht="9.9499999999999993" customHeight="1">
      <c r="A48" s="541" t="s">
        <v>1693</v>
      </c>
      <c r="B48" s="718">
        <v>1343674</v>
      </c>
      <c r="C48" s="914">
        <v>1433224</v>
      </c>
      <c r="D48" s="914">
        <v>6334</v>
      </c>
      <c r="E48" s="914">
        <v>1439558</v>
      </c>
      <c r="F48" s="914">
        <v>1046856</v>
      </c>
      <c r="G48" s="518">
        <f>(F48/B48)*100</f>
        <v>77.909969233608749</v>
      </c>
      <c r="H48" s="914">
        <v>296817</v>
      </c>
      <c r="I48" s="914">
        <v>392701</v>
      </c>
      <c r="J48" s="518">
        <f>(I48/B48)*100</f>
        <v>29.225913428405999</v>
      </c>
      <c r="K48" s="914">
        <v>383994</v>
      </c>
      <c r="L48" s="518">
        <f>(K48/B48)*100</f>
        <v>28.577913988065557</v>
      </c>
      <c r="M48" s="912" t="s">
        <v>1952</v>
      </c>
      <c r="N48" s="912">
        <v>825728</v>
      </c>
      <c r="O48" s="912" t="s">
        <v>1953</v>
      </c>
      <c r="P48" s="912" t="s">
        <v>1954</v>
      </c>
      <c r="Q48" s="921">
        <f>(B48/M48)*100</f>
        <v>173.57079376233634</v>
      </c>
      <c r="R48" s="912" t="s">
        <v>1790</v>
      </c>
      <c r="S48" s="914">
        <v>86266</v>
      </c>
      <c r="T48" s="912"/>
      <c r="U48" s="921">
        <v>49701</v>
      </c>
      <c r="V48" s="914">
        <v>92015</v>
      </c>
      <c r="W48" s="912" t="s">
        <v>2064</v>
      </c>
      <c r="X48" s="125"/>
    </row>
    <row r="49" spans="1:24" s="11" customFormat="1" ht="9.75" customHeight="1">
      <c r="A49" s="451"/>
      <c r="B49" s="917">
        <f>(B48/77.72)*10</f>
        <v>172886.51569737517</v>
      </c>
      <c r="C49" s="917">
        <f>(C48/77.72)*10</f>
        <v>184408.64642305713</v>
      </c>
      <c r="D49" s="917">
        <f>(D48/77.72)*10</f>
        <v>814.97683993823989</v>
      </c>
      <c r="E49" s="917">
        <f>(E48/77.72)*10</f>
        <v>185223.62326299539</v>
      </c>
      <c r="F49" s="917">
        <f>(F48/77.72)*10</f>
        <v>134695.83118888317</v>
      </c>
      <c r="G49" s="917"/>
      <c r="H49" s="917">
        <f>(H48/77.72)*10</f>
        <v>38190.555841482244</v>
      </c>
      <c r="I49" s="917">
        <f>(I48/77.72)*10</f>
        <v>50527.663407102416</v>
      </c>
      <c r="J49" s="917"/>
      <c r="K49" s="917">
        <f>(K48/77.72)*10</f>
        <v>49407.359752959346</v>
      </c>
      <c r="L49" s="913"/>
      <c r="M49" s="913"/>
      <c r="N49" s="913"/>
      <c r="O49" s="913"/>
      <c r="P49" s="913"/>
      <c r="Q49" s="913"/>
      <c r="R49" s="913"/>
      <c r="S49" s="917">
        <f>S48/77.72</f>
        <v>1109.9588265568709</v>
      </c>
      <c r="T49" s="913"/>
      <c r="U49" s="913"/>
      <c r="V49" s="917">
        <f>V48/77.72</f>
        <v>1183.9294904786414</v>
      </c>
      <c r="W49" s="913"/>
      <c r="X49" s="125"/>
    </row>
    <row r="50" spans="1:24" s="11" customFormat="1" ht="10.5" customHeight="1">
      <c r="A50" s="541" t="s">
        <v>1795</v>
      </c>
      <c r="B50" s="718">
        <v>1515802</v>
      </c>
      <c r="C50" s="914">
        <v>1614204</v>
      </c>
      <c r="D50" s="914">
        <v>5600</v>
      </c>
      <c r="E50" s="914">
        <v>1619804</v>
      </c>
      <c r="F50" s="914">
        <v>1179924</v>
      </c>
      <c r="G50" s="518">
        <f>(F50/B50)*100</f>
        <v>77.84156505928874</v>
      </c>
      <c r="H50" s="914">
        <v>335879</v>
      </c>
      <c r="I50" s="914">
        <v>439881</v>
      </c>
      <c r="J50" s="518">
        <f>(I50/B50)*100</f>
        <v>29.01968726786216</v>
      </c>
      <c r="K50" s="914">
        <v>437865</v>
      </c>
      <c r="L50" s="518">
        <f>(K50/B50)*100</f>
        <v>28.886688366950303</v>
      </c>
      <c r="M50" s="912" t="s">
        <v>2060</v>
      </c>
      <c r="N50" s="912" t="s">
        <v>2061</v>
      </c>
      <c r="O50" s="912" t="s">
        <v>2062</v>
      </c>
      <c r="P50" s="912" t="s">
        <v>2063</v>
      </c>
      <c r="Q50" s="921">
        <f>(B50/M50)*100</f>
        <v>183.76431451564019</v>
      </c>
      <c r="R50" s="912" t="s">
        <v>1955</v>
      </c>
      <c r="S50" s="914">
        <v>96004</v>
      </c>
      <c r="T50" s="912"/>
      <c r="U50" s="914">
        <v>52240</v>
      </c>
      <c r="V50" s="914">
        <v>102236</v>
      </c>
      <c r="W50" s="912" t="s">
        <v>2147</v>
      </c>
      <c r="X50" s="125"/>
    </row>
    <row r="51" spans="1:24" s="11" customFormat="1" ht="9.75" customHeight="1">
      <c r="A51" s="451"/>
      <c r="B51" s="917">
        <f>(B50/77.67)*10</f>
        <v>195159.26355092056</v>
      </c>
      <c r="C51" s="917">
        <f>(C50/77.67)*10</f>
        <v>207828.50521436849</v>
      </c>
      <c r="D51" s="917">
        <f>(D50/77.67)*10</f>
        <v>720.99909875112655</v>
      </c>
      <c r="E51" s="917">
        <f>(E50/77.67)*10</f>
        <v>208549.50431311963</v>
      </c>
      <c r="F51" s="917">
        <f>(F50/77.67)*10</f>
        <v>151915.02510621861</v>
      </c>
      <c r="G51" s="917"/>
      <c r="H51" s="917">
        <f>(H50/77.67)*10</f>
        <v>43244.36719454101</v>
      </c>
      <c r="I51" s="917">
        <f>(I50/77.67)*10</f>
        <v>56634.607956740059</v>
      </c>
      <c r="J51" s="917"/>
      <c r="K51" s="917">
        <f>(K50/77.67)*10</f>
        <v>56375.048281189651</v>
      </c>
      <c r="L51" s="913"/>
      <c r="M51" s="913"/>
      <c r="N51" s="913"/>
      <c r="O51" s="913"/>
      <c r="P51" s="913"/>
      <c r="Q51" s="913"/>
      <c r="R51" s="913"/>
      <c r="S51" s="917">
        <f>S50/77.67</f>
        <v>1236.0499549375563</v>
      </c>
      <c r="T51" s="913"/>
      <c r="U51" s="913"/>
      <c r="V51" s="917">
        <f>V50/77.67</f>
        <v>1316.2868546414318</v>
      </c>
      <c r="W51" s="913"/>
      <c r="X51" s="125"/>
    </row>
    <row r="52" spans="1:24" s="11" customFormat="1" ht="10.5" customHeight="1">
      <c r="A52" s="818" t="s">
        <v>1996</v>
      </c>
      <c r="B52" s="907">
        <v>1732864</v>
      </c>
      <c r="C52" s="907">
        <v>1832675</v>
      </c>
      <c r="D52" s="907">
        <v>583</v>
      </c>
      <c r="E52" s="907">
        <v>1833258</v>
      </c>
      <c r="F52" s="907">
        <v>1300034</v>
      </c>
      <c r="G52" s="518">
        <f>(F52/B52)*100</f>
        <v>75.022275262224852</v>
      </c>
      <c r="H52" s="907">
        <v>432830</v>
      </c>
      <c r="I52" s="907">
        <v>533224</v>
      </c>
      <c r="J52" s="518">
        <f>(I52/B52)*100</f>
        <v>30.771254985965431</v>
      </c>
      <c r="K52" s="907">
        <v>513839</v>
      </c>
      <c r="L52" s="518">
        <f>(K52/B52)*100</f>
        <v>29.652586700398874</v>
      </c>
      <c r="M52" s="907">
        <v>883539</v>
      </c>
      <c r="N52" s="907">
        <v>934430</v>
      </c>
      <c r="O52" s="394">
        <v>14.32</v>
      </c>
      <c r="P52" s="907">
        <v>7.11</v>
      </c>
      <c r="Q52" s="921">
        <f>(B52/M52)*100</f>
        <v>196.12761858842677</v>
      </c>
      <c r="R52" s="907">
        <v>15.99</v>
      </c>
      <c r="S52" s="907">
        <v>108378</v>
      </c>
      <c r="T52" s="907"/>
      <c r="U52" s="914">
        <v>55259</v>
      </c>
      <c r="V52" s="907">
        <v>114621</v>
      </c>
      <c r="W52" s="907">
        <v>58442</v>
      </c>
      <c r="X52" s="125"/>
    </row>
    <row r="53" spans="1:24" s="11" customFormat="1" ht="11.25" customHeight="1">
      <c r="A53" s="451"/>
      <c r="B53" s="917">
        <f>(B52/78.2658)*10</f>
        <v>221407.56243467773</v>
      </c>
      <c r="C53" s="917">
        <f>(C52/78.2658)*10</f>
        <v>234160.38678452146</v>
      </c>
      <c r="D53" s="917">
        <f>(D52/78.2658)*10</f>
        <v>74.489751590094272</v>
      </c>
      <c r="E53" s="917">
        <f>(E52/78.2658)*10</f>
        <v>234234.87653611155</v>
      </c>
      <c r="F53" s="917">
        <f>(F52/78.2658)*10</f>
        <v>166104.99094112628</v>
      </c>
      <c r="G53" s="917"/>
      <c r="H53" s="917">
        <f>(H52/78.2658)*10</f>
        <v>55302.571493551455</v>
      </c>
      <c r="I53" s="917">
        <f>(I52/78.2658)*10</f>
        <v>68129.885594985302</v>
      </c>
      <c r="J53" s="917"/>
      <c r="K53" s="917">
        <f>(K52/78.2658)*10</f>
        <v>65653.06941218258</v>
      </c>
      <c r="L53" s="913"/>
      <c r="M53" s="913"/>
      <c r="N53" s="913"/>
      <c r="O53" s="913"/>
      <c r="P53" s="913"/>
      <c r="Q53" s="913"/>
      <c r="R53" s="913"/>
      <c r="S53" s="917">
        <f>(S52/78.2658)</f>
        <v>1384.742761206044</v>
      </c>
      <c r="T53" s="913"/>
      <c r="U53" s="913"/>
      <c r="V53" s="917">
        <f>(V52/78.2658)</f>
        <v>1464.5094025743044</v>
      </c>
      <c r="W53" s="913"/>
      <c r="X53" s="125"/>
    </row>
    <row r="54" spans="1:24" s="252" customFormat="1" ht="11.25" customHeight="1">
      <c r="A54" s="252" t="s">
        <v>2092</v>
      </c>
      <c r="B54" s="907">
        <v>1975817</v>
      </c>
      <c r="C54" s="907">
        <v>2060718</v>
      </c>
      <c r="D54" s="907">
        <v>353</v>
      </c>
      <c r="E54" s="907">
        <v>2061069</v>
      </c>
      <c r="F54" s="907">
        <v>1475356</v>
      </c>
      <c r="G54" s="518">
        <f>(F54/B54)*100</f>
        <v>74.670680533672908</v>
      </c>
      <c r="H54" s="907">
        <v>500460</v>
      </c>
      <c r="I54" s="907">
        <v>585714</v>
      </c>
      <c r="J54" s="518">
        <f>(I54/B54)*100</f>
        <v>29.644142144743164</v>
      </c>
      <c r="K54" s="907">
        <v>602830</v>
      </c>
      <c r="L54" s="518">
        <f>(K54/B54)*100</f>
        <v>30.510416703571231</v>
      </c>
      <c r="M54" s="907">
        <v>947899</v>
      </c>
      <c r="N54" s="907">
        <v>988630</v>
      </c>
      <c r="O54" s="907">
        <v>14.02</v>
      </c>
      <c r="P54" s="907">
        <v>7.28</v>
      </c>
      <c r="Q54" s="921">
        <f>(B54/M54)*100</f>
        <v>208.44172216660212</v>
      </c>
      <c r="R54" s="394">
        <v>16.175000000000001</v>
      </c>
      <c r="S54" s="907">
        <v>122152</v>
      </c>
      <c r="T54" s="907"/>
      <c r="U54" s="586">
        <f>M54/R54</f>
        <v>58602.720247295205</v>
      </c>
      <c r="V54" s="586">
        <f>C54/R54</f>
        <v>127401.42194744977</v>
      </c>
      <c r="W54" s="586">
        <f>N54/R54</f>
        <v>61120.865533230288</v>
      </c>
      <c r="X54" s="1176"/>
    </row>
    <row r="55" spans="1:24" s="11" customFormat="1" ht="11.25" customHeight="1">
      <c r="A55" s="451"/>
      <c r="B55" s="917">
        <f>(B54/79.119175)*10</f>
        <v>249726.69393986985</v>
      </c>
      <c r="C55" s="917">
        <f>(C54/79.119175)*10</f>
        <v>260457.46811692615</v>
      </c>
      <c r="D55" s="917">
        <f>(D54/79.119175)*10</f>
        <v>44.616238731002944</v>
      </c>
      <c r="E55" s="917">
        <f>(E54/79.119175)*10</f>
        <v>260501.83157243489</v>
      </c>
      <c r="F55" s="917">
        <f>(F54/79.119175)*10</f>
        <v>186472.62183914328</v>
      </c>
      <c r="G55" s="917"/>
      <c r="H55" s="917">
        <f>(H54/79.119175)*10</f>
        <v>63253.945709115396</v>
      </c>
      <c r="I55" s="917">
        <f>(I54/79.119175)*10</f>
        <v>74029.336124902722</v>
      </c>
      <c r="J55" s="917"/>
      <c r="K55" s="917">
        <f>(K54/79.119175)*10</f>
        <v>76192.654941106244</v>
      </c>
      <c r="L55" s="913"/>
      <c r="M55" s="913"/>
      <c r="N55" s="913"/>
      <c r="O55" s="913"/>
      <c r="P55" s="913"/>
      <c r="Q55" s="913"/>
      <c r="R55" s="913"/>
      <c r="S55" s="917">
        <f>(S54/79.119175)</f>
        <v>1543.8988083482923</v>
      </c>
      <c r="T55" s="913"/>
      <c r="U55" s="913"/>
      <c r="V55" s="917">
        <f>(V54/79.119175)</f>
        <v>1610.2470980953703</v>
      </c>
      <c r="W55" s="913"/>
      <c r="X55" s="125"/>
    </row>
    <row r="56" spans="1:24" s="252" customFormat="1" ht="11.25" customHeight="1">
      <c r="A56" s="252" t="s">
        <v>2320</v>
      </c>
      <c r="B56" s="907">
        <v>2250481</v>
      </c>
      <c r="C56" s="907">
        <v>2353109</v>
      </c>
      <c r="D56" s="907">
        <v>495</v>
      </c>
      <c r="E56" s="907">
        <v>2353603</v>
      </c>
      <c r="F56" s="907">
        <v>1736587</v>
      </c>
      <c r="G56" s="394">
        <f>(F56/B56)*100</f>
        <v>77.165148250529555</v>
      </c>
      <c r="H56" s="907">
        <v>513892</v>
      </c>
      <c r="I56" s="907">
        <v>617016</v>
      </c>
      <c r="J56" s="394">
        <f>(I56/B56)*100</f>
        <v>27.41707217257111</v>
      </c>
      <c r="K56" s="907">
        <v>702936</v>
      </c>
      <c r="L56" s="394">
        <f>(K56/B56)*100</f>
        <v>31.234922667643051</v>
      </c>
      <c r="M56" s="907">
        <v>1022438</v>
      </c>
      <c r="N56" s="907">
        <v>1069064</v>
      </c>
      <c r="O56" s="394">
        <v>13.9</v>
      </c>
      <c r="P56" s="907">
        <v>7.86</v>
      </c>
      <c r="Q56" s="1546">
        <f>(B56/M56)*100</f>
        <v>220.10928780033606</v>
      </c>
      <c r="R56" s="394">
        <v>16.364999999999998</v>
      </c>
      <c r="S56" s="907">
        <v>137518</v>
      </c>
      <c r="T56" s="907"/>
      <c r="U56" s="586">
        <f>M56/R56</f>
        <v>62477.115795905906</v>
      </c>
      <c r="V56" s="907">
        <f>ROUND((C56/R56),0)</f>
        <v>143789</v>
      </c>
      <c r="W56" s="586">
        <f>N56/R56</f>
        <v>65326.245035135966</v>
      </c>
      <c r="X56" s="1176"/>
    </row>
    <row r="57" spans="1:24" s="11" customFormat="1" ht="11.25" customHeight="1" thickBot="1">
      <c r="A57" s="519"/>
      <c r="B57" s="922">
        <f>(B56/82.100874)*10</f>
        <v>274111.69825061789</v>
      </c>
      <c r="C57" s="922">
        <f>(C56/82.100874)*10</f>
        <v>286611.93058675597</v>
      </c>
      <c r="D57" s="922">
        <f>(D56/82.100874)*10</f>
        <v>60.291684592785217</v>
      </c>
      <c r="E57" s="922">
        <f>(E56/82.100874)*10</f>
        <v>286672.10046996572</v>
      </c>
      <c r="F57" s="922">
        <f>(F56/82.100874)*10</f>
        <v>211518.69832713349</v>
      </c>
      <c r="G57" s="922"/>
      <c r="H57" s="922">
        <f>(H56/82.100874)*10</f>
        <v>62592.756320718334</v>
      </c>
      <c r="I57" s="922">
        <f>(I56/82.100874)*10</f>
        <v>75153.40214283223</v>
      </c>
      <c r="J57" s="922"/>
      <c r="K57" s="922">
        <f>(K56/82.100874)*10</f>
        <v>85618.576971543574</v>
      </c>
      <c r="L57" s="923"/>
      <c r="M57" s="923"/>
      <c r="N57" s="923"/>
      <c r="O57" s="923"/>
      <c r="P57" s="923"/>
      <c r="Q57" s="923"/>
      <c r="R57" s="923"/>
      <c r="S57" s="922">
        <f>(S56/82.100874)</f>
        <v>1674.9882589556842</v>
      </c>
      <c r="T57" s="923"/>
      <c r="U57" s="923"/>
      <c r="V57" s="922">
        <f>(V56/82.100874)</f>
        <v>1751.369906244847</v>
      </c>
      <c r="W57" s="923"/>
      <c r="X57" s="125"/>
    </row>
    <row r="58" spans="1:24" ht="10.5" customHeight="1">
      <c r="A58" s="2053" t="s">
        <v>2286</v>
      </c>
      <c r="B58" s="2053"/>
      <c r="C58" s="2053"/>
      <c r="D58" s="2053"/>
      <c r="E58" s="2053"/>
      <c r="F58" s="2053"/>
      <c r="G58" s="11"/>
      <c r="I58" s="69"/>
      <c r="J58" s="69"/>
      <c r="K58" s="69"/>
      <c r="L58" s="2054" t="s">
        <v>2182</v>
      </c>
      <c r="M58" s="2054"/>
      <c r="N58" s="2054"/>
      <c r="O58" s="2054"/>
      <c r="P58" s="1175"/>
      <c r="Q58" s="2021"/>
      <c r="R58" s="2021"/>
      <c r="S58" s="1175"/>
      <c r="T58" s="69"/>
      <c r="U58" s="44"/>
      <c r="V58" s="18"/>
      <c r="W58" s="69"/>
      <c r="X58" s="71"/>
    </row>
    <row r="59" spans="1:24" ht="9.75" customHeight="1">
      <c r="A59" s="2049" t="s">
        <v>2183</v>
      </c>
      <c r="B59" s="2049"/>
      <c r="C59" s="2049"/>
      <c r="D59" s="2049"/>
      <c r="E59" s="2049"/>
      <c r="F59" s="2049"/>
      <c r="G59" s="2049"/>
      <c r="H59" s="2049"/>
      <c r="I59" s="69"/>
      <c r="J59" s="69"/>
      <c r="K59" s="69"/>
      <c r="L59" s="2052"/>
      <c r="M59" s="2052"/>
      <c r="N59" s="2052"/>
      <c r="O59" s="69"/>
      <c r="P59" s="69"/>
      <c r="Q59" s="69"/>
      <c r="R59" s="69"/>
      <c r="S59" s="21"/>
      <c r="T59" s="69"/>
      <c r="U59" s="69"/>
      <c r="V59" s="69"/>
      <c r="W59" s="69"/>
      <c r="X59" s="71"/>
    </row>
    <row r="60" spans="1:24">
      <c r="N60" s="71"/>
    </row>
    <row r="61" spans="1:24">
      <c r="W61" s="1545"/>
    </row>
    <row r="62" spans="1:24">
      <c r="M62" s="71"/>
    </row>
    <row r="63" spans="1:24">
      <c r="M63" s="71"/>
      <c r="P63" s="71"/>
      <c r="Q63" s="71"/>
      <c r="R63" s="71"/>
    </row>
    <row r="64" spans="1:24">
      <c r="M64" s="71"/>
      <c r="N64" s="71"/>
    </row>
    <row r="65" spans="13:14">
      <c r="M65" s="71"/>
    </row>
    <row r="66" spans="13:14">
      <c r="M66" s="71"/>
      <c r="N66" s="71"/>
    </row>
    <row r="67" spans="13:14">
      <c r="M67" s="71"/>
    </row>
    <row r="68" spans="13:14">
      <c r="M68" s="71"/>
      <c r="N68" s="71"/>
    </row>
    <row r="69" spans="13:14">
      <c r="M69" s="71"/>
      <c r="N69" s="71"/>
    </row>
    <row r="70" spans="13:14">
      <c r="M70" s="71"/>
      <c r="N70" s="71"/>
    </row>
    <row r="71" spans="13:14">
      <c r="M71" s="71"/>
      <c r="N71" s="71"/>
    </row>
    <row r="72" spans="13:14">
      <c r="M72" s="71"/>
      <c r="N72" s="71"/>
    </row>
    <row r="73" spans="13:14">
      <c r="N73" s="71"/>
    </row>
    <row r="74" spans="13:14">
      <c r="N74" s="71"/>
    </row>
  </sheetData>
  <mergeCells count="47">
    <mergeCell ref="S14:T14"/>
    <mergeCell ref="S11:T11"/>
    <mergeCell ref="S8:T8"/>
    <mergeCell ref="S7:T7"/>
    <mergeCell ref="A3:A5"/>
    <mergeCell ref="S6:T6"/>
    <mergeCell ref="S9:T9"/>
    <mergeCell ref="S10:T10"/>
    <mergeCell ref="S13:T13"/>
    <mergeCell ref="S12:T12"/>
    <mergeCell ref="S3:W3"/>
    <mergeCell ref="S4:T4"/>
    <mergeCell ref="S5:T5"/>
    <mergeCell ref="Q3:Q4"/>
    <mergeCell ref="C3:C4"/>
    <mergeCell ref="D3:D4"/>
    <mergeCell ref="A59:H59"/>
    <mergeCell ref="S15:T15"/>
    <mergeCell ref="S16:T16"/>
    <mergeCell ref="S17:T17"/>
    <mergeCell ref="S18:T18"/>
    <mergeCell ref="S19:T19"/>
    <mergeCell ref="L59:N59"/>
    <mergeCell ref="A58:F58"/>
    <mergeCell ref="L58:O58"/>
    <mergeCell ref="Q58:R58"/>
    <mergeCell ref="H3:H4"/>
    <mergeCell ref="I3:I4"/>
    <mergeCell ref="E3:E4"/>
    <mergeCell ref="F3:F4"/>
    <mergeCell ref="G3:G4"/>
    <mergeCell ref="R3:R4"/>
    <mergeCell ref="U1:W1"/>
    <mergeCell ref="D2:E2"/>
    <mergeCell ref="J2:K2"/>
    <mergeCell ref="V2:W2"/>
    <mergeCell ref="B1:K1"/>
    <mergeCell ref="L1:O1"/>
    <mergeCell ref="L2:P2"/>
    <mergeCell ref="K3:K4"/>
    <mergeCell ref="L3:L4"/>
    <mergeCell ref="J3:J4"/>
    <mergeCell ref="P3:P4"/>
    <mergeCell ref="N3:N4"/>
    <mergeCell ref="O3:O4"/>
    <mergeCell ref="M3:M4"/>
    <mergeCell ref="B3:B4"/>
  </mergeCells>
  <phoneticPr fontId="46" type="noConversion"/>
  <pageMargins left="0.47244094488188998" right="0.47244094488188998" top="0.511811023622047" bottom="0" header="0" footer="0"/>
  <pageSetup paperSize="141" firstPageNumber="50" orientation="portrait" useFirstPageNumber="1" r:id="rId1"/>
  <headerFooter>
    <oddFooter>&amp;C&amp;"Times New Roman,Regular"&amp;8&amp;P</oddFooter>
  </headerFooter>
  <ignoredErrors>
    <ignoredError sqref="J6 N26 Q26 R24 B25:R25 B24:Q24 B27:R27 B26:M26 R26 O26:P26 B7:R23 B6:I6 K6:R6 G29 G28 U26 S6:V22 S27:V27 S26:T26 V26 W20:W27 W6 J28 L28 J29 L29:M29 S24:V25 T23:V23 N29:R29 T28 N28:S28 U28:W28 S29:W29 M28 R30 T32 T30 P30:P31 O30:O31 N30:N31 N33:Q33 Q32 Q30:Q31 U30:U31 W30:W31 M42 O42:P42 R42 M44 O44:P44 R44 M46 O46:P46 R46 R48 N42:N46 W42:W4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3"/>
  <dimension ref="A1:J107"/>
  <sheetViews>
    <sheetView zoomScale="170" zoomScaleNormal="17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G53" sqref="G53"/>
    </sheetView>
  </sheetViews>
  <sheetFormatPr defaultColWidth="9.140625" defaultRowHeight="12.75"/>
  <cols>
    <col min="1" max="1" width="10.7109375" style="2" customWidth="1"/>
    <col min="2" max="2" width="15.7109375" style="138" customWidth="1"/>
    <col min="3" max="3" width="16.85546875" style="138" customWidth="1"/>
    <col min="4" max="5" width="17.140625" style="138" customWidth="1"/>
    <col min="6" max="6" width="13.28515625" style="2" customWidth="1"/>
    <col min="7" max="7" width="15.7109375" style="2" customWidth="1"/>
    <col min="8" max="8" width="15.42578125" style="2" customWidth="1"/>
    <col min="9" max="9" width="16.85546875" style="2" customWidth="1"/>
    <col min="10" max="10" width="13.7109375" style="2" customWidth="1"/>
    <col min="11" max="16384" width="9.140625" style="2"/>
  </cols>
  <sheetData>
    <row r="1" spans="1:10" s="5" customFormat="1" ht="15.75" customHeight="1">
      <c r="A1" s="2061" t="s">
        <v>2235</v>
      </c>
      <c r="B1" s="2061"/>
      <c r="C1" s="2061"/>
      <c r="D1" s="2061"/>
      <c r="E1" s="2061"/>
      <c r="F1" s="2062" t="s">
        <v>2363</v>
      </c>
      <c r="G1" s="2062"/>
      <c r="H1" s="2062"/>
      <c r="I1" s="2062"/>
      <c r="J1" s="141" t="s">
        <v>474</v>
      </c>
    </row>
    <row r="2" spans="1:10" s="5" customFormat="1" ht="11.1" customHeight="1">
      <c r="A2" s="122"/>
      <c r="B2" s="122"/>
      <c r="C2" s="122"/>
      <c r="D2" s="122"/>
      <c r="G2" s="97"/>
      <c r="H2" s="124"/>
      <c r="I2" s="124"/>
      <c r="J2" s="140"/>
    </row>
    <row r="3" spans="1:10" s="153" customFormat="1" ht="26.45" customHeight="1">
      <c r="A3" s="80" t="s">
        <v>1523</v>
      </c>
      <c r="B3" s="1288" t="s">
        <v>2346</v>
      </c>
      <c r="C3" s="1280" t="s">
        <v>2403</v>
      </c>
      <c r="D3" s="1223" t="s">
        <v>2347</v>
      </c>
      <c r="E3" s="1223" t="s">
        <v>2349</v>
      </c>
      <c r="F3" s="80" t="s">
        <v>1524</v>
      </c>
      <c r="G3" s="80" t="s">
        <v>1701</v>
      </c>
      <c r="H3" s="80" t="s">
        <v>2348</v>
      </c>
      <c r="I3" s="80" t="s">
        <v>2347</v>
      </c>
      <c r="J3" s="1284" t="s">
        <v>2350</v>
      </c>
    </row>
    <row r="4" spans="1:10" s="254" customFormat="1" ht="13.5" customHeight="1">
      <c r="A4" s="213" t="s">
        <v>851</v>
      </c>
      <c r="B4" s="39">
        <v>2149.3200000000002</v>
      </c>
      <c r="C4" s="40">
        <v>16467.09</v>
      </c>
      <c r="D4" s="40">
        <v>8358.6</v>
      </c>
      <c r="E4" s="39">
        <v>273</v>
      </c>
      <c r="F4" s="765">
        <v>43405</v>
      </c>
      <c r="G4" s="514">
        <v>5258.48</v>
      </c>
      <c r="H4" s="321">
        <v>529.96</v>
      </c>
      <c r="I4" s="40">
        <v>68483</v>
      </c>
      <c r="J4" s="39">
        <v>349</v>
      </c>
    </row>
    <row r="5" spans="1:10" s="16" customFormat="1" ht="13.5" customHeight="1">
      <c r="A5" s="461" t="s">
        <v>574</v>
      </c>
      <c r="B5" s="445">
        <v>3000.5</v>
      </c>
      <c r="C5" s="445">
        <v>54323.95</v>
      </c>
      <c r="D5" s="445">
        <v>10883.6</v>
      </c>
      <c r="E5" s="442">
        <v>286</v>
      </c>
      <c r="F5" s="764">
        <v>43408</v>
      </c>
      <c r="G5" s="1089">
        <v>5238.99</v>
      </c>
      <c r="H5" s="581">
        <v>539.32500000000005</v>
      </c>
      <c r="I5" s="581">
        <v>68483</v>
      </c>
      <c r="J5" s="442">
        <v>349</v>
      </c>
    </row>
    <row r="6" spans="1:10" s="254" customFormat="1" ht="13.5" customHeight="1">
      <c r="A6" s="213" t="s">
        <v>114</v>
      </c>
      <c r="B6" s="39">
        <v>3010.26</v>
      </c>
      <c r="C6" s="40">
        <v>89378.94</v>
      </c>
      <c r="D6" s="40">
        <v>14704</v>
      </c>
      <c r="E6" s="39">
        <v>300</v>
      </c>
      <c r="F6" s="765">
        <v>43409</v>
      </c>
      <c r="G6" s="514">
        <v>5224.9399999999996</v>
      </c>
      <c r="H6" s="321">
        <v>538.20500000000004</v>
      </c>
      <c r="I6" s="40">
        <v>68483</v>
      </c>
      <c r="J6" s="39">
        <v>349</v>
      </c>
    </row>
    <row r="7" spans="1:10" s="16" customFormat="1" ht="13.5" customHeight="1">
      <c r="A7" s="461" t="s">
        <v>110</v>
      </c>
      <c r="B7" s="442">
        <v>6153.68</v>
      </c>
      <c r="C7" s="445">
        <v>256353.55100000001</v>
      </c>
      <c r="D7" s="445">
        <v>21744.6</v>
      </c>
      <c r="E7" s="442">
        <v>273</v>
      </c>
      <c r="F7" s="764">
        <v>43410</v>
      </c>
      <c r="G7" s="1089">
        <v>5204.3599999999997</v>
      </c>
      <c r="H7" s="581">
        <v>440.03100000000001</v>
      </c>
      <c r="I7" s="581">
        <v>68483</v>
      </c>
      <c r="J7" s="442">
        <v>349</v>
      </c>
    </row>
    <row r="8" spans="1:10" s="288" customFormat="1" ht="13.5" customHeight="1">
      <c r="A8" s="213" t="s">
        <v>253</v>
      </c>
      <c r="B8" s="39">
        <v>6117.23</v>
      </c>
      <c r="C8" s="40">
        <v>325879.77</v>
      </c>
      <c r="D8" s="40">
        <v>30104.5</v>
      </c>
      <c r="E8" s="39">
        <v>267</v>
      </c>
      <c r="F8" s="765">
        <v>43411</v>
      </c>
      <c r="G8" s="514">
        <v>5242.22</v>
      </c>
      <c r="H8" s="321">
        <v>484.488</v>
      </c>
      <c r="I8" s="40">
        <v>68483</v>
      </c>
      <c r="J8" s="39">
        <v>349</v>
      </c>
    </row>
    <row r="9" spans="1:10" s="850" customFormat="1" ht="13.5" customHeight="1">
      <c r="A9" s="602" t="s">
        <v>1169</v>
      </c>
      <c r="B9" s="439">
        <v>4572.88</v>
      </c>
      <c r="C9" s="439">
        <v>117145.07</v>
      </c>
      <c r="D9" s="439">
        <v>38410.899999999994</v>
      </c>
      <c r="E9" s="438">
        <v>279</v>
      </c>
      <c r="F9" s="764">
        <v>43412</v>
      </c>
      <c r="G9" s="1089">
        <v>5259.11</v>
      </c>
      <c r="H9" s="581">
        <v>593.702</v>
      </c>
      <c r="I9" s="581">
        <v>68483</v>
      </c>
      <c r="J9" s="442">
        <v>349</v>
      </c>
    </row>
    <row r="10" spans="1:10" s="1151" customFormat="1" ht="13.5" customHeight="1">
      <c r="A10" s="588" t="s">
        <v>1361</v>
      </c>
      <c r="B10" s="394">
        <v>4385.7700000000004</v>
      </c>
      <c r="C10" s="394">
        <v>85716.56</v>
      </c>
      <c r="D10" s="394">
        <v>43407.3</v>
      </c>
      <c r="E10" s="393">
        <v>296</v>
      </c>
      <c r="F10" s="765">
        <v>43415</v>
      </c>
      <c r="G10" s="514">
        <v>5278.98</v>
      </c>
      <c r="H10" s="824">
        <v>527.44100000000003</v>
      </c>
      <c r="I10" s="40">
        <v>68483</v>
      </c>
      <c r="J10" s="39">
        <v>349</v>
      </c>
    </row>
    <row r="11" spans="1:10" s="101" customFormat="1" ht="13.5" customHeight="1">
      <c r="A11" s="461" t="s">
        <v>1693</v>
      </c>
      <c r="B11" s="445">
        <v>4480.5200000000004</v>
      </c>
      <c r="C11" s="445">
        <v>112539.85800000001</v>
      </c>
      <c r="D11" s="445">
        <v>48255.5</v>
      </c>
      <c r="E11" s="442">
        <v>307</v>
      </c>
      <c r="F11" s="764">
        <v>43416</v>
      </c>
      <c r="G11" s="1089">
        <v>5239.0600000000004</v>
      </c>
      <c r="H11" s="1050">
        <v>518.428</v>
      </c>
      <c r="I11" s="1050">
        <v>68483</v>
      </c>
      <c r="J11" s="442">
        <v>349</v>
      </c>
    </row>
    <row r="12" spans="1:10" s="720" customFormat="1" ht="13.5" customHeight="1">
      <c r="A12" s="588" t="s">
        <v>1795</v>
      </c>
      <c r="B12" s="394">
        <v>4583.1099999999997</v>
      </c>
      <c r="C12" s="394">
        <v>112351.91100000001</v>
      </c>
      <c r="D12" s="394">
        <v>54300.800000000003</v>
      </c>
      <c r="E12" s="393">
        <v>326</v>
      </c>
      <c r="F12" s="765">
        <v>43417</v>
      </c>
      <c r="G12" s="40">
        <v>5258.59</v>
      </c>
      <c r="H12" s="321">
        <v>531.55700000000002</v>
      </c>
      <c r="I12" s="40">
        <v>68483</v>
      </c>
      <c r="J12" s="39">
        <v>349</v>
      </c>
    </row>
    <row r="13" spans="1:10" s="101" customFormat="1" ht="13.5" customHeight="1">
      <c r="A13" s="823" t="s">
        <v>1996</v>
      </c>
      <c r="B13" s="517">
        <v>4507.58</v>
      </c>
      <c r="C13" s="517">
        <v>107246.07099999998</v>
      </c>
      <c r="D13" s="517">
        <v>57846.400000000001</v>
      </c>
      <c r="E13" s="810">
        <v>330</v>
      </c>
      <c r="F13" s="764">
        <v>43418</v>
      </c>
      <c r="G13" s="1089">
        <v>5245.59</v>
      </c>
      <c r="H13" s="1089">
        <v>631.61099999999999</v>
      </c>
      <c r="I13" s="1089">
        <v>68483</v>
      </c>
      <c r="J13" s="442">
        <v>349</v>
      </c>
    </row>
    <row r="14" spans="1:10" s="720" customFormat="1" ht="13.5" customHeight="1">
      <c r="A14" s="749" t="s">
        <v>2092</v>
      </c>
      <c r="B14" s="530">
        <f>B26</f>
        <v>5656.05</v>
      </c>
      <c r="C14" s="530">
        <f>SUM(C15:C26)</f>
        <v>180522.2</v>
      </c>
      <c r="D14" s="530">
        <f>D26</f>
        <v>61656.5</v>
      </c>
      <c r="E14" s="738">
        <f>E26</f>
        <v>334</v>
      </c>
      <c r="F14" s="765">
        <v>43419</v>
      </c>
      <c r="G14" s="514">
        <v>5244.63</v>
      </c>
      <c r="H14" s="514">
        <v>555.755</v>
      </c>
      <c r="I14" s="40">
        <v>68483</v>
      </c>
      <c r="J14" s="39">
        <v>349</v>
      </c>
    </row>
    <row r="15" spans="1:10" s="101" customFormat="1" ht="13.5" customHeight="1">
      <c r="A15" s="602" t="s">
        <v>843</v>
      </c>
      <c r="B15" s="439">
        <v>4525.3500000000004</v>
      </c>
      <c r="C15" s="439">
        <v>6573.6170000000002</v>
      </c>
      <c r="D15" s="439">
        <f>57510.714+595.1</f>
        <v>58105.813999999998</v>
      </c>
      <c r="E15" s="438">
        <f>328+2</f>
        <v>330</v>
      </c>
      <c r="F15" s="764">
        <v>43422</v>
      </c>
      <c r="G15" s="1089">
        <v>5256.07</v>
      </c>
      <c r="H15" s="1089">
        <v>556.54100000000005</v>
      </c>
      <c r="I15" s="1089">
        <v>68483</v>
      </c>
      <c r="J15" s="442">
        <v>349</v>
      </c>
    </row>
    <row r="16" spans="1:10" s="720" customFormat="1" ht="13.5" customHeight="1">
      <c r="A16" s="588" t="s">
        <v>844</v>
      </c>
      <c r="B16" s="394">
        <v>4526.58</v>
      </c>
      <c r="C16" s="394">
        <v>9629.2900000000009</v>
      </c>
      <c r="D16" s="394">
        <f>57549.5+595.1</f>
        <v>58144.6</v>
      </c>
      <c r="E16" s="393">
        <f>327+2</f>
        <v>329</v>
      </c>
      <c r="F16" s="765">
        <v>43423</v>
      </c>
      <c r="G16" s="514">
        <v>5257.11</v>
      </c>
      <c r="H16" s="514">
        <v>803.05899999999997</v>
      </c>
      <c r="I16" s="40">
        <v>68483</v>
      </c>
      <c r="J16" s="39">
        <v>349</v>
      </c>
    </row>
    <row r="17" spans="1:10" s="101" customFormat="1" ht="13.5" customHeight="1">
      <c r="A17" s="602" t="s">
        <v>838</v>
      </c>
      <c r="B17" s="439">
        <v>4695.1899999999996</v>
      </c>
      <c r="C17" s="439">
        <v>8689.3819999999996</v>
      </c>
      <c r="D17" s="439">
        <f>57649.1+595.1</f>
        <v>58244.2</v>
      </c>
      <c r="E17" s="438">
        <f>328+2</f>
        <v>330</v>
      </c>
      <c r="F17" s="764">
        <v>43424</v>
      </c>
      <c r="G17" s="1089">
        <v>5298.84</v>
      </c>
      <c r="H17" s="1089">
        <v>717.154</v>
      </c>
      <c r="I17" s="1089">
        <v>68483</v>
      </c>
      <c r="J17" s="442">
        <v>349</v>
      </c>
    </row>
    <row r="18" spans="1:10" s="720" customFormat="1" ht="13.5" customHeight="1">
      <c r="A18" s="588" t="s">
        <v>845</v>
      </c>
      <c r="B18" s="394">
        <v>4592.18</v>
      </c>
      <c r="C18" s="394">
        <v>10560.499</v>
      </c>
      <c r="D18" s="394">
        <f>57959.3+595.1</f>
        <v>58554.400000000001</v>
      </c>
      <c r="E18" s="393">
        <f>328+2</f>
        <v>330</v>
      </c>
      <c r="F18" s="765">
        <v>43426</v>
      </c>
      <c r="G18" s="514">
        <v>5305.95</v>
      </c>
      <c r="H18" s="514">
        <v>552.65</v>
      </c>
      <c r="I18" s="40">
        <v>68483</v>
      </c>
      <c r="J18" s="39">
        <v>349</v>
      </c>
    </row>
    <row r="19" spans="1:10" s="101" customFormat="1" ht="13.5" customHeight="1">
      <c r="A19" s="602" t="s">
        <v>846</v>
      </c>
      <c r="B19" s="439">
        <v>4801.24</v>
      </c>
      <c r="C19" s="439">
        <v>14149.828</v>
      </c>
      <c r="D19" s="439">
        <f>58410.7+595.1</f>
        <v>59005.799999999996</v>
      </c>
      <c r="E19" s="438">
        <f>328+2</f>
        <v>330</v>
      </c>
      <c r="F19" s="764">
        <v>43429</v>
      </c>
      <c r="G19" s="1089">
        <v>5276.24</v>
      </c>
      <c r="H19" s="1089">
        <v>569.45699999999999</v>
      </c>
      <c r="I19" s="1089">
        <v>68483</v>
      </c>
      <c r="J19" s="442">
        <v>349</v>
      </c>
    </row>
    <row r="20" spans="1:10" s="720" customFormat="1" ht="13.5" customHeight="1">
      <c r="A20" s="588" t="s">
        <v>839</v>
      </c>
      <c r="B20" s="394">
        <v>5036.05</v>
      </c>
      <c r="C20" s="394">
        <v>17780.206999999999</v>
      </c>
      <c r="D20" s="394">
        <f>59040.3+595.1</f>
        <v>59635.4</v>
      </c>
      <c r="E20" s="393">
        <f>329+2</f>
        <v>331</v>
      </c>
      <c r="F20" s="765">
        <v>43430</v>
      </c>
      <c r="G20" s="514">
        <v>5279.26</v>
      </c>
      <c r="H20" s="514">
        <v>615.74699999999996</v>
      </c>
      <c r="I20" s="40">
        <v>68483</v>
      </c>
      <c r="J20" s="39">
        <v>349</v>
      </c>
    </row>
    <row r="21" spans="1:10" s="101" customFormat="1" ht="13.5" customHeight="1">
      <c r="A21" s="602" t="s">
        <v>847</v>
      </c>
      <c r="B21" s="439">
        <v>5468.34</v>
      </c>
      <c r="C21" s="439">
        <v>34232.014999999999</v>
      </c>
      <c r="D21" s="439">
        <f>59213.4+585</f>
        <v>59798.400000000001</v>
      </c>
      <c r="E21" s="438">
        <f>329+2</f>
        <v>331</v>
      </c>
      <c r="F21" s="764">
        <v>43431</v>
      </c>
      <c r="G21" s="1089">
        <v>5288.55</v>
      </c>
      <c r="H21" s="1089">
        <v>638.85299999999995</v>
      </c>
      <c r="I21" s="1089">
        <v>68483</v>
      </c>
      <c r="J21" s="442">
        <v>349</v>
      </c>
    </row>
    <row r="22" spans="1:10" s="720" customFormat="1" ht="13.5" customHeight="1">
      <c r="A22" s="588" t="s">
        <v>848</v>
      </c>
      <c r="B22" s="394">
        <v>5612.7</v>
      </c>
      <c r="C22" s="394">
        <v>19404.841</v>
      </c>
      <c r="D22" s="394">
        <f>59430.5+585</f>
        <v>60015.5</v>
      </c>
      <c r="E22" s="393">
        <f>331+2</f>
        <v>333</v>
      </c>
      <c r="F22" s="765">
        <v>43432</v>
      </c>
      <c r="G22" s="514">
        <v>5286.72</v>
      </c>
      <c r="H22" s="321">
        <v>594.27700000000004</v>
      </c>
      <c r="I22" s="40">
        <v>68483</v>
      </c>
      <c r="J22" s="39">
        <v>349</v>
      </c>
    </row>
    <row r="23" spans="1:10" s="101" customFormat="1" ht="13.5" customHeight="1" thickBot="1">
      <c r="A23" s="602" t="s">
        <v>840</v>
      </c>
      <c r="B23" s="439">
        <v>5719.61</v>
      </c>
      <c r="C23" s="439">
        <v>21770.14</v>
      </c>
      <c r="D23" s="439">
        <f>60360.6+585</f>
        <v>60945.599999999999</v>
      </c>
      <c r="E23" s="438">
        <f>333+2</f>
        <v>335</v>
      </c>
      <c r="F23" s="1669">
        <v>43433</v>
      </c>
      <c r="G23" s="1670">
        <v>5281.25</v>
      </c>
      <c r="H23" s="1671">
        <v>735.553</v>
      </c>
      <c r="I23" s="1671">
        <v>68483</v>
      </c>
      <c r="J23" s="520">
        <v>349</v>
      </c>
    </row>
    <row r="24" spans="1:10" s="720" customFormat="1" ht="13.5" customHeight="1">
      <c r="A24" s="588" t="s">
        <v>849</v>
      </c>
      <c r="B24" s="394">
        <v>5475.55</v>
      </c>
      <c r="C24" s="394">
        <v>15317.778</v>
      </c>
      <c r="D24" s="394">
        <f>60127.4+585</f>
        <v>60712.4</v>
      </c>
      <c r="E24" s="393">
        <f>331+2</f>
        <v>333</v>
      </c>
      <c r="F24" s="765"/>
      <c r="G24" s="514"/>
      <c r="H24" s="321"/>
      <c r="I24" s="40"/>
      <c r="J24" s="39"/>
    </row>
    <row r="25" spans="1:10" s="720" customFormat="1" ht="13.5" customHeight="1">
      <c r="A25" s="602" t="s">
        <v>850</v>
      </c>
      <c r="B25" s="439">
        <v>5403.12</v>
      </c>
      <c r="C25" s="439">
        <v>12258.223</v>
      </c>
      <c r="D25" s="439">
        <f>60311.4+585</f>
        <v>60896.4</v>
      </c>
      <c r="E25" s="438">
        <f>331+2</f>
        <v>333</v>
      </c>
      <c r="F25" s="765"/>
      <c r="G25" s="514"/>
      <c r="H25" s="321"/>
      <c r="I25" s="40"/>
      <c r="J25" s="39"/>
    </row>
    <row r="26" spans="1:10" s="720" customFormat="1" ht="13.5" customHeight="1">
      <c r="A26" s="588" t="s">
        <v>841</v>
      </c>
      <c r="B26" s="394">
        <v>5656.05</v>
      </c>
      <c r="C26" s="394">
        <v>10156.379999999999</v>
      </c>
      <c r="D26" s="394">
        <f>61071.5+585</f>
        <v>61656.5</v>
      </c>
      <c r="E26" s="393">
        <f>332+2</f>
        <v>334</v>
      </c>
      <c r="F26" s="765"/>
      <c r="G26" s="514"/>
      <c r="H26" s="321"/>
      <c r="I26" s="40"/>
      <c r="J26" s="39"/>
    </row>
    <row r="27" spans="1:10" s="720" customFormat="1" ht="13.5" customHeight="1">
      <c r="A27" s="823" t="s">
        <v>2320</v>
      </c>
      <c r="B27" s="517">
        <f>B39</f>
        <v>5405.46</v>
      </c>
      <c r="C27" s="517">
        <f>SUM(C28:C39)</f>
        <v>159085.19200000001</v>
      </c>
      <c r="D27" s="517">
        <f>D39</f>
        <v>67071.899999999994</v>
      </c>
      <c r="E27" s="810">
        <f>E39</f>
        <v>343</v>
      </c>
      <c r="F27" s="765"/>
      <c r="G27" s="514"/>
      <c r="H27" s="321"/>
      <c r="I27" s="40"/>
      <c r="J27" s="39"/>
    </row>
    <row r="28" spans="1:10" s="720" customFormat="1" ht="13.5" customHeight="1">
      <c r="A28" s="588" t="s">
        <v>843</v>
      </c>
      <c r="B28" s="394">
        <v>5860.65</v>
      </c>
      <c r="C28" s="394">
        <v>20929.46</v>
      </c>
      <c r="D28" s="394">
        <f>61539+585</f>
        <v>62124</v>
      </c>
      <c r="E28" s="393">
        <f>333+2</f>
        <v>335</v>
      </c>
      <c r="F28" s="765"/>
      <c r="G28" s="514"/>
      <c r="H28" s="321"/>
      <c r="I28" s="40"/>
      <c r="J28" s="39"/>
    </row>
    <row r="29" spans="1:10" s="720" customFormat="1" ht="13.5" customHeight="1">
      <c r="A29" s="602" t="s">
        <v>844</v>
      </c>
      <c r="B29" s="439">
        <v>6006.43</v>
      </c>
      <c r="C29" s="439">
        <v>19589.243999999999</v>
      </c>
      <c r="D29" s="439">
        <f>62074.9+585</f>
        <v>62659.9</v>
      </c>
      <c r="E29" s="438">
        <f>333+2</f>
        <v>335</v>
      </c>
      <c r="F29" s="765"/>
      <c r="G29" s="514"/>
      <c r="H29" s="321"/>
      <c r="I29" s="40"/>
      <c r="J29" s="39"/>
    </row>
    <row r="30" spans="1:10" s="720" customFormat="1" ht="13.5" customHeight="1">
      <c r="A30" s="588" t="s">
        <v>838</v>
      </c>
      <c r="B30" s="394">
        <v>6092.84</v>
      </c>
      <c r="C30" s="394">
        <v>19944.120999999999</v>
      </c>
      <c r="D30" s="394">
        <f>62325.8+585</f>
        <v>62910.8</v>
      </c>
      <c r="E30" s="393">
        <f>333+2</f>
        <v>335</v>
      </c>
      <c r="F30" s="765"/>
      <c r="G30" s="514"/>
      <c r="H30" s="321"/>
      <c r="I30" s="40"/>
      <c r="J30" s="39"/>
    </row>
    <row r="31" spans="1:10" s="720" customFormat="1" ht="13.5" customHeight="1">
      <c r="A31" s="602" t="s">
        <v>845</v>
      </c>
      <c r="B31" s="439">
        <v>6019.59</v>
      </c>
      <c r="C31" s="439">
        <v>15697.432000000001</v>
      </c>
      <c r="D31" s="439">
        <f>62672.3+585</f>
        <v>63257.3</v>
      </c>
      <c r="E31" s="438">
        <f>335+2</f>
        <v>337</v>
      </c>
      <c r="F31" s="765"/>
      <c r="G31" s="514"/>
      <c r="H31" s="321"/>
      <c r="I31" s="40"/>
      <c r="J31" s="39"/>
    </row>
    <row r="32" spans="1:10" s="720" customFormat="1" ht="13.5" customHeight="1">
      <c r="A32" s="588" t="s">
        <v>846</v>
      </c>
      <c r="B32" s="394">
        <v>6306.86</v>
      </c>
      <c r="C32" s="394">
        <v>18421.802</v>
      </c>
      <c r="D32" s="394">
        <f>62768.883+585</f>
        <v>63353.883000000002</v>
      </c>
      <c r="E32" s="393">
        <f>336+2</f>
        <v>338</v>
      </c>
      <c r="F32" s="765"/>
      <c r="G32" s="514"/>
      <c r="H32" s="321"/>
      <c r="I32" s="40"/>
      <c r="J32" s="39"/>
    </row>
    <row r="33" spans="1:10" s="720" customFormat="1" ht="13.5" customHeight="1">
      <c r="A33" s="602" t="s">
        <v>839</v>
      </c>
      <c r="B33" s="439">
        <v>6244.52</v>
      </c>
      <c r="C33" s="439">
        <v>9238.2749999999996</v>
      </c>
      <c r="D33" s="439">
        <f>63936.603+585</f>
        <v>64521.603000000003</v>
      </c>
      <c r="E33" s="438">
        <f>338+2</f>
        <v>340</v>
      </c>
      <c r="F33" s="765"/>
      <c r="G33" s="514"/>
      <c r="H33" s="321"/>
      <c r="I33" s="40"/>
      <c r="J33" s="39"/>
    </row>
    <row r="34" spans="1:10" s="720" customFormat="1" ht="13.5" customHeight="1">
      <c r="A34" s="588" t="s">
        <v>847</v>
      </c>
      <c r="B34" s="394">
        <v>6039.78</v>
      </c>
      <c r="C34" s="394">
        <v>10072.161</v>
      </c>
      <c r="D34" s="394">
        <f>64267.2+300</f>
        <v>64567.199999999997</v>
      </c>
      <c r="E34" s="393">
        <f>338+1</f>
        <v>339</v>
      </c>
      <c r="F34" s="765"/>
      <c r="G34" s="514"/>
      <c r="H34" s="321"/>
      <c r="I34" s="40"/>
      <c r="J34" s="39"/>
    </row>
    <row r="35" spans="1:10" s="720" customFormat="1" ht="13.5" customHeight="1">
      <c r="A35" s="602" t="s">
        <v>848</v>
      </c>
      <c r="B35" s="439">
        <v>5804.94</v>
      </c>
      <c r="C35" s="439">
        <v>7679.69</v>
      </c>
      <c r="D35" s="439">
        <f>64276.649+300</f>
        <v>64576.648999999998</v>
      </c>
      <c r="E35" s="438">
        <f>338+1</f>
        <v>339</v>
      </c>
      <c r="F35" s="765"/>
      <c r="G35" s="514"/>
      <c r="H35" s="321"/>
      <c r="I35" s="40"/>
      <c r="J35" s="39"/>
    </row>
    <row r="36" spans="1:10" s="720" customFormat="1" ht="13.5" customHeight="1">
      <c r="A36" s="588" t="s">
        <v>840</v>
      </c>
      <c r="B36" s="394">
        <v>5597.44</v>
      </c>
      <c r="C36" s="394">
        <v>6714.9409999999998</v>
      </c>
      <c r="D36" s="394">
        <f>64549.1+300</f>
        <v>64849.1</v>
      </c>
      <c r="E36" s="393">
        <f>340+1</f>
        <v>341</v>
      </c>
      <c r="F36" s="765"/>
      <c r="G36" s="514"/>
      <c r="H36" s="321"/>
      <c r="I36" s="40"/>
      <c r="J36" s="39"/>
    </row>
    <row r="37" spans="1:10" s="720" customFormat="1" ht="13.5" customHeight="1">
      <c r="A37" s="602" t="s">
        <v>849</v>
      </c>
      <c r="B37" s="439">
        <v>5739.23</v>
      </c>
      <c r="C37" s="439">
        <v>11494.731</v>
      </c>
      <c r="D37" s="439">
        <f>64915.3+300</f>
        <v>65215.3</v>
      </c>
      <c r="E37" s="438">
        <f>341+1</f>
        <v>342</v>
      </c>
      <c r="F37" s="765"/>
      <c r="G37" s="514"/>
      <c r="H37" s="321"/>
      <c r="I37" s="40"/>
      <c r="J37" s="39"/>
    </row>
    <row r="38" spans="1:10" s="720" customFormat="1" ht="13.5" customHeight="1">
      <c r="A38" s="588" t="s">
        <v>850</v>
      </c>
      <c r="B38" s="394">
        <v>5343.88</v>
      </c>
      <c r="C38" s="394">
        <v>9667.634</v>
      </c>
      <c r="D38" s="394">
        <f>65621.8+300</f>
        <v>65921.8</v>
      </c>
      <c r="E38" s="393">
        <f>342+1</f>
        <v>343</v>
      </c>
      <c r="F38" s="765"/>
      <c r="G38" s="514"/>
      <c r="H38" s="321"/>
      <c r="I38" s="40"/>
      <c r="J38" s="39"/>
    </row>
    <row r="39" spans="1:10" s="720" customFormat="1" ht="13.5" customHeight="1">
      <c r="A39" s="602" t="s">
        <v>841</v>
      </c>
      <c r="B39" s="439">
        <v>5405.46</v>
      </c>
      <c r="C39" s="439">
        <v>9635.7009999999991</v>
      </c>
      <c r="D39" s="439">
        <f>66771.9+300</f>
        <v>67071.899999999994</v>
      </c>
      <c r="E39" s="438">
        <f>342+1</f>
        <v>343</v>
      </c>
      <c r="F39" s="765"/>
      <c r="G39" s="514"/>
      <c r="H39" s="321"/>
      <c r="I39" s="40"/>
      <c r="J39" s="39"/>
    </row>
    <row r="40" spans="1:10" s="720" customFormat="1" ht="13.5" customHeight="1">
      <c r="A40" s="749" t="s">
        <v>2585</v>
      </c>
      <c r="B40" s="394"/>
      <c r="C40" s="394"/>
      <c r="D40" s="394"/>
      <c r="E40" s="393"/>
      <c r="F40" s="765"/>
      <c r="G40" s="514"/>
      <c r="H40" s="321"/>
      <c r="I40" s="40"/>
      <c r="J40" s="39"/>
    </row>
    <row r="41" spans="1:10" s="720" customFormat="1" ht="13.5" customHeight="1">
      <c r="A41" s="602" t="s">
        <v>843</v>
      </c>
      <c r="B41" s="439">
        <v>5302.64</v>
      </c>
      <c r="C41" s="439">
        <v>18676.947</v>
      </c>
      <c r="D41" s="439">
        <f>67113.716+300</f>
        <v>67413.716</v>
      </c>
      <c r="E41" s="438">
        <f>342+1</f>
        <v>343</v>
      </c>
      <c r="F41" s="765"/>
      <c r="G41" s="514"/>
      <c r="H41" s="321"/>
      <c r="I41" s="40"/>
      <c r="J41" s="39"/>
    </row>
    <row r="42" spans="1:10" s="720" customFormat="1" ht="13.5" customHeight="1">
      <c r="A42" s="588" t="s">
        <v>844</v>
      </c>
      <c r="B42" s="394">
        <v>5600.64</v>
      </c>
      <c r="C42" s="394">
        <v>11495.259</v>
      </c>
      <c r="D42" s="394">
        <f>67214.5+300</f>
        <v>67514.5</v>
      </c>
      <c r="E42" s="393">
        <f>343+1</f>
        <v>344</v>
      </c>
      <c r="F42" s="765"/>
      <c r="G42" s="514"/>
      <c r="H42" s="321"/>
      <c r="I42" s="40"/>
      <c r="J42" s="39"/>
    </row>
    <row r="43" spans="1:10" s="720" customFormat="1" ht="13.5" customHeight="1">
      <c r="A43" s="602" t="s">
        <v>838</v>
      </c>
      <c r="B43" s="439">
        <v>5368.96</v>
      </c>
      <c r="C43" s="439">
        <v>14810.267</v>
      </c>
      <c r="D43" s="439">
        <f>67655.4+300</f>
        <v>67955.399999999994</v>
      </c>
      <c r="E43" s="438">
        <f>345+1</f>
        <v>346</v>
      </c>
      <c r="F43" s="765"/>
      <c r="G43" s="514"/>
      <c r="H43" s="321"/>
      <c r="I43" s="40"/>
      <c r="J43" s="39"/>
    </row>
    <row r="44" spans="1:10" s="720" customFormat="1" ht="12.75" customHeight="1">
      <c r="A44" s="588" t="s">
        <v>845</v>
      </c>
      <c r="B44" s="394">
        <v>5284.13</v>
      </c>
      <c r="C44" s="394">
        <v>12737.053</v>
      </c>
      <c r="D44" s="394">
        <f>67997.9+300</f>
        <v>68297.899999999994</v>
      </c>
      <c r="E44" s="393">
        <f>347+1</f>
        <v>348</v>
      </c>
      <c r="F44" s="765"/>
      <c r="G44" s="514"/>
      <c r="H44" s="321"/>
      <c r="I44" s="40"/>
      <c r="J44" s="39"/>
    </row>
    <row r="45" spans="1:10" s="720" customFormat="1" ht="12.75" customHeight="1" thickBot="1">
      <c r="A45" s="1667" t="s">
        <v>846</v>
      </c>
      <c r="B45" s="717">
        <v>5281.25</v>
      </c>
      <c r="C45" s="717">
        <v>11673.793</v>
      </c>
      <c r="D45" s="717">
        <f>68183+300</f>
        <v>68483</v>
      </c>
      <c r="E45" s="1668">
        <f>348+1</f>
        <v>349</v>
      </c>
      <c r="F45" s="765"/>
      <c r="G45" s="514"/>
      <c r="H45" s="321"/>
      <c r="I45" s="40"/>
      <c r="J45" s="39"/>
    </row>
    <row r="46" spans="1:10" s="101" customFormat="1" ht="11.25" customHeight="1">
      <c r="A46" s="361" t="s">
        <v>2405</v>
      </c>
      <c r="B46" s="38"/>
      <c r="C46" s="38"/>
      <c r="D46" s="38"/>
      <c r="E46" s="38"/>
      <c r="F46" s="765"/>
      <c r="G46" s="514"/>
      <c r="H46" s="321"/>
      <c r="I46" s="40"/>
      <c r="J46" s="39"/>
    </row>
    <row r="47" spans="1:10" s="101" customFormat="1" ht="10.5" customHeight="1">
      <c r="A47" s="151" t="s">
        <v>2404</v>
      </c>
      <c r="B47" s="38"/>
      <c r="C47" s="40"/>
      <c r="D47" s="334"/>
      <c r="E47" s="334"/>
      <c r="F47" s="765"/>
      <c r="G47" s="514"/>
      <c r="H47" s="321"/>
      <c r="I47" s="40"/>
      <c r="J47" s="39"/>
    </row>
    <row r="48" spans="1:10" s="101" customFormat="1" ht="8.85" customHeight="1">
      <c r="F48" s="765"/>
      <c r="G48" s="514"/>
      <c r="H48" s="321"/>
      <c r="I48" s="40"/>
      <c r="J48" s="39"/>
    </row>
    <row r="49" spans="6:10" s="101" customFormat="1" ht="8.85" customHeight="1">
      <c r="F49" s="765"/>
      <c r="G49" s="514"/>
      <c r="H49" s="321"/>
      <c r="I49" s="40"/>
      <c r="J49" s="39"/>
    </row>
    <row r="50" spans="6:10" s="101" customFormat="1" ht="9" customHeight="1">
      <c r="F50" s="765"/>
      <c r="G50" s="514"/>
      <c r="H50" s="321"/>
      <c r="I50" s="40"/>
      <c r="J50" s="39"/>
    </row>
    <row r="51" spans="6:10" s="101" customFormat="1" ht="8.85" customHeight="1">
      <c r="F51" s="765"/>
      <c r="G51" s="514"/>
      <c r="H51" s="321"/>
      <c r="I51" s="40"/>
      <c r="J51" s="39"/>
    </row>
    <row r="52" spans="6:10" s="101" customFormat="1" ht="8.85" customHeight="1">
      <c r="F52" s="765"/>
      <c r="G52" s="514"/>
      <c r="H52" s="824"/>
      <c r="I52" s="40"/>
      <c r="J52" s="39"/>
    </row>
    <row r="53" spans="6:10" s="101" customFormat="1" ht="8.85" customHeight="1">
      <c r="F53" s="765"/>
      <c r="G53" s="514"/>
      <c r="H53" s="824"/>
      <c r="I53" s="40"/>
      <c r="J53" s="39"/>
    </row>
    <row r="54" spans="6:10" s="101" customFormat="1" ht="8.85" customHeight="1">
      <c r="F54" s="765"/>
      <c r="G54" s="514"/>
      <c r="H54" s="321"/>
      <c r="I54" s="40"/>
      <c r="J54" s="39"/>
    </row>
    <row r="55" spans="6:10" s="101" customFormat="1" ht="8.85" customHeight="1">
      <c r="F55" s="765"/>
      <c r="G55" s="514"/>
      <c r="H55" s="321"/>
      <c r="I55" s="40"/>
      <c r="J55" s="39"/>
    </row>
    <row r="56" spans="6:10" s="101" customFormat="1" ht="8.85" customHeight="1">
      <c r="F56" s="765"/>
      <c r="G56" s="514"/>
      <c r="H56" s="321"/>
      <c r="I56" s="40"/>
      <c r="J56" s="39"/>
    </row>
    <row r="57" spans="6:10" s="101" customFormat="1" ht="9.9499999999999993" customHeight="1">
      <c r="F57" s="765"/>
      <c r="G57" s="514"/>
      <c r="H57" s="321"/>
      <c r="I57" s="40"/>
      <c r="J57" s="39"/>
    </row>
    <row r="58" spans="6:10" s="101" customFormat="1" ht="9.9499999999999993" customHeight="1">
      <c r="F58" s="765"/>
      <c r="G58" s="514"/>
      <c r="H58" s="321"/>
      <c r="I58" s="40"/>
      <c r="J58" s="39"/>
    </row>
    <row r="59" spans="6:10" s="101" customFormat="1" ht="9.9499999999999993" customHeight="1">
      <c r="F59" s="765"/>
      <c r="G59" s="514"/>
      <c r="H59" s="321"/>
      <c r="I59" s="40"/>
      <c r="J59" s="39"/>
    </row>
    <row r="60" spans="6:10" s="101" customFormat="1" ht="11.1" customHeight="1">
      <c r="F60" s="765"/>
      <c r="G60" s="39"/>
      <c r="H60" s="321"/>
      <c r="I60" s="40"/>
      <c r="J60" s="39"/>
    </row>
    <row r="61" spans="6:10" s="101" customFormat="1" ht="11.1" customHeight="1">
      <c r="F61" s="765"/>
      <c r="G61" s="39"/>
      <c r="H61" s="321"/>
      <c r="I61" s="40"/>
      <c r="J61" s="39"/>
    </row>
    <row r="62" spans="6:10" s="101" customFormat="1" ht="11.1" customHeight="1">
      <c r="F62" s="765"/>
      <c r="G62" s="39"/>
      <c r="H62" s="321"/>
      <c r="I62" s="40"/>
      <c r="J62" s="39"/>
    </row>
    <row r="63" spans="6:10" s="101" customFormat="1" ht="11.1" customHeight="1">
      <c r="F63" s="765"/>
      <c r="G63" s="39"/>
      <c r="H63" s="321"/>
      <c r="I63" s="40"/>
      <c r="J63" s="39"/>
    </row>
    <row r="64" spans="6:10" s="720" customFormat="1" ht="11.1" customHeight="1">
      <c r="F64" s="765"/>
      <c r="G64" s="514"/>
      <c r="H64" s="514"/>
      <c r="I64" s="40"/>
      <c r="J64" s="39"/>
    </row>
    <row r="65" spans="1:10" ht="11.1" customHeight="1">
      <c r="B65" s="2"/>
      <c r="C65" s="2"/>
      <c r="D65" s="2"/>
      <c r="E65" s="2"/>
      <c r="F65" s="765"/>
      <c r="G65" s="514"/>
      <c r="H65" s="514"/>
      <c r="I65" s="40"/>
      <c r="J65" s="39"/>
    </row>
    <row r="66" spans="1:10" ht="11.1" customHeight="1">
      <c r="B66" s="2"/>
      <c r="C66" s="2"/>
      <c r="D66" s="2"/>
      <c r="E66" s="2"/>
      <c r="F66" s="765"/>
      <c r="G66" s="514"/>
      <c r="H66" s="514"/>
      <c r="I66" s="40"/>
      <c r="J66" s="39"/>
    </row>
    <row r="67" spans="1:10">
      <c r="A67" s="144"/>
      <c r="B67" s="145"/>
      <c r="C67" s="145"/>
      <c r="D67" s="150"/>
      <c r="E67" s="73"/>
      <c r="F67" s="765"/>
      <c r="G67" s="514"/>
      <c r="H67" s="514"/>
      <c r="I67" s="40"/>
      <c r="J67" s="39"/>
    </row>
    <row r="68" spans="1:10">
      <c r="A68" s="148"/>
      <c r="B68" s="149"/>
      <c r="C68" s="149"/>
      <c r="D68" s="150"/>
      <c r="E68" s="117"/>
      <c r="F68" s="765"/>
      <c r="G68" s="514"/>
      <c r="H68" s="514"/>
      <c r="I68" s="40"/>
      <c r="J68" s="39"/>
    </row>
    <row r="69" spans="1:10">
      <c r="A69" s="148"/>
      <c r="B69" s="149"/>
      <c r="C69" s="149"/>
      <c r="D69" s="150"/>
      <c r="E69" s="117"/>
      <c r="F69" s="765"/>
      <c r="G69" s="514"/>
      <c r="H69" s="514"/>
      <c r="I69" s="40"/>
      <c r="J69" s="39"/>
    </row>
    <row r="70" spans="1:10">
      <c r="A70" s="148"/>
      <c r="B70" s="149"/>
      <c r="C70" s="149"/>
      <c r="D70" s="150"/>
      <c r="E70" s="117"/>
      <c r="F70" s="765"/>
      <c r="G70" s="514"/>
      <c r="H70" s="514"/>
      <c r="I70" s="40"/>
      <c r="J70" s="39"/>
    </row>
    <row r="71" spans="1:10">
      <c r="A71" s="148"/>
      <c r="B71" s="149"/>
      <c r="C71" s="149"/>
      <c r="D71" s="150"/>
      <c r="E71" s="117"/>
      <c r="F71" s="765"/>
      <c r="G71" s="514"/>
      <c r="H71" s="514"/>
      <c r="I71" s="40"/>
      <c r="J71" s="39"/>
    </row>
    <row r="72" spans="1:10">
      <c r="A72" s="148"/>
      <c r="B72" s="149"/>
      <c r="C72" s="149"/>
      <c r="D72" s="150"/>
      <c r="E72" s="117"/>
      <c r="F72" s="765"/>
      <c r="G72" s="514"/>
      <c r="H72" s="514"/>
      <c r="I72" s="40"/>
      <c r="J72" s="39"/>
    </row>
    <row r="73" spans="1:10">
      <c r="A73" s="148"/>
      <c r="B73" s="149"/>
      <c r="C73" s="149"/>
      <c r="D73" s="150"/>
      <c r="E73" s="117"/>
      <c r="F73" s="651"/>
      <c r="G73" s="720"/>
      <c r="H73" s="720"/>
      <c r="I73" s="720"/>
      <c r="J73" s="720"/>
    </row>
    <row r="74" spans="1:10">
      <c r="A74" s="148"/>
      <c r="B74" s="149"/>
      <c r="C74" s="149"/>
      <c r="D74" s="150"/>
      <c r="E74" s="117"/>
      <c r="F74" s="651"/>
      <c r="G74" s="720"/>
      <c r="H74" s="720"/>
      <c r="I74" s="720"/>
      <c r="J74" s="720"/>
    </row>
    <row r="75" spans="1:10">
      <c r="A75" s="148"/>
      <c r="B75" s="149"/>
      <c r="C75" s="149"/>
      <c r="D75" s="150"/>
      <c r="E75" s="117"/>
      <c r="F75" s="651"/>
      <c r="G75" s="720"/>
      <c r="H75" s="720"/>
      <c r="I75" s="720"/>
      <c r="J75" s="720"/>
    </row>
    <row r="76" spans="1:10">
      <c r="A76" s="148"/>
      <c r="B76" s="149"/>
      <c r="C76" s="149"/>
      <c r="D76" s="150"/>
      <c r="E76" s="117"/>
      <c r="F76" s="651"/>
      <c r="G76" s="720"/>
      <c r="H76" s="720"/>
      <c r="I76" s="720"/>
      <c r="J76" s="720"/>
    </row>
    <row r="77" spans="1:10">
      <c r="A77" s="148"/>
      <c r="B77" s="149"/>
      <c r="C77" s="149"/>
      <c r="D77" s="150"/>
      <c r="E77" s="117"/>
      <c r="F77" s="651"/>
      <c r="G77" s="720"/>
      <c r="H77" s="720"/>
      <c r="I77" s="720"/>
      <c r="J77" s="720"/>
    </row>
    <row r="78" spans="1:10">
      <c r="A78" s="148"/>
      <c r="B78" s="149"/>
      <c r="C78" s="149"/>
      <c r="D78" s="150"/>
      <c r="E78" s="117"/>
      <c r="F78" s="651"/>
      <c r="G78" s="720"/>
      <c r="H78" s="720"/>
      <c r="I78" s="720"/>
      <c r="J78" s="720"/>
    </row>
    <row r="79" spans="1:10">
      <c r="F79" s="651"/>
      <c r="G79" s="720"/>
      <c r="H79" s="720"/>
      <c r="I79" s="720"/>
      <c r="J79" s="720"/>
    </row>
    <row r="80" spans="1:10">
      <c r="F80" s="651"/>
      <c r="G80" s="720"/>
      <c r="H80" s="720"/>
      <c r="I80" s="720"/>
      <c r="J80" s="720"/>
    </row>
    <row r="81" spans="1:10">
      <c r="F81" s="651"/>
      <c r="G81" s="720"/>
      <c r="H81" s="720"/>
      <c r="I81" s="720"/>
      <c r="J81" s="720"/>
    </row>
    <row r="82" spans="1:10">
      <c r="F82" s="651"/>
      <c r="G82" s="720"/>
      <c r="H82" s="720"/>
      <c r="I82" s="720"/>
      <c r="J82" s="720"/>
    </row>
    <row r="83" spans="1:10">
      <c r="A83" s="148"/>
      <c r="B83" s="145"/>
      <c r="C83" s="149"/>
      <c r="D83" s="150"/>
      <c r="E83" s="117"/>
      <c r="F83" s="651"/>
      <c r="G83" s="720"/>
      <c r="H83" s="720"/>
      <c r="I83" s="720"/>
      <c r="J83" s="720"/>
    </row>
    <row r="84" spans="1:10">
      <c r="A84" s="148"/>
      <c r="B84" s="145"/>
      <c r="C84" s="149"/>
      <c r="D84" s="150"/>
      <c r="E84" s="117"/>
      <c r="F84" s="651"/>
      <c r="G84" s="720"/>
      <c r="H84" s="720"/>
      <c r="I84" s="720"/>
      <c r="J84" s="720"/>
    </row>
    <row r="85" spans="1:10">
      <c r="A85" s="148"/>
      <c r="B85" s="149"/>
      <c r="C85" s="145"/>
      <c r="D85" s="150"/>
      <c r="E85" s="117"/>
      <c r="F85" s="651"/>
      <c r="G85" s="720"/>
      <c r="H85" s="720"/>
      <c r="I85" s="720"/>
      <c r="J85" s="720"/>
    </row>
    <row r="86" spans="1:10">
      <c r="A86" s="148"/>
      <c r="B86" s="149"/>
      <c r="C86" s="149"/>
      <c r="D86" s="150"/>
      <c r="E86" s="117"/>
      <c r="G86" s="720"/>
      <c r="H86" s="720"/>
      <c r="I86" s="720"/>
      <c r="J86" s="720"/>
    </row>
    <row r="87" spans="1:10">
      <c r="A87" s="148"/>
      <c r="B87" s="145"/>
      <c r="C87" s="149"/>
      <c r="D87" s="150"/>
      <c r="E87" s="117"/>
      <c r="G87" s="720"/>
      <c r="H87" s="720"/>
      <c r="I87" s="720"/>
      <c r="J87" s="720"/>
    </row>
    <row r="88" spans="1:10">
      <c r="A88" s="148"/>
      <c r="B88" s="117"/>
      <c r="C88" s="149"/>
      <c r="D88" s="150"/>
      <c r="E88" s="117"/>
      <c r="G88" s="720"/>
      <c r="H88" s="720"/>
      <c r="I88" s="720"/>
      <c r="J88" s="720"/>
    </row>
    <row r="89" spans="1:10">
      <c r="A89" s="148"/>
      <c r="B89" s="73"/>
      <c r="C89" s="145"/>
      <c r="D89" s="150"/>
      <c r="E89" s="117"/>
      <c r="G89" s="720"/>
      <c r="H89" s="720"/>
      <c r="I89" s="720"/>
      <c r="J89" s="720"/>
    </row>
    <row r="90" spans="1:10">
      <c r="G90" s="720"/>
      <c r="H90" s="720"/>
      <c r="I90" s="720"/>
      <c r="J90" s="720"/>
    </row>
    <row r="91" spans="1:10">
      <c r="A91" s="148"/>
      <c r="B91" s="150"/>
      <c r="C91" s="150"/>
      <c r="D91" s="150"/>
      <c r="E91" s="117"/>
      <c r="G91" s="720"/>
      <c r="H91" s="720"/>
      <c r="I91" s="720"/>
      <c r="J91" s="720"/>
    </row>
    <row r="92" spans="1:10">
      <c r="A92" s="148"/>
      <c r="B92" s="150"/>
      <c r="C92" s="150"/>
      <c r="D92" s="150"/>
      <c r="E92" s="117"/>
      <c r="G92" s="720"/>
      <c r="H92" s="720"/>
      <c r="I92" s="720"/>
      <c r="J92" s="720"/>
    </row>
    <row r="93" spans="1:10">
      <c r="G93" s="720"/>
      <c r="H93" s="720"/>
      <c r="I93" s="720"/>
      <c r="J93" s="720"/>
    </row>
    <row r="94" spans="1:10">
      <c r="A94" s="148"/>
      <c r="B94" s="2"/>
      <c r="C94" s="2"/>
      <c r="D94" s="150"/>
      <c r="E94" s="117"/>
      <c r="G94" s="720"/>
      <c r="H94" s="720"/>
      <c r="I94" s="720"/>
      <c r="J94" s="720"/>
    </row>
    <row r="95" spans="1:10">
      <c r="A95" s="148"/>
      <c r="B95" s="117"/>
      <c r="C95" s="117"/>
      <c r="D95" s="150"/>
      <c r="E95" s="117"/>
      <c r="G95" s="720"/>
      <c r="H95" s="720"/>
      <c r="I95" s="720"/>
      <c r="J95" s="720"/>
    </row>
    <row r="96" spans="1:10">
      <c r="G96" s="720"/>
      <c r="H96" s="720"/>
      <c r="I96" s="720"/>
      <c r="J96" s="720"/>
    </row>
    <row r="97" spans="1:10">
      <c r="A97" s="148"/>
      <c r="B97" s="117"/>
      <c r="C97" s="117"/>
      <c r="D97" s="150"/>
      <c r="E97" s="117"/>
      <c r="G97" s="720"/>
      <c r="H97" s="720"/>
      <c r="I97" s="720"/>
      <c r="J97" s="720"/>
    </row>
    <row r="98" spans="1:10">
      <c r="A98" s="148"/>
      <c r="B98" s="117"/>
      <c r="C98" s="117"/>
      <c r="D98" s="150"/>
      <c r="E98" s="117"/>
      <c r="G98" s="720"/>
      <c r="H98" s="720"/>
      <c r="I98" s="720"/>
      <c r="J98" s="720"/>
    </row>
    <row r="99" spans="1:10">
      <c r="G99" s="720"/>
      <c r="H99" s="720"/>
      <c r="I99" s="720"/>
      <c r="J99" s="720"/>
    </row>
    <row r="100" spans="1:10">
      <c r="A100" s="148"/>
      <c r="B100" s="117"/>
      <c r="C100" s="149"/>
      <c r="D100" s="150"/>
      <c r="E100" s="117"/>
      <c r="G100" s="720"/>
      <c r="H100" s="720"/>
      <c r="I100" s="720"/>
      <c r="J100" s="720"/>
    </row>
    <row r="101" spans="1:10">
      <c r="A101" s="148"/>
      <c r="B101" s="145"/>
      <c r="C101" s="73"/>
      <c r="D101" s="150"/>
      <c r="E101" s="117"/>
      <c r="G101" s="720"/>
      <c r="H101" s="720"/>
      <c r="I101" s="720"/>
      <c r="J101" s="720"/>
    </row>
    <row r="102" spans="1:10">
      <c r="A102" s="10"/>
      <c r="B102" s="38"/>
      <c r="C102" s="38"/>
      <c r="D102" s="38"/>
      <c r="E102" s="38"/>
    </row>
    <row r="103" spans="1:10">
      <c r="A103" s="10"/>
      <c r="B103" s="38"/>
      <c r="C103" s="38"/>
      <c r="D103" s="38"/>
      <c r="E103" s="38"/>
    </row>
    <row r="104" spans="1:10">
      <c r="C104" s="38"/>
      <c r="D104" s="38"/>
      <c r="E104" s="38"/>
    </row>
    <row r="105" spans="1:10">
      <c r="A105" s="10"/>
      <c r="B105" s="38"/>
      <c r="C105" s="38"/>
      <c r="D105" s="38"/>
      <c r="E105" s="38"/>
    </row>
    <row r="106" spans="1:10">
      <c r="A106" s="10"/>
      <c r="B106" s="38"/>
      <c r="C106" s="38"/>
      <c r="D106" s="38"/>
      <c r="E106" s="38"/>
    </row>
    <row r="107" spans="1:10">
      <c r="A107" s="10"/>
      <c r="B107" s="38"/>
      <c r="C107" s="38"/>
      <c r="D107" s="38"/>
      <c r="E107" s="38"/>
    </row>
  </sheetData>
  <mergeCells count="2">
    <mergeCell ref="A1:E1"/>
    <mergeCell ref="F1:I1"/>
  </mergeCells>
  <phoneticPr fontId="46" type="noConversion"/>
  <pageMargins left="0.59055118110236204" right="0.511811023622047" top="0.511811023622047" bottom="0.511811023622047" header="0.25" footer="0"/>
  <pageSetup paperSize="141" firstPageNumber="52" orientation="portrait" useFirstPageNumber="1" r:id="rId1"/>
  <headerFooter>
    <oddFooter>&amp;C&amp;"Times New Roman,Regular"&amp;8&amp;P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4"/>
  <dimension ref="A1:R62"/>
  <sheetViews>
    <sheetView zoomScale="160" zoomScaleNormal="160" workbookViewId="0">
      <pane xSplit="1" ySplit="4" topLeftCell="B46" activePane="bottomRight" state="frozen"/>
      <selection pane="topRight" activeCell="C1" sqref="C1"/>
      <selection pane="bottomLeft" activeCell="A5" sqref="A5"/>
      <selection pane="bottomRight" activeCell="K51" sqref="K51"/>
    </sheetView>
  </sheetViews>
  <sheetFormatPr defaultColWidth="9.140625" defaultRowHeight="11.25"/>
  <cols>
    <col min="1" max="1" width="8.28515625" style="23" customWidth="1"/>
    <col min="2" max="2" width="8.28515625" style="10" customWidth="1"/>
    <col min="3" max="3" width="9.28515625" style="10" customWidth="1"/>
    <col min="4" max="4" width="7.140625" style="10" customWidth="1"/>
    <col min="5" max="5" width="9.7109375" style="10" customWidth="1"/>
    <col min="6" max="6" width="8.5703125" style="10" customWidth="1"/>
    <col min="7" max="7" width="8.140625" style="10" customWidth="1"/>
    <col min="8" max="8" width="7.85546875" style="10" customWidth="1"/>
    <col min="9" max="9" width="8.42578125" style="10" customWidth="1"/>
    <col min="10" max="10" width="9.5703125" style="10" customWidth="1"/>
    <col min="11" max="11" width="7.140625" style="10" customWidth="1"/>
    <col min="12" max="14" width="7.7109375" style="10" customWidth="1"/>
    <col min="15" max="15" width="9.7109375" style="10" customWidth="1"/>
    <col min="16" max="16" width="7.85546875" style="10" customWidth="1"/>
    <col min="17" max="17" width="12.5703125" style="10" customWidth="1"/>
    <col min="18" max="18" width="9" style="10" customWidth="1"/>
    <col min="19" max="16384" width="9.140625" style="10"/>
  </cols>
  <sheetData>
    <row r="1" spans="1:18" s="152" customFormat="1" ht="12.75" customHeight="1">
      <c r="A1" s="2065" t="s">
        <v>938</v>
      </c>
      <c r="B1" s="2065"/>
      <c r="C1" s="2065"/>
      <c r="D1" s="2065"/>
      <c r="E1" s="2065"/>
      <c r="F1" s="2065"/>
      <c r="G1" s="2065"/>
      <c r="H1" s="2065"/>
      <c r="I1" s="2065"/>
      <c r="J1" s="2064" t="s">
        <v>2351</v>
      </c>
      <c r="K1" s="2064"/>
      <c r="L1" s="2064"/>
      <c r="M1" s="2064"/>
      <c r="N1" s="2064"/>
      <c r="O1" s="2064"/>
      <c r="P1" s="2064"/>
      <c r="Q1" s="2066" t="s">
        <v>1853</v>
      </c>
      <c r="R1" s="2066"/>
    </row>
    <row r="2" spans="1:18" s="29" customFormat="1" ht="10.5" customHeight="1">
      <c r="B2" s="155"/>
      <c r="C2" s="155"/>
      <c r="D2" s="155"/>
      <c r="E2" s="155"/>
      <c r="F2" s="155"/>
      <c r="G2" s="155"/>
      <c r="J2" s="155"/>
      <c r="K2" s="155"/>
      <c r="L2" s="155"/>
      <c r="M2" s="155"/>
      <c r="N2" s="155"/>
      <c r="O2" s="155"/>
      <c r="P2" s="155"/>
      <c r="Q2" s="2070" t="s">
        <v>78</v>
      </c>
      <c r="R2" s="2070"/>
    </row>
    <row r="3" spans="1:18" s="154" customFormat="1" ht="12.75" customHeight="1">
      <c r="A3" s="2071" t="s">
        <v>758</v>
      </c>
      <c r="B3" s="2067" t="s">
        <v>2118</v>
      </c>
      <c r="C3" s="2068"/>
      <c r="D3" s="2068"/>
      <c r="E3" s="2068"/>
      <c r="F3" s="2068"/>
      <c r="G3" s="2068"/>
      <c r="H3" s="2068"/>
      <c r="I3" s="2068"/>
      <c r="J3" s="2068"/>
      <c r="K3" s="2068"/>
      <c r="L3" s="2068"/>
      <c r="M3" s="2068"/>
      <c r="N3" s="2068"/>
      <c r="O3" s="2068"/>
      <c r="P3" s="2068"/>
      <c r="Q3" s="2069"/>
      <c r="R3" s="2071" t="s">
        <v>1522</v>
      </c>
    </row>
    <row r="4" spans="1:18" s="103" customFormat="1" ht="39.75" customHeight="1">
      <c r="A4" s="2071"/>
      <c r="B4" s="27" t="s">
        <v>759</v>
      </c>
      <c r="C4" s="27" t="s">
        <v>290</v>
      </c>
      <c r="D4" s="27" t="s">
        <v>291</v>
      </c>
      <c r="E4" s="27" t="s">
        <v>116</v>
      </c>
      <c r="F4" s="1122" t="s">
        <v>2204</v>
      </c>
      <c r="G4" s="1122" t="s">
        <v>2203</v>
      </c>
      <c r="H4" s="27" t="s">
        <v>117</v>
      </c>
      <c r="I4" s="27" t="s">
        <v>788</v>
      </c>
      <c r="J4" s="1122" t="s">
        <v>2202</v>
      </c>
      <c r="K4" s="1122" t="s">
        <v>2205</v>
      </c>
      <c r="L4" s="1122" t="s">
        <v>2206</v>
      </c>
      <c r="M4" s="27" t="s">
        <v>119</v>
      </c>
      <c r="N4" s="27" t="s">
        <v>789</v>
      </c>
      <c r="O4" s="27" t="s">
        <v>298</v>
      </c>
      <c r="P4" s="27" t="s">
        <v>483</v>
      </c>
      <c r="Q4" s="27" t="s">
        <v>120</v>
      </c>
      <c r="R4" s="2071"/>
    </row>
    <row r="5" spans="1:18" s="254" customFormat="1" ht="12.95" customHeight="1">
      <c r="A5" s="533" t="s">
        <v>851</v>
      </c>
      <c r="B5" s="20">
        <v>23112.799999999999</v>
      </c>
      <c r="C5" s="1152" t="s">
        <v>505</v>
      </c>
      <c r="D5" s="20">
        <v>532.79999999999995</v>
      </c>
      <c r="E5" s="20">
        <v>1047</v>
      </c>
      <c r="F5" s="20">
        <v>676.5</v>
      </c>
      <c r="G5" s="20">
        <v>4810</v>
      </c>
      <c r="H5" s="20">
        <v>14.2</v>
      </c>
      <c r="I5" s="20">
        <v>1096.2</v>
      </c>
      <c r="J5" s="20">
        <v>3790.2</v>
      </c>
      <c r="K5" s="20">
        <v>27.2</v>
      </c>
      <c r="L5" s="20">
        <v>182.8</v>
      </c>
      <c r="M5" s="20">
        <v>3059.3</v>
      </c>
      <c r="N5" s="20">
        <v>1202.3</v>
      </c>
      <c r="O5" s="20" t="s">
        <v>505</v>
      </c>
      <c r="P5" s="20">
        <v>1603.4</v>
      </c>
      <c r="Q5" s="646">
        <f t="shared" ref="Q5:Q6" si="0">SUM(B5:P5)</f>
        <v>41154.700000000004</v>
      </c>
      <c r="R5" s="649" t="s">
        <v>851</v>
      </c>
    </row>
    <row r="6" spans="1:18" ht="12.95" customHeight="1">
      <c r="A6" s="494" t="s">
        <v>574</v>
      </c>
      <c r="B6" s="445">
        <v>41640.400000000001</v>
      </c>
      <c r="C6" s="493" t="s">
        <v>505</v>
      </c>
      <c r="D6" s="445">
        <v>2827.4</v>
      </c>
      <c r="E6" s="445">
        <v>1963.5</v>
      </c>
      <c r="F6" s="445">
        <v>1288.8</v>
      </c>
      <c r="G6" s="445">
        <v>7310.3</v>
      </c>
      <c r="H6" s="445">
        <v>24.6</v>
      </c>
      <c r="I6" s="445">
        <v>1443.4</v>
      </c>
      <c r="J6" s="445">
        <v>8494.4</v>
      </c>
      <c r="K6" s="445">
        <v>52.6</v>
      </c>
      <c r="L6" s="445">
        <v>697.9</v>
      </c>
      <c r="M6" s="445">
        <v>4116.8999999999996</v>
      </c>
      <c r="N6" s="445">
        <v>5192.1000000000004</v>
      </c>
      <c r="O6" s="445" t="s">
        <v>505</v>
      </c>
      <c r="P6" s="445">
        <v>3829.9</v>
      </c>
      <c r="Q6" s="445">
        <f t="shared" si="0"/>
        <v>78882.2</v>
      </c>
      <c r="R6" s="495" t="s">
        <v>574</v>
      </c>
    </row>
    <row r="7" spans="1:18" s="254" customFormat="1" ht="12.95" customHeight="1">
      <c r="A7" s="781" t="s">
        <v>114</v>
      </c>
      <c r="B7" s="40">
        <v>38682.199999999997</v>
      </c>
      <c r="C7" s="1152" t="s">
        <v>505</v>
      </c>
      <c r="D7" s="40">
        <v>4090.1</v>
      </c>
      <c r="E7" s="40">
        <v>3948</v>
      </c>
      <c r="F7" s="40">
        <v>2124.8000000000002</v>
      </c>
      <c r="G7" s="40">
        <v>16645.400000000001</v>
      </c>
      <c r="H7" s="40">
        <v>33.9</v>
      </c>
      <c r="I7" s="40">
        <v>3225.2</v>
      </c>
      <c r="J7" s="40">
        <v>11548.9</v>
      </c>
      <c r="K7" s="40">
        <v>108.8</v>
      </c>
      <c r="L7" s="40">
        <v>2849.6</v>
      </c>
      <c r="M7" s="40">
        <v>4337.5</v>
      </c>
      <c r="N7" s="40">
        <v>5548.6</v>
      </c>
      <c r="O7" s="40" t="s">
        <v>505</v>
      </c>
      <c r="P7" s="40">
        <v>7000.3</v>
      </c>
      <c r="Q7" s="40">
        <v>100143.30000000002</v>
      </c>
      <c r="R7" s="1153" t="s">
        <v>114</v>
      </c>
    </row>
    <row r="8" spans="1:18" s="143" customFormat="1" ht="12.95" customHeight="1">
      <c r="A8" s="654" t="s">
        <v>110</v>
      </c>
      <c r="B8" s="439">
        <v>64408.3</v>
      </c>
      <c r="C8" s="655">
        <v>28352.9</v>
      </c>
      <c r="D8" s="439">
        <v>2723.1</v>
      </c>
      <c r="E8" s="439">
        <v>9507.7999999999993</v>
      </c>
      <c r="F8" s="439">
        <v>4335.1000000000004</v>
      </c>
      <c r="G8" s="439">
        <v>30142.7</v>
      </c>
      <c r="H8" s="439">
        <v>61.1</v>
      </c>
      <c r="I8" s="439">
        <v>6098</v>
      </c>
      <c r="J8" s="439">
        <v>16282.4</v>
      </c>
      <c r="K8" s="439">
        <v>85.9</v>
      </c>
      <c r="L8" s="439">
        <v>2684.7</v>
      </c>
      <c r="M8" s="439">
        <v>5476.9</v>
      </c>
      <c r="N8" s="439">
        <v>10591.1</v>
      </c>
      <c r="O8" s="439">
        <v>31826.6</v>
      </c>
      <c r="P8" s="439">
        <v>15064.2</v>
      </c>
      <c r="Q8" s="439">
        <v>227640.80000000005</v>
      </c>
      <c r="R8" s="656" t="s">
        <v>110</v>
      </c>
    </row>
    <row r="9" spans="1:18" s="387" customFormat="1" ht="12.95" customHeight="1">
      <c r="A9" s="887" t="s">
        <v>253</v>
      </c>
      <c r="B9" s="394">
        <v>68061.899999999994</v>
      </c>
      <c r="C9" s="888">
        <v>28715.5</v>
      </c>
      <c r="D9" s="394">
        <v>3595.5</v>
      </c>
      <c r="E9" s="394">
        <v>12054.8</v>
      </c>
      <c r="F9" s="394">
        <v>5342</v>
      </c>
      <c r="G9" s="394">
        <v>28931.4</v>
      </c>
      <c r="H9" s="394">
        <v>79</v>
      </c>
      <c r="I9" s="394">
        <v>8229.2000000000007</v>
      </c>
      <c r="J9" s="394">
        <v>18080.8</v>
      </c>
      <c r="K9" s="394">
        <v>90.6</v>
      </c>
      <c r="L9" s="394">
        <v>1871.8</v>
      </c>
      <c r="M9" s="394">
        <v>7703</v>
      </c>
      <c r="N9" s="394">
        <v>14010.4</v>
      </c>
      <c r="O9" s="394">
        <v>22131.4</v>
      </c>
      <c r="P9" s="394">
        <v>13804.3</v>
      </c>
      <c r="Q9" s="394">
        <v>232701.59999999998</v>
      </c>
      <c r="R9" s="889" t="s">
        <v>253</v>
      </c>
    </row>
    <row r="10" spans="1:18" s="143" customFormat="1" ht="12.95" customHeight="1">
      <c r="A10" s="654" t="s">
        <v>1169</v>
      </c>
      <c r="B10" s="439">
        <v>51238.6</v>
      </c>
      <c r="C10" s="655">
        <v>18987.8</v>
      </c>
      <c r="D10" s="439">
        <v>3588.1</v>
      </c>
      <c r="E10" s="439">
        <v>8631.4</v>
      </c>
      <c r="F10" s="439">
        <v>5117.6000000000004</v>
      </c>
      <c r="G10" s="439">
        <v>24813</v>
      </c>
      <c r="H10" s="439">
        <v>49.8</v>
      </c>
      <c r="I10" s="439">
        <v>4585</v>
      </c>
      <c r="J10" s="439">
        <v>16465.8</v>
      </c>
      <c r="K10" s="439">
        <v>48.8</v>
      </c>
      <c r="L10" s="439">
        <v>1187.3</v>
      </c>
      <c r="M10" s="439">
        <v>8386.2999999999993</v>
      </c>
      <c r="N10" s="439">
        <v>10716.9</v>
      </c>
      <c r="O10" s="439">
        <v>28924.3</v>
      </c>
      <c r="P10" s="439">
        <v>10503.380000000001</v>
      </c>
      <c r="Q10" s="439">
        <v>193244.07999999996</v>
      </c>
      <c r="R10" s="656" t="s">
        <v>1169</v>
      </c>
    </row>
    <row r="11" spans="1:18" s="387" customFormat="1" ht="12.95" customHeight="1">
      <c r="A11" s="887" t="s">
        <v>1361</v>
      </c>
      <c r="B11" s="394">
        <v>41710.1</v>
      </c>
      <c r="C11" s="888">
        <v>16994.599999999999</v>
      </c>
      <c r="D11" s="394">
        <v>4130.8</v>
      </c>
      <c r="E11" s="394">
        <v>9567</v>
      </c>
      <c r="F11" s="394">
        <v>8581.6</v>
      </c>
      <c r="G11" s="394">
        <v>29036.7</v>
      </c>
      <c r="H11" s="394">
        <v>49.5</v>
      </c>
      <c r="I11" s="394">
        <v>6418.5</v>
      </c>
      <c r="J11" s="394">
        <v>19754.099999999999</v>
      </c>
      <c r="K11" s="394">
        <v>32.9</v>
      </c>
      <c r="L11" s="394">
        <v>954.1</v>
      </c>
      <c r="M11" s="394">
        <v>9156.1</v>
      </c>
      <c r="N11" s="394">
        <v>10675.2</v>
      </c>
      <c r="O11" s="394">
        <v>27168.2</v>
      </c>
      <c r="P11" s="394">
        <v>13513.613000000001</v>
      </c>
      <c r="Q11" s="394">
        <v>197743.01300000004</v>
      </c>
      <c r="R11" s="889" t="s">
        <v>1361</v>
      </c>
    </row>
    <row r="12" spans="1:18" s="252" customFormat="1" ht="12.95" customHeight="1">
      <c r="A12" s="1192" t="s">
        <v>1693</v>
      </c>
      <c r="B12" s="445">
        <v>39281.1</v>
      </c>
      <c r="C12" s="445">
        <v>15318.1</v>
      </c>
      <c r="D12" s="445">
        <v>3431.1</v>
      </c>
      <c r="E12" s="445">
        <v>9860.7000000000007</v>
      </c>
      <c r="F12" s="445">
        <v>18418.5</v>
      </c>
      <c r="G12" s="445">
        <v>29365.5</v>
      </c>
      <c r="H12" s="445">
        <v>66.900000000000006</v>
      </c>
      <c r="I12" s="445">
        <v>8245.7999999999993</v>
      </c>
      <c r="J12" s="445">
        <v>30676.799999999999</v>
      </c>
      <c r="K12" s="445">
        <v>50.9</v>
      </c>
      <c r="L12" s="445">
        <v>1002.3</v>
      </c>
      <c r="M12" s="445">
        <v>15672.4</v>
      </c>
      <c r="N12" s="445">
        <v>9972.4</v>
      </c>
      <c r="O12" s="445">
        <v>43364.9</v>
      </c>
      <c r="P12" s="445">
        <v>13898.900999999998</v>
      </c>
      <c r="Q12" s="445">
        <v>238626.30099999998</v>
      </c>
      <c r="R12" s="1193" t="s">
        <v>1693</v>
      </c>
    </row>
    <row r="13" spans="1:18" s="252" customFormat="1" ht="12.95" customHeight="1">
      <c r="A13" s="825" t="s">
        <v>1795</v>
      </c>
      <c r="B13" s="394">
        <v>36607.300000000003</v>
      </c>
      <c r="C13" s="394">
        <v>15119.2</v>
      </c>
      <c r="D13" s="394">
        <v>2884.8</v>
      </c>
      <c r="E13" s="394">
        <v>13566.4</v>
      </c>
      <c r="F13" s="394">
        <v>23673.8</v>
      </c>
      <c r="G13" s="394">
        <v>38616.1</v>
      </c>
      <c r="H13" s="394">
        <v>71.099999999999994</v>
      </c>
      <c r="I13" s="394">
        <v>9181.1</v>
      </c>
      <c r="J13" s="394">
        <v>38646.1</v>
      </c>
      <c r="K13" s="394">
        <v>256.60000000000002</v>
      </c>
      <c r="L13" s="394">
        <v>2095.3000000000002</v>
      </c>
      <c r="M13" s="394">
        <v>19413.8</v>
      </c>
      <c r="N13" s="394">
        <v>7528.3</v>
      </c>
      <c r="O13" s="394">
        <v>46505.8</v>
      </c>
      <c r="P13" s="394">
        <v>16021.86</v>
      </c>
      <c r="Q13" s="394">
        <v>270187.56</v>
      </c>
      <c r="R13" s="812" t="s">
        <v>1795</v>
      </c>
    </row>
    <row r="14" spans="1:18" s="680" customFormat="1" ht="12.95" customHeight="1">
      <c r="A14" s="826" t="s">
        <v>1996</v>
      </c>
      <c r="B14" s="517">
        <v>39555.603000000003</v>
      </c>
      <c r="C14" s="517">
        <v>14567.243</v>
      </c>
      <c r="D14" s="517">
        <v>3028.4430000000002</v>
      </c>
      <c r="E14" s="517">
        <v>15529.823</v>
      </c>
      <c r="F14" s="517">
        <v>24410.638999999999</v>
      </c>
      <c r="G14" s="517">
        <v>35133.678</v>
      </c>
      <c r="H14" s="517">
        <v>79.346999999999994</v>
      </c>
      <c r="I14" s="517">
        <v>8184.8909999999996</v>
      </c>
      <c r="J14" s="517">
        <v>43424.767999999996</v>
      </c>
      <c r="K14" s="517">
        <v>150.286</v>
      </c>
      <c r="L14" s="517">
        <v>1834.0039999999999</v>
      </c>
      <c r="M14" s="517">
        <v>14872.710999999999</v>
      </c>
      <c r="N14" s="517">
        <v>7141.9579999999996</v>
      </c>
      <c r="O14" s="517">
        <v>36209.4</v>
      </c>
      <c r="P14" s="517">
        <v>17324.168000000005</v>
      </c>
      <c r="Q14" s="517">
        <v>261446.962</v>
      </c>
      <c r="R14" s="827" t="s">
        <v>1996</v>
      </c>
    </row>
    <row r="15" spans="1:18" s="252" customFormat="1" ht="12.95" customHeight="1">
      <c r="A15" s="948" t="s">
        <v>2092</v>
      </c>
      <c r="B15" s="530">
        <f>B27</f>
        <v>56058.838000000003</v>
      </c>
      <c r="C15" s="530">
        <f t="shared" ref="C15:Q15" si="1">C27</f>
        <v>23379.762999999999</v>
      </c>
      <c r="D15" s="530">
        <f t="shared" si="1"/>
        <v>4250.0659999999998</v>
      </c>
      <c r="E15" s="530">
        <f t="shared" si="1"/>
        <v>19062.416000000001</v>
      </c>
      <c r="F15" s="530">
        <f t="shared" si="1"/>
        <v>24719.441999999999</v>
      </c>
      <c r="G15" s="530">
        <f t="shared" si="1"/>
        <v>40486.985999999997</v>
      </c>
      <c r="H15" s="530">
        <f t="shared" si="1"/>
        <v>154.69</v>
      </c>
      <c r="I15" s="530">
        <f t="shared" si="1"/>
        <v>12634.067999999999</v>
      </c>
      <c r="J15" s="530">
        <f t="shared" si="1"/>
        <v>50185.283000000003</v>
      </c>
      <c r="K15" s="530">
        <f t="shared" si="1"/>
        <v>192.57</v>
      </c>
      <c r="L15" s="530">
        <f t="shared" si="1"/>
        <v>2533.12</v>
      </c>
      <c r="M15" s="530">
        <f t="shared" si="1"/>
        <v>13144.56</v>
      </c>
      <c r="N15" s="530">
        <f t="shared" si="1"/>
        <v>8648.9599999999991</v>
      </c>
      <c r="O15" s="530">
        <f t="shared" si="1"/>
        <v>48484.847999999998</v>
      </c>
      <c r="P15" s="530">
        <f t="shared" si="1"/>
        <v>20005.729999999996</v>
      </c>
      <c r="Q15" s="530">
        <f t="shared" si="1"/>
        <v>323941.33999999997</v>
      </c>
      <c r="R15" s="857" t="s">
        <v>2092</v>
      </c>
    </row>
    <row r="16" spans="1:18" s="680" customFormat="1" ht="12.95" customHeight="1">
      <c r="A16" s="838" t="s">
        <v>843</v>
      </c>
      <c r="B16" s="982">
        <v>41602.769999999997</v>
      </c>
      <c r="C16" s="982">
        <v>14249.442999999999</v>
      </c>
      <c r="D16" s="982">
        <v>3085.6770000000001</v>
      </c>
      <c r="E16" s="982">
        <v>15887.865</v>
      </c>
      <c r="F16" s="982">
        <v>23983.731</v>
      </c>
      <c r="G16" s="982">
        <v>34968.375</v>
      </c>
      <c r="H16" s="982">
        <v>99.575000000000003</v>
      </c>
      <c r="I16" s="982">
        <v>8135.4930000000004</v>
      </c>
      <c r="J16" s="982">
        <v>42977.13</v>
      </c>
      <c r="K16" s="982">
        <v>168.39500000000001</v>
      </c>
      <c r="L16" s="982">
        <v>1719.5119999999999</v>
      </c>
      <c r="M16" s="982">
        <v>13980.825000000001</v>
      </c>
      <c r="N16" s="982">
        <v>6993.1030000000001</v>
      </c>
      <c r="O16" s="982">
        <v>39113.165999999997</v>
      </c>
      <c r="P16" s="982">
        <f>2333.974+2295.216+883.892+1886.303+8791.286+591.386</f>
        <v>16782.057000000001</v>
      </c>
      <c r="Q16" s="982">
        <f t="shared" ref="Q16:Q40" si="2">SUM(B16:P16)</f>
        <v>263747.11699999997</v>
      </c>
      <c r="R16" s="839" t="s">
        <v>843</v>
      </c>
    </row>
    <row r="17" spans="1:18" s="252" customFormat="1" ht="12.95" customHeight="1">
      <c r="A17" s="825" t="s">
        <v>844</v>
      </c>
      <c r="B17" s="1003">
        <v>41731.088000000003</v>
      </c>
      <c r="C17" s="1003">
        <v>14394.69</v>
      </c>
      <c r="D17" s="1003">
        <v>2976.152</v>
      </c>
      <c r="E17" s="1003">
        <v>16608.080999999998</v>
      </c>
      <c r="F17" s="1003">
        <v>22158.175999999999</v>
      </c>
      <c r="G17" s="1003">
        <v>35403.733</v>
      </c>
      <c r="H17" s="1003">
        <v>105.68899999999999</v>
      </c>
      <c r="I17" s="1003">
        <v>8311.2559999999994</v>
      </c>
      <c r="J17" s="1003">
        <v>42183.438999999998</v>
      </c>
      <c r="K17" s="1003">
        <v>165.23699999999999</v>
      </c>
      <c r="L17" s="1003">
        <v>1840.33</v>
      </c>
      <c r="M17" s="1003">
        <v>14711.217000000001</v>
      </c>
      <c r="N17" s="1003">
        <v>7018.442</v>
      </c>
      <c r="O17" s="1003">
        <v>37451.675999999999</v>
      </c>
      <c r="P17" s="1003">
        <f>2326.452+2280.291+908.36+1872.769+588.029+8857.847</f>
        <v>16833.748</v>
      </c>
      <c r="Q17" s="1003">
        <f t="shared" si="2"/>
        <v>261892.954</v>
      </c>
      <c r="R17" s="812" t="s">
        <v>844</v>
      </c>
    </row>
    <row r="18" spans="1:18" s="680" customFormat="1" ht="12.95" customHeight="1">
      <c r="A18" s="838" t="s">
        <v>838</v>
      </c>
      <c r="B18" s="982">
        <v>44183.584000000003</v>
      </c>
      <c r="C18" s="982">
        <v>15320.971</v>
      </c>
      <c r="D18" s="982">
        <v>3118.1860000000001</v>
      </c>
      <c r="E18" s="982">
        <v>17231.553</v>
      </c>
      <c r="F18" s="982">
        <v>22626.963</v>
      </c>
      <c r="G18" s="982">
        <v>36188.5</v>
      </c>
      <c r="H18" s="982">
        <v>105.461</v>
      </c>
      <c r="I18" s="982">
        <v>8698.6919999999991</v>
      </c>
      <c r="J18" s="982">
        <v>42683.767999999996</v>
      </c>
      <c r="K18" s="982">
        <v>162.547</v>
      </c>
      <c r="L18" s="982">
        <v>1879.2239999999999</v>
      </c>
      <c r="M18" s="982">
        <v>15129.206</v>
      </c>
      <c r="N18" s="982">
        <v>7481.7389999999996</v>
      </c>
      <c r="O18" s="982">
        <v>38475.923000000003</v>
      </c>
      <c r="P18" s="982">
        <f>2404.752+2264.627+966.719+1928.608+9358.207+598.635</f>
        <v>17521.547999999999</v>
      </c>
      <c r="Q18" s="982">
        <f t="shared" si="2"/>
        <v>270807.86499999999</v>
      </c>
      <c r="R18" s="839" t="s">
        <v>838</v>
      </c>
    </row>
    <row r="19" spans="1:18" s="252" customFormat="1" ht="12.95" customHeight="1">
      <c r="A19" s="825" t="s">
        <v>845</v>
      </c>
      <c r="B19" s="1003">
        <v>43914.542000000001</v>
      </c>
      <c r="C19" s="1003">
        <v>14233.71</v>
      </c>
      <c r="D19" s="1003">
        <v>2996.2890000000002</v>
      </c>
      <c r="E19" s="1003">
        <v>15596.311</v>
      </c>
      <c r="F19" s="1003">
        <v>22860.149000000001</v>
      </c>
      <c r="G19" s="1003">
        <v>36349.629999999997</v>
      </c>
      <c r="H19" s="1003">
        <v>104.206</v>
      </c>
      <c r="I19" s="1003">
        <v>8606.9130000000005</v>
      </c>
      <c r="J19" s="1003">
        <v>41622.756999999998</v>
      </c>
      <c r="K19" s="1003">
        <v>136.47999999999999</v>
      </c>
      <c r="L19" s="1003">
        <v>1861.9590000000001</v>
      </c>
      <c r="M19" s="1003">
        <v>14492.208000000001</v>
      </c>
      <c r="N19" s="1003">
        <v>7461.826</v>
      </c>
      <c r="O19" s="1003">
        <v>38834.432999999997</v>
      </c>
      <c r="P19" s="1003">
        <f>2276.152+2678.19+1046.716+1831.425+9048.298+597.912</f>
        <v>17478.693000000003</v>
      </c>
      <c r="Q19" s="1003">
        <f t="shared" si="2"/>
        <v>266550.10600000003</v>
      </c>
      <c r="R19" s="812" t="s">
        <v>845</v>
      </c>
    </row>
    <row r="20" spans="1:18" s="252" customFormat="1" ht="12.95" customHeight="1">
      <c r="A20" s="838" t="s">
        <v>846</v>
      </c>
      <c r="B20" s="982">
        <v>46169.417999999998</v>
      </c>
      <c r="C20" s="982">
        <v>15086.673000000001</v>
      </c>
      <c r="D20" s="982">
        <v>3118.3110000000001</v>
      </c>
      <c r="E20" s="982">
        <v>16150.496999999999</v>
      </c>
      <c r="F20" s="982">
        <v>22840.684000000001</v>
      </c>
      <c r="G20" s="982">
        <v>36050.911</v>
      </c>
      <c r="H20" s="982">
        <v>98.921000000000006</v>
      </c>
      <c r="I20" s="982">
        <v>8994.7129999999997</v>
      </c>
      <c r="J20" s="982">
        <v>42063.870999999999</v>
      </c>
      <c r="K20" s="982">
        <v>156.84</v>
      </c>
      <c r="L20" s="982">
        <v>1911.5329999999999</v>
      </c>
      <c r="M20" s="982">
        <v>14861.933999999999</v>
      </c>
      <c r="N20" s="982">
        <v>8166.741</v>
      </c>
      <c r="O20" s="982">
        <v>40208.44</v>
      </c>
      <c r="P20" s="982">
        <f>2531.071+2756.052+1121.209+1971.973+9693.453+597.811</f>
        <v>18671.569000000003</v>
      </c>
      <c r="Q20" s="982">
        <f t="shared" si="2"/>
        <v>274551.05600000004</v>
      </c>
      <c r="R20" s="839" t="s">
        <v>846</v>
      </c>
    </row>
    <row r="21" spans="1:18" s="252" customFormat="1" ht="12.95" customHeight="1">
      <c r="A21" s="825" t="s">
        <v>839</v>
      </c>
      <c r="B21" s="1003">
        <v>48406.834000000003</v>
      </c>
      <c r="C21" s="1003">
        <v>16099.031999999999</v>
      </c>
      <c r="D21" s="1003">
        <v>3507.8879999999999</v>
      </c>
      <c r="E21" s="1003">
        <v>17911.521000000001</v>
      </c>
      <c r="F21" s="1003">
        <v>23407.384999999998</v>
      </c>
      <c r="G21" s="1003">
        <v>36027.124000000003</v>
      </c>
      <c r="H21" s="1003">
        <v>98.399000000000001</v>
      </c>
      <c r="I21" s="1003">
        <v>10491.151</v>
      </c>
      <c r="J21" s="1003">
        <v>43371.247000000003</v>
      </c>
      <c r="K21" s="1003">
        <v>162.108</v>
      </c>
      <c r="L21" s="1003">
        <v>2266.3649999999998</v>
      </c>
      <c r="M21" s="1003">
        <v>15699.39</v>
      </c>
      <c r="N21" s="1003">
        <v>8455.3150000000005</v>
      </c>
      <c r="O21" s="1003">
        <v>40317.803</v>
      </c>
      <c r="P21" s="1003">
        <f>2572.684+2689.548+1179.382+2504.057+9792.737+589.558</f>
        <v>19327.965999999997</v>
      </c>
      <c r="Q21" s="1003">
        <f t="shared" si="2"/>
        <v>285549.52800000005</v>
      </c>
      <c r="R21" s="812" t="s">
        <v>839</v>
      </c>
    </row>
    <row r="22" spans="1:18" s="252" customFormat="1" ht="12.95" customHeight="1">
      <c r="A22" s="838" t="s">
        <v>847</v>
      </c>
      <c r="B22" s="982">
        <v>56937.194000000003</v>
      </c>
      <c r="C22" s="982">
        <v>21781.723000000002</v>
      </c>
      <c r="D22" s="982">
        <v>4016.1149999999998</v>
      </c>
      <c r="E22" s="982">
        <v>18825.409</v>
      </c>
      <c r="F22" s="982">
        <v>23313.752</v>
      </c>
      <c r="G22" s="982">
        <v>39023.131000000001</v>
      </c>
      <c r="H22" s="982">
        <v>112.499</v>
      </c>
      <c r="I22" s="982">
        <v>10967.084000000001</v>
      </c>
      <c r="J22" s="982">
        <v>46080.976000000002</v>
      </c>
      <c r="K22" s="982">
        <v>153.37299999999999</v>
      </c>
      <c r="L22" s="982">
        <v>2352.75</v>
      </c>
      <c r="M22" s="982">
        <v>15962.299000000001</v>
      </c>
      <c r="N22" s="982">
        <v>9116.2559999999994</v>
      </c>
      <c r="O22" s="982">
        <v>42758.334000000003</v>
      </c>
      <c r="P22" s="982">
        <f>2782.571+2735.402+1199.404+2573.456+10540.371+601.891</f>
        <v>20433.094999999998</v>
      </c>
      <c r="Q22" s="982">
        <f t="shared" si="2"/>
        <v>311833.99</v>
      </c>
      <c r="R22" s="839" t="s">
        <v>847</v>
      </c>
    </row>
    <row r="23" spans="1:18" s="252" customFormat="1" ht="12.95" customHeight="1">
      <c r="A23" s="825" t="s">
        <v>848</v>
      </c>
      <c r="B23" s="1003">
        <v>56280.339</v>
      </c>
      <c r="C23" s="1003">
        <v>23013.555</v>
      </c>
      <c r="D23" s="1003">
        <v>3986.241</v>
      </c>
      <c r="E23" s="1003">
        <v>19735.266</v>
      </c>
      <c r="F23" s="1003">
        <v>23422.162</v>
      </c>
      <c r="G23" s="1003">
        <v>40310.35</v>
      </c>
      <c r="H23" s="1003">
        <v>113.357</v>
      </c>
      <c r="I23" s="1003">
        <v>11847.234</v>
      </c>
      <c r="J23" s="1003">
        <v>47640.362000000001</v>
      </c>
      <c r="K23" s="1003">
        <v>159.26300000000001</v>
      </c>
      <c r="L23" s="1003">
        <v>2285.9569999999999</v>
      </c>
      <c r="M23" s="1003">
        <v>15917.878000000001</v>
      </c>
      <c r="N23" s="1003">
        <v>9176.6869999999999</v>
      </c>
      <c r="O23" s="1003">
        <v>43760.853999999999</v>
      </c>
      <c r="P23" s="1003">
        <f>2693.904+2835.526+1225.452+2572.26+10724.666+616.216</f>
        <v>20668.023999999998</v>
      </c>
      <c r="Q23" s="1003">
        <f t="shared" si="2"/>
        <v>318317.52899999998</v>
      </c>
      <c r="R23" s="812" t="s">
        <v>848</v>
      </c>
    </row>
    <row r="24" spans="1:18" s="252" customFormat="1" ht="12.95" customHeight="1">
      <c r="A24" s="838" t="s">
        <v>840</v>
      </c>
      <c r="B24" s="982">
        <v>59415.086000000003</v>
      </c>
      <c r="C24" s="982">
        <v>25158.741999999998</v>
      </c>
      <c r="D24" s="982">
        <v>4089.248</v>
      </c>
      <c r="E24" s="982">
        <v>19753.388999999999</v>
      </c>
      <c r="F24" s="982">
        <v>22483.541000000001</v>
      </c>
      <c r="G24" s="982">
        <v>38895.019999999997</v>
      </c>
      <c r="H24" s="982">
        <v>118.398</v>
      </c>
      <c r="I24" s="982">
        <v>12260.852000000001</v>
      </c>
      <c r="J24" s="982">
        <v>48594.22</v>
      </c>
      <c r="K24" s="982">
        <v>160.65199999999999</v>
      </c>
      <c r="L24" s="982">
        <v>2676.779</v>
      </c>
      <c r="M24" s="982">
        <v>14715.7</v>
      </c>
      <c r="N24" s="982">
        <v>9234.4249999999993</v>
      </c>
      <c r="O24" s="982">
        <v>46865.205000000002</v>
      </c>
      <c r="P24" s="982">
        <f>2687.152+2708.53+1168.121+2530.786+10468.361+598.29</f>
        <v>20161.240000000002</v>
      </c>
      <c r="Q24" s="982">
        <f t="shared" si="2"/>
        <v>324582.49700000003</v>
      </c>
      <c r="R24" s="839" t="s">
        <v>840</v>
      </c>
    </row>
    <row r="25" spans="1:18" s="252" customFormat="1" ht="12.95" customHeight="1">
      <c r="A25" s="825" t="s">
        <v>849</v>
      </c>
      <c r="B25" s="1003">
        <v>53216.027999999998</v>
      </c>
      <c r="C25" s="1003">
        <v>24170.851999999999</v>
      </c>
      <c r="D25" s="1003">
        <v>4100.3190000000004</v>
      </c>
      <c r="E25" s="1003">
        <v>18392.705000000002</v>
      </c>
      <c r="F25" s="1003">
        <v>22882.133999999998</v>
      </c>
      <c r="G25" s="1003">
        <v>38462.296000000002</v>
      </c>
      <c r="H25" s="1003">
        <v>135.108</v>
      </c>
      <c r="I25" s="1003">
        <v>11856.964</v>
      </c>
      <c r="J25" s="1003">
        <v>48926.180999999997</v>
      </c>
      <c r="K25" s="1003">
        <v>155.80099999999999</v>
      </c>
      <c r="L25" s="1003">
        <v>2495.63</v>
      </c>
      <c r="M25" s="1003">
        <v>13710.929</v>
      </c>
      <c r="N25" s="1003">
        <v>8684.777</v>
      </c>
      <c r="O25" s="1003">
        <v>47573.24</v>
      </c>
      <c r="P25" s="1003">
        <f>2537.829+2714.361+1268.745+2390.251+10375.2+568.365</f>
        <v>19854.751000000004</v>
      </c>
      <c r="Q25" s="1003">
        <f t="shared" si="2"/>
        <v>314617.71500000003</v>
      </c>
      <c r="R25" s="812" t="s">
        <v>849</v>
      </c>
    </row>
    <row r="26" spans="1:18" s="252" customFormat="1" ht="12.95" customHeight="1">
      <c r="A26" s="838" t="s">
        <v>850</v>
      </c>
      <c r="B26" s="982">
        <v>51905.248</v>
      </c>
      <c r="C26" s="982">
        <v>23073.736000000001</v>
      </c>
      <c r="D26" s="982">
        <v>4130.9309999999996</v>
      </c>
      <c r="E26" s="982">
        <v>18477.596000000001</v>
      </c>
      <c r="F26" s="982">
        <v>24138.337</v>
      </c>
      <c r="G26" s="982">
        <v>39436.394999999997</v>
      </c>
      <c r="H26" s="982">
        <v>164.06899999999999</v>
      </c>
      <c r="I26" s="982">
        <v>11762.769</v>
      </c>
      <c r="J26" s="982">
        <v>48703.023999999998</v>
      </c>
      <c r="K26" s="982">
        <v>161.834</v>
      </c>
      <c r="L26" s="982">
        <v>2442.5700000000002</v>
      </c>
      <c r="M26" s="982">
        <v>13272.418</v>
      </c>
      <c r="N26" s="982">
        <v>8238.0709999999999</v>
      </c>
      <c r="O26" s="982">
        <v>46305.510999999999</v>
      </c>
      <c r="P26" s="982">
        <f>2478.729+2725.754+1298.632+2318.398+10237.789+578.4</f>
        <v>19637.702000000001</v>
      </c>
      <c r="Q26" s="982">
        <f t="shared" si="2"/>
        <v>311850.21099999995</v>
      </c>
      <c r="R26" s="839" t="s">
        <v>850</v>
      </c>
    </row>
    <row r="27" spans="1:18" s="252" customFormat="1" ht="12.95" customHeight="1">
      <c r="A27" s="825" t="s">
        <v>841</v>
      </c>
      <c r="B27" s="1003">
        <v>56058.838000000003</v>
      </c>
      <c r="C27" s="1003">
        <v>23379.762999999999</v>
      </c>
      <c r="D27" s="1003">
        <v>4250.0659999999998</v>
      </c>
      <c r="E27" s="1003">
        <v>19062.416000000001</v>
      </c>
      <c r="F27" s="1003">
        <v>24719.441999999999</v>
      </c>
      <c r="G27" s="1003">
        <v>40486.985999999997</v>
      </c>
      <c r="H27" s="1003">
        <v>154.69</v>
      </c>
      <c r="I27" s="1003">
        <v>12634.067999999999</v>
      </c>
      <c r="J27" s="1003">
        <v>50185.283000000003</v>
      </c>
      <c r="K27" s="1003">
        <v>192.57</v>
      </c>
      <c r="L27" s="1003">
        <v>2533.12</v>
      </c>
      <c r="M27" s="1003">
        <v>13144.56</v>
      </c>
      <c r="N27" s="1003">
        <v>8648.9599999999991</v>
      </c>
      <c r="O27" s="1003">
        <v>48484.847999999998</v>
      </c>
      <c r="P27" s="1003">
        <f>2621.299+2743.43+1359.394+2497.695+10193.346+590.566</f>
        <v>20005.729999999996</v>
      </c>
      <c r="Q27" s="1003">
        <f t="shared" si="2"/>
        <v>323941.33999999997</v>
      </c>
      <c r="R27" s="812" t="s">
        <v>841</v>
      </c>
    </row>
    <row r="28" spans="1:18" s="252" customFormat="1" ht="12.95" customHeight="1">
      <c r="A28" s="826" t="s">
        <v>2320</v>
      </c>
      <c r="B28" s="517">
        <f>B40</f>
        <v>56693.462</v>
      </c>
      <c r="C28" s="517">
        <f t="shared" ref="C28:Q28" si="3">C40</f>
        <v>21015.174999999999</v>
      </c>
      <c r="D28" s="517">
        <f t="shared" si="3"/>
        <v>4080.9349999999999</v>
      </c>
      <c r="E28" s="517">
        <f t="shared" si="3"/>
        <v>19059.028999999999</v>
      </c>
      <c r="F28" s="517">
        <f t="shared" si="3"/>
        <v>27614.215</v>
      </c>
      <c r="G28" s="517">
        <f t="shared" si="3"/>
        <v>39752.845000000001</v>
      </c>
      <c r="H28" s="517">
        <f t="shared" si="3"/>
        <v>194.55099999999999</v>
      </c>
      <c r="I28" s="517">
        <f t="shared" si="3"/>
        <v>11658.181</v>
      </c>
      <c r="J28" s="517">
        <f t="shared" si="3"/>
        <v>52211.76</v>
      </c>
      <c r="K28" s="517">
        <f t="shared" si="3"/>
        <v>215.678</v>
      </c>
      <c r="L28" s="517">
        <f t="shared" si="3"/>
        <v>1912.181</v>
      </c>
      <c r="M28" s="517">
        <f t="shared" si="3"/>
        <v>11754.666999999999</v>
      </c>
      <c r="N28" s="517">
        <f t="shared" si="3"/>
        <v>8559.2569999999996</v>
      </c>
      <c r="O28" s="517">
        <f t="shared" si="3"/>
        <v>54210.046000000002</v>
      </c>
      <c r="P28" s="517">
        <f t="shared" si="3"/>
        <v>17379.812999999998</v>
      </c>
      <c r="Q28" s="517">
        <f t="shared" si="3"/>
        <v>326311.7950000001</v>
      </c>
      <c r="R28" s="827" t="s">
        <v>2320</v>
      </c>
    </row>
    <row r="29" spans="1:18" s="252" customFormat="1" ht="12.95" customHeight="1">
      <c r="A29" s="825" t="s">
        <v>843</v>
      </c>
      <c r="B29" s="1003">
        <v>62267.713000000003</v>
      </c>
      <c r="C29" s="1003">
        <v>25487.59</v>
      </c>
      <c r="D29" s="1003">
        <v>4351.5110000000004</v>
      </c>
      <c r="E29" s="1003">
        <v>20689.066999999999</v>
      </c>
      <c r="F29" s="1003">
        <v>26176.550999999999</v>
      </c>
      <c r="G29" s="1003">
        <v>40381.881000000001</v>
      </c>
      <c r="H29" s="1003">
        <v>167.154</v>
      </c>
      <c r="I29" s="1003">
        <v>12800.245000000001</v>
      </c>
      <c r="J29" s="1003">
        <v>49694.307000000001</v>
      </c>
      <c r="K29" s="1003">
        <v>227.834</v>
      </c>
      <c r="L29" s="1003">
        <v>2594.4870000000001</v>
      </c>
      <c r="M29" s="1003">
        <v>13091.636</v>
      </c>
      <c r="N29" s="1003">
        <v>8863.33</v>
      </c>
      <c r="O29" s="1003">
        <v>53267.275999999998</v>
      </c>
      <c r="P29" s="1003">
        <f>2692.549+2920.929+1401.151+2537.557+10341.857+575.115</f>
        <v>20469.157999999999</v>
      </c>
      <c r="Q29" s="1003">
        <f t="shared" si="2"/>
        <v>340529.74</v>
      </c>
      <c r="R29" s="812" t="s">
        <v>843</v>
      </c>
    </row>
    <row r="30" spans="1:18" s="252" customFormat="1" ht="12.95" customHeight="1">
      <c r="A30" s="838" t="s">
        <v>844</v>
      </c>
      <c r="B30" s="982">
        <v>67853.076000000001</v>
      </c>
      <c r="C30" s="982">
        <v>25205.355</v>
      </c>
      <c r="D30" s="982">
        <v>4326.7110000000002</v>
      </c>
      <c r="E30" s="982">
        <v>21500.99</v>
      </c>
      <c r="F30" s="982">
        <v>25829.133000000002</v>
      </c>
      <c r="G30" s="982">
        <v>39952.578999999998</v>
      </c>
      <c r="H30" s="982">
        <v>195.30199999999999</v>
      </c>
      <c r="I30" s="982">
        <v>12796.721</v>
      </c>
      <c r="J30" s="982">
        <v>49881.281000000003</v>
      </c>
      <c r="K30" s="982">
        <v>224.626</v>
      </c>
      <c r="L30" s="982">
        <v>2632.7530000000002</v>
      </c>
      <c r="M30" s="982">
        <v>12653.933000000001</v>
      </c>
      <c r="N30" s="982">
        <v>8776.973</v>
      </c>
      <c r="O30" s="982">
        <v>54548.627</v>
      </c>
      <c r="P30" s="982">
        <f>2846.087+2904.507+1397.87+2543.191+10046.746+589.516</f>
        <v>20327.916999999998</v>
      </c>
      <c r="Q30" s="982">
        <f t="shared" si="2"/>
        <v>346705.97699999996</v>
      </c>
      <c r="R30" s="839" t="s">
        <v>844</v>
      </c>
    </row>
    <row r="31" spans="1:18" s="252" customFormat="1" ht="12.95" customHeight="1">
      <c r="A31" s="825" t="s">
        <v>838</v>
      </c>
      <c r="B31" s="1003">
        <v>72373.622000000003</v>
      </c>
      <c r="C31" s="1003">
        <v>25223.624</v>
      </c>
      <c r="D31" s="1003">
        <v>4318.875</v>
      </c>
      <c r="E31" s="1003">
        <v>19987.23</v>
      </c>
      <c r="F31" s="1003">
        <v>25565.919000000002</v>
      </c>
      <c r="G31" s="1003">
        <v>38501.330999999998</v>
      </c>
      <c r="H31" s="1003">
        <v>175.62799999999999</v>
      </c>
      <c r="I31" s="1003">
        <v>11993.13</v>
      </c>
      <c r="J31" s="1003">
        <v>51212.913</v>
      </c>
      <c r="K31" s="1003">
        <v>243.38900000000001</v>
      </c>
      <c r="L31" s="1003">
        <v>2432.2489999999998</v>
      </c>
      <c r="M31" s="1003">
        <v>12806.898999999999</v>
      </c>
      <c r="N31" s="1003">
        <v>9292.7389999999996</v>
      </c>
      <c r="O31" s="1003">
        <v>57967.777000000002</v>
      </c>
      <c r="P31" s="1003">
        <f>2750.362+2781.868+2348.86+9775.559+592.516+1338.404</f>
        <v>19587.568999999996</v>
      </c>
      <c r="Q31" s="1003">
        <f t="shared" si="2"/>
        <v>351682.89400000003</v>
      </c>
      <c r="R31" s="812" t="s">
        <v>838</v>
      </c>
    </row>
    <row r="32" spans="1:18" s="252" customFormat="1" ht="12.95" customHeight="1">
      <c r="A32" s="838" t="s">
        <v>845</v>
      </c>
      <c r="B32" s="982">
        <v>71833.820000000007</v>
      </c>
      <c r="C32" s="982">
        <v>25721.976999999999</v>
      </c>
      <c r="D32" s="982">
        <v>4272.2749999999996</v>
      </c>
      <c r="E32" s="982">
        <v>19471.723999999998</v>
      </c>
      <c r="F32" s="982">
        <v>25917.118999999999</v>
      </c>
      <c r="G32" s="982">
        <v>38340.163</v>
      </c>
      <c r="H32" s="982">
        <v>159.364</v>
      </c>
      <c r="I32" s="982">
        <v>11765.066999999999</v>
      </c>
      <c r="J32" s="982">
        <v>50443.510999999999</v>
      </c>
      <c r="K32" s="982">
        <v>168.17099999999999</v>
      </c>
      <c r="L32" s="982">
        <v>2416.7260000000001</v>
      </c>
      <c r="M32" s="982">
        <v>12486.83</v>
      </c>
      <c r="N32" s="982">
        <v>9189.1610000000001</v>
      </c>
      <c r="O32" s="982">
        <v>60981.120000000003</v>
      </c>
      <c r="P32" s="982">
        <f>2713.364+2721.727+1853.605+2364.267+9545.89+594.173</f>
        <v>19793.025999999998</v>
      </c>
      <c r="Q32" s="982">
        <f t="shared" si="2"/>
        <v>352960.05400000006</v>
      </c>
      <c r="R32" s="839" t="s">
        <v>845</v>
      </c>
    </row>
    <row r="33" spans="1:18" s="252" customFormat="1" ht="12.95" customHeight="1">
      <c r="A33" s="825" t="s">
        <v>846</v>
      </c>
      <c r="B33" s="1003">
        <v>75820.788</v>
      </c>
      <c r="C33" s="1003">
        <v>24566.877</v>
      </c>
      <c r="D33" s="1003">
        <v>4190.2950000000001</v>
      </c>
      <c r="E33" s="1003">
        <v>19882.311000000002</v>
      </c>
      <c r="F33" s="1003">
        <v>27786.025000000001</v>
      </c>
      <c r="G33" s="1003">
        <v>38030.500999999997</v>
      </c>
      <c r="H33" s="1003">
        <v>201.23699999999999</v>
      </c>
      <c r="I33" s="1003">
        <v>11594.377</v>
      </c>
      <c r="J33" s="1003">
        <v>49791.300999999999</v>
      </c>
      <c r="K33" s="1003">
        <v>194.065</v>
      </c>
      <c r="L33" s="1003">
        <v>2193.1280000000002</v>
      </c>
      <c r="M33" s="1003">
        <v>12125.634</v>
      </c>
      <c r="N33" s="1003">
        <v>9502.8580000000002</v>
      </c>
      <c r="O33" s="1003">
        <v>65374.756999999998</v>
      </c>
      <c r="P33" s="1003">
        <f>2861.641+2681.72+1617.972+2495.775+9592.119+590.656</f>
        <v>19839.882999999998</v>
      </c>
      <c r="Q33" s="1003">
        <f t="shared" si="2"/>
        <v>361094.03699999995</v>
      </c>
      <c r="R33" s="812" t="s">
        <v>846</v>
      </c>
    </row>
    <row r="34" spans="1:18" s="252" customFormat="1" ht="12.95" customHeight="1">
      <c r="A34" s="838" t="s">
        <v>839</v>
      </c>
      <c r="B34" s="982">
        <v>75255.335000000006</v>
      </c>
      <c r="C34" s="982">
        <v>24402.904999999999</v>
      </c>
      <c r="D34" s="982">
        <v>4231.1859999999997</v>
      </c>
      <c r="E34" s="982">
        <v>20819.072</v>
      </c>
      <c r="F34" s="982">
        <v>28560.402999999998</v>
      </c>
      <c r="G34" s="982">
        <v>37284.269</v>
      </c>
      <c r="H34" s="982">
        <v>195.96899999999999</v>
      </c>
      <c r="I34" s="982">
        <v>12171.325999999999</v>
      </c>
      <c r="J34" s="982">
        <v>53078.665000000001</v>
      </c>
      <c r="K34" s="982">
        <v>193.875</v>
      </c>
      <c r="L34" s="982">
        <v>2358.6329999999998</v>
      </c>
      <c r="M34" s="982">
        <v>13856.296</v>
      </c>
      <c r="N34" s="982">
        <v>9437.6790000000001</v>
      </c>
      <c r="O34" s="982">
        <v>65272.300999999999</v>
      </c>
      <c r="P34" s="982">
        <f>1641.183+2759.598+2869.172+2466.205+602.716+9501.925</f>
        <v>19840.798999999999</v>
      </c>
      <c r="Q34" s="982">
        <f t="shared" si="2"/>
        <v>366958.71299999999</v>
      </c>
      <c r="R34" s="839" t="s">
        <v>839</v>
      </c>
    </row>
    <row r="35" spans="1:18" s="252" customFormat="1" ht="12.95" customHeight="1">
      <c r="A35" s="825" t="s">
        <v>847</v>
      </c>
      <c r="B35" s="1003">
        <v>68078.377999999997</v>
      </c>
      <c r="C35" s="1003">
        <v>23661.263999999999</v>
      </c>
      <c r="D35" s="1003">
        <v>4168.8969999999999</v>
      </c>
      <c r="E35" s="1003">
        <v>20053.226999999999</v>
      </c>
      <c r="F35" s="1003">
        <v>30724.526999999998</v>
      </c>
      <c r="G35" s="1003">
        <v>36773.896000000001</v>
      </c>
      <c r="H35" s="1003">
        <v>178.69800000000001</v>
      </c>
      <c r="I35" s="1003">
        <v>11566.106</v>
      </c>
      <c r="J35" s="1003">
        <v>55701.084999999999</v>
      </c>
      <c r="K35" s="1003">
        <v>183.995</v>
      </c>
      <c r="L35" s="1003">
        <v>2217.13</v>
      </c>
      <c r="M35" s="1003">
        <v>12494.237999999999</v>
      </c>
      <c r="N35" s="1003">
        <v>9061.1219999999994</v>
      </c>
      <c r="O35" s="1003">
        <v>69408.974000000002</v>
      </c>
      <c r="P35" s="1003">
        <f>2821.107+2702.127+1562.389+2340.429+9463.783+294</f>
        <v>19183.834999999999</v>
      </c>
      <c r="Q35" s="1003">
        <f t="shared" si="2"/>
        <v>363455.37199999997</v>
      </c>
      <c r="R35" s="812" t="s">
        <v>847</v>
      </c>
    </row>
    <row r="36" spans="1:18" s="252" customFormat="1" ht="12.95" customHeight="1">
      <c r="A36" s="838" t="s">
        <v>848</v>
      </c>
      <c r="B36" s="982">
        <v>64252.786</v>
      </c>
      <c r="C36" s="982">
        <v>21512.795999999998</v>
      </c>
      <c r="D36" s="982">
        <v>4090.2750000000001</v>
      </c>
      <c r="E36" s="982">
        <v>19110.331999999999</v>
      </c>
      <c r="F36" s="982">
        <v>29282.2</v>
      </c>
      <c r="G36" s="982">
        <v>35970.021000000001</v>
      </c>
      <c r="H36" s="982">
        <v>182.42099999999999</v>
      </c>
      <c r="I36" s="982">
        <v>11227.832</v>
      </c>
      <c r="J36" s="982">
        <v>54536.385999999999</v>
      </c>
      <c r="K36" s="982">
        <v>201.69</v>
      </c>
      <c r="L36" s="982">
        <v>2061.797</v>
      </c>
      <c r="M36" s="982">
        <v>12407.575999999999</v>
      </c>
      <c r="N36" s="982">
        <v>8931.8490000000002</v>
      </c>
      <c r="O36" s="982">
        <v>66249.989000000001</v>
      </c>
      <c r="P36" s="982">
        <f>2587.789+2673.083+1528.339+2427.452+9620.237+293.7</f>
        <v>19130.600000000002</v>
      </c>
      <c r="Q36" s="982">
        <f t="shared" si="2"/>
        <v>349148.55</v>
      </c>
      <c r="R36" s="839" t="s">
        <v>848</v>
      </c>
    </row>
    <row r="37" spans="1:18" s="252" customFormat="1" ht="12.95" customHeight="1">
      <c r="A37" s="825" t="s">
        <v>840</v>
      </c>
      <c r="B37" s="1003">
        <v>60953.909</v>
      </c>
      <c r="C37" s="1003">
        <v>20035.465</v>
      </c>
      <c r="D37" s="1003">
        <v>4181.018</v>
      </c>
      <c r="E37" s="1003">
        <v>18339.164000000001</v>
      </c>
      <c r="F37" s="1003">
        <v>28443.488000000001</v>
      </c>
      <c r="G37" s="1003">
        <v>34605.1</v>
      </c>
      <c r="H37" s="1003">
        <v>176.07900000000001</v>
      </c>
      <c r="I37" s="1003">
        <v>10798.206</v>
      </c>
      <c r="J37" s="1003">
        <v>53637.432000000001</v>
      </c>
      <c r="K37" s="1003">
        <v>187.86699999999999</v>
      </c>
      <c r="L37" s="1003">
        <v>1966.893</v>
      </c>
      <c r="M37" s="1003">
        <v>11887.282999999999</v>
      </c>
      <c r="N37" s="1003">
        <v>8932.74</v>
      </c>
      <c r="O37" s="1003">
        <v>63897.694000000003</v>
      </c>
      <c r="P37" s="1003">
        <f>1489.491+2653.296+2490.414+2424.994+293.85+9223.21</f>
        <v>18575.255000000001</v>
      </c>
      <c r="Q37" s="1003">
        <f t="shared" si="2"/>
        <v>336617.59299999999</v>
      </c>
      <c r="R37" s="812" t="s">
        <v>840</v>
      </c>
    </row>
    <row r="38" spans="1:18" s="252" customFormat="1" ht="12.95" customHeight="1">
      <c r="A38" s="838" t="s">
        <v>849</v>
      </c>
      <c r="B38" s="982">
        <v>62562.124000000003</v>
      </c>
      <c r="C38" s="982">
        <v>20358.260999999999</v>
      </c>
      <c r="D38" s="982">
        <v>4216.5550000000003</v>
      </c>
      <c r="E38" s="982">
        <v>19175.243999999999</v>
      </c>
      <c r="F38" s="982">
        <v>28144.541000000001</v>
      </c>
      <c r="G38" s="982">
        <v>37373.750999999997</v>
      </c>
      <c r="H38" s="982">
        <v>181.67</v>
      </c>
      <c r="I38" s="982">
        <v>11394.708000000001</v>
      </c>
      <c r="J38" s="982">
        <v>54009.991000000002</v>
      </c>
      <c r="K38" s="982">
        <v>189.1</v>
      </c>
      <c r="L38" s="982">
        <v>2007.665</v>
      </c>
      <c r="M38" s="982">
        <v>12136.8</v>
      </c>
      <c r="N38" s="982">
        <v>9036.4699999999993</v>
      </c>
      <c r="O38" s="982">
        <v>64956.902999999998</v>
      </c>
      <c r="P38" s="982">
        <f>9740.318+1532.263+2603.877+2617.265+2339.786+294.3</f>
        <v>19127.808999999997</v>
      </c>
      <c r="Q38" s="982">
        <f t="shared" si="2"/>
        <v>344871.59200000006</v>
      </c>
      <c r="R38" s="839" t="s">
        <v>849</v>
      </c>
    </row>
    <row r="39" spans="1:18" s="252" customFormat="1" ht="12.95" customHeight="1">
      <c r="A39" s="825" t="s">
        <v>850</v>
      </c>
      <c r="B39" s="1003">
        <v>55549.300999999999</v>
      </c>
      <c r="C39" s="1003">
        <v>18942.845000000001</v>
      </c>
      <c r="D39" s="1003">
        <v>4106.8190000000004</v>
      </c>
      <c r="E39" s="1003">
        <v>18380.924999999999</v>
      </c>
      <c r="F39" s="1003">
        <v>27430.873</v>
      </c>
      <c r="G39" s="1003">
        <v>37689.89</v>
      </c>
      <c r="H39" s="1003">
        <v>169.803</v>
      </c>
      <c r="I39" s="1003">
        <v>11313.933999999999</v>
      </c>
      <c r="J39" s="1003">
        <v>50580.612999999998</v>
      </c>
      <c r="K39" s="1003">
        <v>169.066</v>
      </c>
      <c r="L39" s="1003">
        <v>1915.915</v>
      </c>
      <c r="M39" s="1003">
        <v>11333.18</v>
      </c>
      <c r="N39" s="1003">
        <v>8616.2849999999999</v>
      </c>
      <c r="O39" s="1003">
        <v>57441.824999999997</v>
      </c>
      <c r="P39" s="1003">
        <f>10309.954+1481.28+2589.071+2571.294+2267.819+277.5</f>
        <v>19496.918000000001</v>
      </c>
      <c r="Q39" s="1003">
        <f t="shared" si="2"/>
        <v>323138.19200000004</v>
      </c>
      <c r="R39" s="812" t="s">
        <v>850</v>
      </c>
    </row>
    <row r="40" spans="1:18" s="252" customFormat="1" ht="12.95" customHeight="1">
      <c r="A40" s="838" t="s">
        <v>841</v>
      </c>
      <c r="B40" s="982">
        <v>56693.462</v>
      </c>
      <c r="C40" s="982">
        <v>21015.174999999999</v>
      </c>
      <c r="D40" s="982">
        <v>4080.9349999999999</v>
      </c>
      <c r="E40" s="982">
        <v>19059.028999999999</v>
      </c>
      <c r="F40" s="982">
        <v>27614.215</v>
      </c>
      <c r="G40" s="982">
        <v>39752.845000000001</v>
      </c>
      <c r="H40" s="982">
        <v>194.55099999999999</v>
      </c>
      <c r="I40" s="982">
        <v>11658.181</v>
      </c>
      <c r="J40" s="982">
        <v>52211.76</v>
      </c>
      <c r="K40" s="982">
        <v>215.678</v>
      </c>
      <c r="L40" s="982">
        <v>1912.181</v>
      </c>
      <c r="M40" s="982">
        <v>11754.666999999999</v>
      </c>
      <c r="N40" s="982">
        <v>8559.2569999999996</v>
      </c>
      <c r="O40" s="982">
        <v>54210.046000000002</v>
      </c>
      <c r="P40" s="982">
        <f>7744.573+1524.382+2650.9+2988.448+2182.91+288.6</f>
        <v>17379.812999999998</v>
      </c>
      <c r="Q40" s="982">
        <f t="shared" si="2"/>
        <v>326311.7950000001</v>
      </c>
      <c r="R40" s="839" t="s">
        <v>841</v>
      </c>
    </row>
    <row r="41" spans="1:18" s="252" customFormat="1" ht="12.95" customHeight="1">
      <c r="A41" s="948" t="s">
        <v>2585</v>
      </c>
      <c r="B41" s="1003"/>
      <c r="C41" s="1003"/>
      <c r="D41" s="1003"/>
      <c r="E41" s="1003"/>
      <c r="F41" s="1003"/>
      <c r="G41" s="1003"/>
      <c r="H41" s="1003"/>
      <c r="I41" s="1003"/>
      <c r="J41" s="1003"/>
      <c r="K41" s="1003"/>
      <c r="L41" s="1003"/>
      <c r="M41" s="1003"/>
      <c r="N41" s="1003"/>
      <c r="O41" s="1003"/>
      <c r="P41" s="1003"/>
      <c r="Q41" s="1003"/>
      <c r="R41" s="857" t="s">
        <v>2585</v>
      </c>
    </row>
    <row r="42" spans="1:18" s="252" customFormat="1" ht="12.95" customHeight="1">
      <c r="A42" s="838" t="s">
        <v>843</v>
      </c>
      <c r="B42" s="982">
        <v>53392.250999999997</v>
      </c>
      <c r="C42" s="982">
        <v>19614.664000000001</v>
      </c>
      <c r="D42" s="982">
        <v>3956.8539999999998</v>
      </c>
      <c r="E42" s="982">
        <v>20589.111000000001</v>
      </c>
      <c r="F42" s="982">
        <v>25829.75</v>
      </c>
      <c r="G42" s="982">
        <v>43107.095999999998</v>
      </c>
      <c r="H42" s="982">
        <v>150.63800000000001</v>
      </c>
      <c r="I42" s="982">
        <v>12889.477999999999</v>
      </c>
      <c r="J42" s="982">
        <v>49592.851999999999</v>
      </c>
      <c r="K42" s="982">
        <v>2509.288</v>
      </c>
      <c r="L42" s="982">
        <v>2023.194</v>
      </c>
      <c r="M42" s="982">
        <v>11563.64</v>
      </c>
      <c r="N42" s="982">
        <v>8559.86</v>
      </c>
      <c r="O42" s="982">
        <v>54179.453000000001</v>
      </c>
      <c r="P42" s="982">
        <f>3056.718+2854.463+1807.439+2311.787+10816.378+277.35</f>
        <v>21124.135000000002</v>
      </c>
      <c r="Q42" s="982">
        <f t="shared" ref="Q42:Q46" si="4">SUM(B42:P42)</f>
        <v>329082.26399999997</v>
      </c>
      <c r="R42" s="839" t="s">
        <v>843</v>
      </c>
    </row>
    <row r="43" spans="1:18" s="252" customFormat="1" ht="12.95" customHeight="1">
      <c r="A43" s="825" t="s">
        <v>844</v>
      </c>
      <c r="B43" s="1003">
        <v>61993.131000000001</v>
      </c>
      <c r="C43" s="1003">
        <v>21545.883000000002</v>
      </c>
      <c r="D43" s="1003">
        <v>4004.1060000000002</v>
      </c>
      <c r="E43" s="1003">
        <v>20392.899000000001</v>
      </c>
      <c r="F43" s="1003">
        <v>25961.773000000001</v>
      </c>
      <c r="G43" s="1003">
        <v>44897.800999999999</v>
      </c>
      <c r="H43" s="1003">
        <v>164.89</v>
      </c>
      <c r="I43" s="1003">
        <v>13296.155000000001</v>
      </c>
      <c r="J43" s="1003">
        <v>49859.192999999999</v>
      </c>
      <c r="K43" s="1003">
        <v>2306.6750000000002</v>
      </c>
      <c r="L43" s="1003">
        <v>2058.2109999999998</v>
      </c>
      <c r="M43" s="1003">
        <v>11360.031999999999</v>
      </c>
      <c r="N43" s="1003">
        <v>8602.7559999999994</v>
      </c>
      <c r="O43" s="1003">
        <v>53683.45</v>
      </c>
      <c r="P43" s="1003">
        <f>2844.833+2814.682+1775.567+2294.907+10806.46+279</f>
        <v>20815.449000000001</v>
      </c>
      <c r="Q43" s="1003">
        <f t="shared" si="4"/>
        <v>340942.4040000001</v>
      </c>
      <c r="R43" s="812" t="s">
        <v>844</v>
      </c>
    </row>
    <row r="44" spans="1:18" ht="12.95" customHeight="1">
      <c r="A44" s="838" t="s">
        <v>838</v>
      </c>
      <c r="B44" s="982">
        <v>56161.610999999997</v>
      </c>
      <c r="C44" s="982">
        <v>19325.010999999999</v>
      </c>
      <c r="D44" s="982">
        <v>3485.058</v>
      </c>
      <c r="E44" s="982">
        <v>20138.661</v>
      </c>
      <c r="F44" s="982">
        <v>26230.337</v>
      </c>
      <c r="G44" s="982">
        <v>45061.057000000001</v>
      </c>
      <c r="H44" s="982">
        <v>153.02000000000001</v>
      </c>
      <c r="I44" s="982">
        <v>12971.733</v>
      </c>
      <c r="J44" s="982">
        <v>48987.517</v>
      </c>
      <c r="K44" s="982">
        <v>2229.605</v>
      </c>
      <c r="L44" s="982">
        <v>1920.8689999999999</v>
      </c>
      <c r="M44" s="982">
        <v>11444.366</v>
      </c>
      <c r="N44" s="982">
        <v>10083.384</v>
      </c>
      <c r="O44" s="982">
        <v>51304.673999999999</v>
      </c>
      <c r="P44" s="982">
        <f>2983.497+2740.358+1609.217+2228.985+10518.742+278.25</f>
        <v>20359.048999999999</v>
      </c>
      <c r="Q44" s="982">
        <f t="shared" si="4"/>
        <v>329855.95200000005</v>
      </c>
      <c r="R44" s="839" t="s">
        <v>838</v>
      </c>
    </row>
    <row r="45" spans="1:18" ht="12.95" customHeight="1">
      <c r="A45" s="825" t="s">
        <v>845</v>
      </c>
      <c r="B45" s="1003">
        <v>56818.947999999997</v>
      </c>
      <c r="C45" s="1003">
        <v>19362.335999999999</v>
      </c>
      <c r="D45" s="1003">
        <v>3373.4870000000001</v>
      </c>
      <c r="E45" s="1003">
        <v>18019.897000000001</v>
      </c>
      <c r="F45" s="1003">
        <v>26112.379000000001</v>
      </c>
      <c r="G45" s="1003">
        <v>46446.75</v>
      </c>
      <c r="H45" s="1003">
        <v>237.054</v>
      </c>
      <c r="I45" s="1003">
        <v>13213.707</v>
      </c>
      <c r="J45" s="1003">
        <v>49075.300999999999</v>
      </c>
      <c r="K45" s="1003">
        <v>1885.7760000000001</v>
      </c>
      <c r="L45" s="1003">
        <v>1763.078</v>
      </c>
      <c r="M45" s="1003">
        <v>10322.630999999999</v>
      </c>
      <c r="N45" s="1003">
        <v>9358.2469999999994</v>
      </c>
      <c r="O45" s="1003">
        <v>52666.303</v>
      </c>
      <c r="P45" s="1003">
        <f>2801.381+2626.576+1512.689+2215.736+10129.291+273.15</f>
        <v>19558.823000000004</v>
      </c>
      <c r="Q45" s="1003">
        <f t="shared" si="4"/>
        <v>328214.71700000006</v>
      </c>
      <c r="R45" s="812" t="s">
        <v>845</v>
      </c>
    </row>
    <row r="46" spans="1:18" ht="12.95" customHeight="1" thickBot="1">
      <c r="A46" s="1672" t="s">
        <v>846</v>
      </c>
      <c r="B46" s="1439">
        <v>56036.211000000003</v>
      </c>
      <c r="C46" s="1439">
        <v>18236.455000000002</v>
      </c>
      <c r="D46" s="1439">
        <v>3365.16</v>
      </c>
      <c r="E46" s="1439">
        <v>17181.404999999999</v>
      </c>
      <c r="F46" s="1439">
        <v>26221.502</v>
      </c>
      <c r="G46" s="1439">
        <v>42724.303999999996</v>
      </c>
      <c r="H46" s="1439">
        <v>359.96699999999998</v>
      </c>
      <c r="I46" s="1439">
        <v>13988.671</v>
      </c>
      <c r="J46" s="1439">
        <v>48368.353000000003</v>
      </c>
      <c r="K46" s="1439">
        <v>1849.9480000000001</v>
      </c>
      <c r="L46" s="1439">
        <v>1771.4469999999999</v>
      </c>
      <c r="M46" s="1439">
        <v>9594.0380000000005</v>
      </c>
      <c r="N46" s="1439">
        <v>9059.5439999999999</v>
      </c>
      <c r="O46" s="1439">
        <v>50418.305</v>
      </c>
      <c r="P46" s="1439">
        <f>2682.833+2688.327+1707+2167.121+10651.875+273.45</f>
        <v>20170.606</v>
      </c>
      <c r="Q46" s="1439">
        <f t="shared" si="4"/>
        <v>319345.91599999997</v>
      </c>
      <c r="R46" s="1673" t="s">
        <v>846</v>
      </c>
    </row>
    <row r="47" spans="1:18" ht="9.75" customHeight="1">
      <c r="A47" s="77" t="s">
        <v>2381</v>
      </c>
      <c r="B47" s="1173" t="s">
        <v>2305</v>
      </c>
      <c r="C47" s="1172"/>
      <c r="D47" s="1172"/>
      <c r="E47" s="1172"/>
      <c r="F47" s="1172"/>
      <c r="G47" s="1172"/>
      <c r="H47" s="145"/>
      <c r="I47" s="44"/>
      <c r="J47" s="2063" t="s">
        <v>2306</v>
      </c>
      <c r="K47" s="2063"/>
      <c r="L47" s="2063"/>
      <c r="M47" s="2063"/>
      <c r="N47" s="2063"/>
      <c r="O47" s="2063"/>
      <c r="P47" s="2063"/>
      <c r="Q47" s="2063"/>
      <c r="R47" s="2063"/>
    </row>
    <row r="48" spans="1:18" ht="9.75" customHeight="1">
      <c r="A48" s="62"/>
      <c r="B48" s="1814" t="s">
        <v>941</v>
      </c>
      <c r="C48" s="1814"/>
      <c r="D48" s="272"/>
      <c r="E48" s="272"/>
      <c r="F48" s="272"/>
      <c r="G48" s="272"/>
      <c r="H48" s="21"/>
      <c r="I48" s="21"/>
      <c r="J48" s="800" t="s">
        <v>32</v>
      </c>
      <c r="K48" s="1174" t="s">
        <v>2287</v>
      </c>
      <c r="L48" s="217"/>
      <c r="M48" s="217"/>
      <c r="O48" s="21"/>
      <c r="P48" s="21"/>
      <c r="Q48" s="21"/>
      <c r="R48" s="99"/>
    </row>
    <row r="49" spans="4:18"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23"/>
    </row>
    <row r="50" spans="4:18">
      <c r="R50" s="23"/>
    </row>
    <row r="51" spans="4:18">
      <c r="Q51" s="1070"/>
      <c r="R51" s="23"/>
    </row>
    <row r="52" spans="4:18">
      <c r="R52" s="23"/>
    </row>
    <row r="53" spans="4:18">
      <c r="E53" s="120"/>
      <c r="R53" s="23"/>
    </row>
    <row r="54" spans="4:18">
      <c r="R54" s="23"/>
    </row>
    <row r="55" spans="4:18">
      <c r="R55" s="23"/>
    </row>
    <row r="56" spans="4:18">
      <c r="R56" s="23"/>
    </row>
    <row r="57" spans="4:18">
      <c r="R57" s="23"/>
    </row>
    <row r="58" spans="4:18">
      <c r="R58" s="23"/>
    </row>
    <row r="59" spans="4:18">
      <c r="R59" s="23"/>
    </row>
    <row r="60" spans="4:18">
      <c r="R60" s="23"/>
    </row>
    <row r="61" spans="4:18">
      <c r="R61" s="23"/>
    </row>
    <row r="62" spans="4:18">
      <c r="R62" s="23"/>
    </row>
  </sheetData>
  <mergeCells count="9">
    <mergeCell ref="J47:R47"/>
    <mergeCell ref="B48:C48"/>
    <mergeCell ref="J1:P1"/>
    <mergeCell ref="A1:I1"/>
    <mergeCell ref="Q1:R1"/>
    <mergeCell ref="B3:Q3"/>
    <mergeCell ref="Q2:R2"/>
    <mergeCell ref="R3:R4"/>
    <mergeCell ref="A3:A4"/>
  </mergeCells>
  <phoneticPr fontId="46" type="noConversion"/>
  <pageMargins left="0.62992125984252001" right="0.55118110236220497" top="0.511811023622047" bottom="0.31496062992126" header="0.25" footer="0"/>
  <pageSetup paperSize="141" firstPageNumber="54" orientation="portrait" useFirstPageNumber="1" r:id="rId1"/>
  <headerFooter>
    <oddFooter>&amp;C&amp;"Times New Roman,Regular"&amp;8&amp;P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5"/>
  <dimension ref="A1:BL209"/>
  <sheetViews>
    <sheetView zoomScale="130" zoomScaleNormal="130" workbookViewId="0">
      <pane xSplit="3" ySplit="3" topLeftCell="BB43" activePane="bottomRight" state="frozen"/>
      <selection pane="topRight" activeCell="D1" sqref="D1"/>
      <selection pane="bottomLeft" activeCell="A4" sqref="A4"/>
      <selection pane="bottomRight" activeCell="BG51" sqref="BG51"/>
    </sheetView>
  </sheetViews>
  <sheetFormatPr defaultColWidth="9.140625" defaultRowHeight="11.25"/>
  <cols>
    <col min="1" max="1" width="2.85546875" style="10" customWidth="1"/>
    <col min="2" max="2" width="4.5703125" style="52" customWidth="1"/>
    <col min="3" max="3" width="23.7109375" style="10" customWidth="1"/>
    <col min="4" max="5" width="8.85546875" style="10" customWidth="1"/>
    <col min="6" max="6" width="9.140625" style="10" customWidth="1"/>
    <col min="7" max="7" width="10.42578125" style="52" customWidth="1"/>
    <col min="8" max="8" width="9.7109375" style="10" customWidth="1"/>
    <col min="9" max="9" width="2.85546875" style="254" customWidth="1"/>
    <col min="10" max="10" width="6" style="403" customWidth="1"/>
    <col min="11" max="11" width="23.28515625" style="254" customWidth="1"/>
    <col min="12" max="12" width="9.28515625" style="254" customWidth="1"/>
    <col min="13" max="13" width="9.85546875" style="254" customWidth="1"/>
    <col min="14" max="14" width="8.5703125" style="254" customWidth="1"/>
    <col min="15" max="15" width="9.140625" style="404" customWidth="1"/>
    <col min="16" max="16" width="9.140625" style="254" customWidth="1"/>
    <col min="17" max="17" width="3" style="254" customWidth="1"/>
    <col min="18" max="18" width="6.5703125" style="403" customWidth="1"/>
    <col min="19" max="19" width="21.5703125" style="254" customWidth="1"/>
    <col min="20" max="20" width="8.5703125" style="254" customWidth="1"/>
    <col min="21" max="21" width="9" style="254" customWidth="1"/>
    <col min="22" max="22" width="8.7109375" style="254" customWidth="1"/>
    <col min="23" max="23" width="10.28515625" style="404" customWidth="1"/>
    <col min="24" max="24" width="10.28515625" style="254" customWidth="1"/>
    <col min="25" max="25" width="2.7109375" style="254" customWidth="1"/>
    <col min="26" max="26" width="7.28515625" style="405" customWidth="1"/>
    <col min="27" max="27" width="23.5703125" style="254" customWidth="1"/>
    <col min="28" max="28" width="9.140625" style="254"/>
    <col min="29" max="29" width="8.42578125" style="254" customWidth="1"/>
    <col min="30" max="30" width="8.7109375" style="254" customWidth="1"/>
    <col min="31" max="32" width="9.140625" style="254"/>
    <col min="33" max="33" width="2.28515625" style="254" customWidth="1"/>
    <col min="34" max="34" width="6.7109375" style="405" customWidth="1"/>
    <col min="35" max="35" width="26.140625" style="254" customWidth="1"/>
    <col min="36" max="36" width="8" style="254" customWidth="1"/>
    <col min="37" max="37" width="8.7109375" style="254" customWidth="1"/>
    <col min="38" max="38" width="8.5703125" style="254" customWidth="1"/>
    <col min="39" max="40" width="9.140625" style="254"/>
    <col min="41" max="41" width="2.7109375" style="254" customWidth="1"/>
    <col min="42" max="42" width="6" style="405" customWidth="1"/>
    <col min="43" max="43" width="24.5703125" style="254" customWidth="1"/>
    <col min="44" max="44" width="7.85546875" style="254" customWidth="1"/>
    <col min="45" max="45" width="9" style="254" customWidth="1"/>
    <col min="46" max="46" width="8.7109375" style="254" customWidth="1"/>
    <col min="47" max="47" width="10.140625" style="254" customWidth="1"/>
    <col min="48" max="48" width="9.5703125" style="254" customWidth="1"/>
    <col min="49" max="49" width="2.5703125" style="254" customWidth="1"/>
    <col min="50" max="50" width="5.85546875" style="405" customWidth="1"/>
    <col min="51" max="51" width="25.140625" style="254" customWidth="1"/>
    <col min="52" max="53" width="8.7109375" style="254" customWidth="1"/>
    <col min="54" max="56" width="9.140625" style="254"/>
    <col min="57" max="57" width="2.7109375" style="254" customWidth="1"/>
    <col min="58" max="58" width="6.7109375" style="405" customWidth="1"/>
    <col min="59" max="59" width="23.7109375" style="254" customWidth="1"/>
    <col min="60" max="61" width="9" style="254" customWidth="1"/>
    <col min="62" max="62" width="8.7109375" style="254" customWidth="1"/>
    <col min="63" max="63" width="9.5703125" style="254" customWidth="1"/>
    <col min="64" max="64" width="8.85546875" style="254" customWidth="1"/>
    <col min="65" max="16384" width="9.140625" style="10"/>
  </cols>
  <sheetData>
    <row r="1" spans="1:64" s="154" customFormat="1" ht="15.75" customHeight="1">
      <c r="A1" s="2080" t="s">
        <v>1451</v>
      </c>
      <c r="B1" s="2080"/>
      <c r="C1" s="2080"/>
      <c r="D1" s="2080"/>
      <c r="E1" s="2080"/>
      <c r="F1" s="2080"/>
      <c r="G1" s="2080"/>
      <c r="H1" s="2080"/>
      <c r="I1" s="2076" t="s">
        <v>1452</v>
      </c>
      <c r="J1" s="2076"/>
      <c r="K1" s="2076"/>
      <c r="L1" s="2076"/>
      <c r="M1" s="2076"/>
      <c r="N1" s="2077" t="s">
        <v>1854</v>
      </c>
      <c r="O1" s="2077"/>
      <c r="P1" s="2077"/>
      <c r="Q1" s="384"/>
      <c r="R1" s="385"/>
      <c r="S1" s="2077" t="s">
        <v>1453</v>
      </c>
      <c r="T1" s="2077"/>
      <c r="U1" s="2077"/>
      <c r="V1" s="2077"/>
      <c r="W1" s="2077"/>
      <c r="X1" s="2077"/>
      <c r="Y1" s="2076" t="s">
        <v>1454</v>
      </c>
      <c r="Z1" s="2076"/>
      <c r="AA1" s="2076"/>
      <c r="AB1" s="2076"/>
      <c r="AC1" s="2076"/>
      <c r="AD1" s="2077" t="s">
        <v>1854</v>
      </c>
      <c r="AE1" s="2077"/>
      <c r="AF1" s="2077"/>
      <c r="AG1" s="384"/>
      <c r="AH1" s="385"/>
      <c r="AI1" s="2077" t="s">
        <v>1451</v>
      </c>
      <c r="AJ1" s="2077"/>
      <c r="AK1" s="2077"/>
      <c r="AL1" s="2077"/>
      <c r="AM1" s="2077"/>
      <c r="AN1" s="2077"/>
      <c r="AO1" s="2076" t="s">
        <v>1455</v>
      </c>
      <c r="AP1" s="2076"/>
      <c r="AQ1" s="2076"/>
      <c r="AR1" s="2076"/>
      <c r="AS1" s="2076"/>
      <c r="AT1" s="2077" t="s">
        <v>1854</v>
      </c>
      <c r="AU1" s="2077"/>
      <c r="AV1" s="2077"/>
      <c r="AW1" s="384"/>
      <c r="AX1" s="385"/>
      <c r="AY1" s="2077" t="s">
        <v>1451</v>
      </c>
      <c r="AZ1" s="2077"/>
      <c r="BA1" s="2077"/>
      <c r="BB1" s="2077"/>
      <c r="BC1" s="2077"/>
      <c r="BD1" s="2077"/>
      <c r="BE1" s="2076" t="s">
        <v>1456</v>
      </c>
      <c r="BF1" s="2076"/>
      <c r="BG1" s="2076"/>
      <c r="BH1" s="2076"/>
      <c r="BI1" s="2076"/>
      <c r="BJ1" s="2077" t="s">
        <v>1855</v>
      </c>
      <c r="BK1" s="2077"/>
      <c r="BL1" s="2077"/>
    </row>
    <row r="2" spans="1:64" s="331" customFormat="1" ht="17.25" customHeight="1">
      <c r="A2" s="1983" t="s">
        <v>1262</v>
      </c>
      <c r="B2" s="1983"/>
      <c r="C2" s="1983"/>
      <c r="D2" s="2078" t="s">
        <v>576</v>
      </c>
      <c r="E2" s="2078" t="s">
        <v>44</v>
      </c>
      <c r="F2" s="2078" t="s">
        <v>1261</v>
      </c>
      <c r="G2" s="2078" t="s">
        <v>506</v>
      </c>
      <c r="H2" s="2078"/>
      <c r="I2" s="2075" t="s">
        <v>1262</v>
      </c>
      <c r="J2" s="2075"/>
      <c r="K2" s="2075"/>
      <c r="L2" s="2074" t="s">
        <v>1311</v>
      </c>
      <c r="M2" s="2074" t="s">
        <v>42</v>
      </c>
      <c r="N2" s="2074" t="s">
        <v>1261</v>
      </c>
      <c r="O2" s="2074" t="s">
        <v>506</v>
      </c>
      <c r="P2" s="2074"/>
      <c r="Q2" s="2075" t="s">
        <v>1262</v>
      </c>
      <c r="R2" s="2075"/>
      <c r="S2" s="2075"/>
      <c r="T2" s="2074" t="s">
        <v>1263</v>
      </c>
      <c r="U2" s="2074" t="s">
        <v>42</v>
      </c>
      <c r="V2" s="2074" t="s">
        <v>1261</v>
      </c>
      <c r="W2" s="2074" t="s">
        <v>506</v>
      </c>
      <c r="X2" s="2074"/>
      <c r="Y2" s="2075" t="s">
        <v>1262</v>
      </c>
      <c r="Z2" s="2075"/>
      <c r="AA2" s="2075"/>
      <c r="AB2" s="2074" t="s">
        <v>1263</v>
      </c>
      <c r="AC2" s="2074" t="s">
        <v>42</v>
      </c>
      <c r="AD2" s="2074" t="s">
        <v>1261</v>
      </c>
      <c r="AE2" s="2074" t="s">
        <v>506</v>
      </c>
      <c r="AF2" s="2074"/>
      <c r="AG2" s="2075" t="s">
        <v>1262</v>
      </c>
      <c r="AH2" s="2075"/>
      <c r="AI2" s="2075"/>
      <c r="AJ2" s="2074" t="s">
        <v>1263</v>
      </c>
      <c r="AK2" s="2074" t="s">
        <v>42</v>
      </c>
      <c r="AL2" s="2074" t="s">
        <v>1261</v>
      </c>
      <c r="AM2" s="2074" t="s">
        <v>506</v>
      </c>
      <c r="AN2" s="2074"/>
      <c r="AO2" s="2075" t="s">
        <v>1262</v>
      </c>
      <c r="AP2" s="2075"/>
      <c r="AQ2" s="2075"/>
      <c r="AR2" s="2074" t="s">
        <v>1263</v>
      </c>
      <c r="AS2" s="2074" t="s">
        <v>42</v>
      </c>
      <c r="AT2" s="2074" t="s">
        <v>1261</v>
      </c>
      <c r="AU2" s="2074" t="s">
        <v>506</v>
      </c>
      <c r="AV2" s="2074"/>
      <c r="AW2" s="2075" t="s">
        <v>1262</v>
      </c>
      <c r="AX2" s="2075"/>
      <c r="AY2" s="2075"/>
      <c r="AZ2" s="2074" t="s">
        <v>1263</v>
      </c>
      <c r="BA2" s="2074" t="s">
        <v>42</v>
      </c>
      <c r="BB2" s="2074" t="s">
        <v>1261</v>
      </c>
      <c r="BC2" s="2074" t="s">
        <v>506</v>
      </c>
      <c r="BD2" s="2074"/>
      <c r="BE2" s="2075" t="s">
        <v>1262</v>
      </c>
      <c r="BF2" s="2075"/>
      <c r="BG2" s="2075"/>
      <c r="BH2" s="2074" t="s">
        <v>1263</v>
      </c>
      <c r="BI2" s="2074" t="s">
        <v>42</v>
      </c>
      <c r="BJ2" s="2074" t="s">
        <v>1261</v>
      </c>
      <c r="BK2" s="2074" t="s">
        <v>506</v>
      </c>
      <c r="BL2" s="2074"/>
    </row>
    <row r="3" spans="1:64" s="95" customFormat="1" ht="27.75" customHeight="1">
      <c r="A3" s="1983"/>
      <c r="B3" s="1983"/>
      <c r="C3" s="1983"/>
      <c r="D3" s="2078"/>
      <c r="E3" s="2078"/>
      <c r="F3" s="2078"/>
      <c r="G3" s="75" t="s">
        <v>507</v>
      </c>
      <c r="H3" s="75" t="s">
        <v>508</v>
      </c>
      <c r="I3" s="2075"/>
      <c r="J3" s="2075"/>
      <c r="K3" s="2075"/>
      <c r="L3" s="2074"/>
      <c r="M3" s="2074"/>
      <c r="N3" s="2074"/>
      <c r="O3" s="386" t="s">
        <v>507</v>
      </c>
      <c r="P3" s="1101" t="s">
        <v>508</v>
      </c>
      <c r="Q3" s="2075"/>
      <c r="R3" s="2075"/>
      <c r="S3" s="2075"/>
      <c r="T3" s="2074"/>
      <c r="U3" s="2074"/>
      <c r="V3" s="2074"/>
      <c r="W3" s="386" t="s">
        <v>507</v>
      </c>
      <c r="X3" s="1101" t="s">
        <v>508</v>
      </c>
      <c r="Y3" s="2075"/>
      <c r="Z3" s="2075"/>
      <c r="AA3" s="2075"/>
      <c r="AB3" s="2074"/>
      <c r="AC3" s="2074"/>
      <c r="AD3" s="2074"/>
      <c r="AE3" s="386" t="s">
        <v>507</v>
      </c>
      <c r="AF3" s="1101" t="s">
        <v>508</v>
      </c>
      <c r="AG3" s="2075"/>
      <c r="AH3" s="2075"/>
      <c r="AI3" s="2075"/>
      <c r="AJ3" s="2074"/>
      <c r="AK3" s="2074"/>
      <c r="AL3" s="2074"/>
      <c r="AM3" s="386" t="s">
        <v>507</v>
      </c>
      <c r="AN3" s="1101" t="s">
        <v>508</v>
      </c>
      <c r="AO3" s="2075"/>
      <c r="AP3" s="2075"/>
      <c r="AQ3" s="2075"/>
      <c r="AR3" s="2074"/>
      <c r="AS3" s="2074"/>
      <c r="AT3" s="2074"/>
      <c r="AU3" s="386" t="s">
        <v>507</v>
      </c>
      <c r="AV3" s="1101" t="s">
        <v>508</v>
      </c>
      <c r="AW3" s="2075"/>
      <c r="AX3" s="2075"/>
      <c r="AY3" s="2075"/>
      <c r="AZ3" s="2074"/>
      <c r="BA3" s="2074"/>
      <c r="BB3" s="2074"/>
      <c r="BC3" s="386" t="s">
        <v>507</v>
      </c>
      <c r="BD3" s="1101" t="s">
        <v>508</v>
      </c>
      <c r="BE3" s="2075"/>
      <c r="BF3" s="2075"/>
      <c r="BG3" s="2075"/>
      <c r="BH3" s="2074"/>
      <c r="BI3" s="2074"/>
      <c r="BJ3" s="2074"/>
      <c r="BK3" s="386" t="s">
        <v>507</v>
      </c>
      <c r="BL3" s="386" t="s">
        <v>508</v>
      </c>
    </row>
    <row r="4" spans="1:64" s="391" customFormat="1" ht="10.5" customHeight="1">
      <c r="A4" s="2072" t="s">
        <v>1239</v>
      </c>
      <c r="B4" s="2072"/>
      <c r="C4" s="2072"/>
      <c r="D4" s="995"/>
      <c r="E4" s="995"/>
      <c r="F4" s="2073"/>
      <c r="G4" s="2073"/>
      <c r="H4" s="2073"/>
      <c r="I4" s="995"/>
      <c r="J4" s="993" t="s">
        <v>1124</v>
      </c>
      <c r="K4" s="837" t="s">
        <v>1312</v>
      </c>
      <c r="L4" s="987" t="s">
        <v>2160</v>
      </c>
      <c r="M4" s="439">
        <v>5.0999999999999996</v>
      </c>
      <c r="N4" s="987" t="s">
        <v>2161</v>
      </c>
      <c r="O4" s="986" t="s">
        <v>509</v>
      </c>
      <c r="P4" s="986" t="s">
        <v>510</v>
      </c>
      <c r="Q4" s="498"/>
      <c r="R4" s="993" t="s">
        <v>1116</v>
      </c>
      <c r="S4" s="990" t="s">
        <v>1313</v>
      </c>
      <c r="T4" s="1395" t="s">
        <v>1031</v>
      </c>
      <c r="U4" s="479">
        <v>9.4499999999999993</v>
      </c>
      <c r="V4" s="1395" t="s">
        <v>1032</v>
      </c>
      <c r="W4" s="986" t="s">
        <v>509</v>
      </c>
      <c r="X4" s="986" t="s">
        <v>510</v>
      </c>
      <c r="Y4" s="497"/>
      <c r="Z4" s="990" t="s">
        <v>1228</v>
      </c>
      <c r="AA4" s="990" t="s">
        <v>1313</v>
      </c>
      <c r="AB4" s="1000" t="s">
        <v>2162</v>
      </c>
      <c r="AC4" s="479">
        <v>6.77</v>
      </c>
      <c r="AD4" s="1000" t="s">
        <v>1633</v>
      </c>
      <c r="AE4" s="986" t="s">
        <v>509</v>
      </c>
      <c r="AF4" s="986" t="s">
        <v>510</v>
      </c>
      <c r="AG4" s="498"/>
      <c r="AH4" s="998" t="s">
        <v>1114</v>
      </c>
      <c r="AI4" s="998" t="s">
        <v>1314</v>
      </c>
      <c r="AJ4" s="1548" t="s">
        <v>592</v>
      </c>
      <c r="AK4" s="479">
        <v>8.69</v>
      </c>
      <c r="AL4" s="435" t="s">
        <v>593</v>
      </c>
      <c r="AM4" s="1551" t="s">
        <v>509</v>
      </c>
      <c r="AN4" s="1551" t="s">
        <v>510</v>
      </c>
      <c r="AO4" s="497"/>
      <c r="AP4" s="989" t="s">
        <v>1226</v>
      </c>
      <c r="AQ4" s="992" t="s">
        <v>1425</v>
      </c>
      <c r="AR4" s="987" t="s">
        <v>1771</v>
      </c>
      <c r="AS4" s="439">
        <v>11.97</v>
      </c>
      <c r="AT4" s="987" t="s">
        <v>1775</v>
      </c>
      <c r="AU4" s="986" t="s">
        <v>509</v>
      </c>
      <c r="AV4" s="986" t="s">
        <v>510</v>
      </c>
      <c r="AW4" s="497"/>
      <c r="AX4" s="989" t="s">
        <v>1104</v>
      </c>
      <c r="AY4" s="837" t="s">
        <v>1315</v>
      </c>
      <c r="AZ4" s="1395" t="s">
        <v>63</v>
      </c>
      <c r="BA4" s="479">
        <v>13.07</v>
      </c>
      <c r="BB4" s="1395" t="s">
        <v>76</v>
      </c>
      <c r="BC4" s="986" t="s">
        <v>509</v>
      </c>
      <c r="BD4" s="986" t="s">
        <v>510</v>
      </c>
      <c r="BE4" s="498"/>
      <c r="BF4" s="989" t="s">
        <v>1155</v>
      </c>
      <c r="BG4" s="837" t="s">
        <v>1426</v>
      </c>
      <c r="BH4" s="994" t="s">
        <v>1657</v>
      </c>
      <c r="BI4" s="439">
        <v>12.47</v>
      </c>
      <c r="BJ4" s="994" t="s">
        <v>1662</v>
      </c>
      <c r="BK4" s="986" t="s">
        <v>509</v>
      </c>
      <c r="BL4" s="986" t="s">
        <v>510</v>
      </c>
    </row>
    <row r="5" spans="1:64" s="391" customFormat="1" ht="10.5" customHeight="1">
      <c r="A5" s="1396" t="s">
        <v>924</v>
      </c>
      <c r="B5" s="803" t="s">
        <v>1090</v>
      </c>
      <c r="C5" s="540" t="s">
        <v>1672</v>
      </c>
      <c r="D5" s="400" t="s">
        <v>2151</v>
      </c>
      <c r="E5" s="388">
        <v>4.4400000000000004</v>
      </c>
      <c r="F5" s="706" t="s">
        <v>2152</v>
      </c>
      <c r="G5" s="537" t="s">
        <v>509</v>
      </c>
      <c r="H5" s="537" t="s">
        <v>510</v>
      </c>
      <c r="J5" s="803" t="s">
        <v>1125</v>
      </c>
      <c r="K5" s="540" t="s">
        <v>1312</v>
      </c>
      <c r="L5" s="542" t="s">
        <v>2326</v>
      </c>
      <c r="M5" s="394">
        <v>5.83</v>
      </c>
      <c r="N5" s="542" t="s">
        <v>2327</v>
      </c>
      <c r="O5" s="537" t="s">
        <v>509</v>
      </c>
      <c r="P5" s="537" t="s">
        <v>510</v>
      </c>
      <c r="R5" s="803" t="s">
        <v>1117</v>
      </c>
      <c r="S5" s="538" t="s">
        <v>1313</v>
      </c>
      <c r="T5" s="332" t="s">
        <v>1080</v>
      </c>
      <c r="U5" s="388">
        <v>9.4499999999999993</v>
      </c>
      <c r="V5" s="332" t="s">
        <v>1081</v>
      </c>
      <c r="W5" s="537" t="s">
        <v>509</v>
      </c>
      <c r="X5" s="537" t="s">
        <v>510</v>
      </c>
      <c r="Y5" s="396"/>
      <c r="Z5" s="538" t="s">
        <v>1229</v>
      </c>
      <c r="AA5" s="538" t="s">
        <v>1313</v>
      </c>
      <c r="AB5" s="542" t="s">
        <v>2197</v>
      </c>
      <c r="AC5" s="388">
        <v>6.3</v>
      </c>
      <c r="AD5" s="542" t="s">
        <v>1635</v>
      </c>
      <c r="AE5" s="537" t="s">
        <v>509</v>
      </c>
      <c r="AF5" s="537" t="s">
        <v>510</v>
      </c>
      <c r="AH5" s="536" t="s">
        <v>1115</v>
      </c>
      <c r="AI5" s="703" t="s">
        <v>1314</v>
      </c>
      <c r="AJ5" s="400" t="s">
        <v>594</v>
      </c>
      <c r="AK5" s="388">
        <v>8.69</v>
      </c>
      <c r="AL5" s="706" t="s">
        <v>595</v>
      </c>
      <c r="AM5" s="537" t="s">
        <v>509</v>
      </c>
      <c r="AN5" s="537" t="s">
        <v>510</v>
      </c>
      <c r="AO5" s="396"/>
      <c r="AP5" s="763" t="s">
        <v>1227</v>
      </c>
      <c r="AQ5" s="539" t="s">
        <v>1425</v>
      </c>
      <c r="AR5" s="542" t="s">
        <v>1774</v>
      </c>
      <c r="AS5" s="394">
        <v>11.97</v>
      </c>
      <c r="AT5" s="542" t="s">
        <v>1776</v>
      </c>
      <c r="AU5" s="537" t="s">
        <v>509</v>
      </c>
      <c r="AV5" s="537" t="s">
        <v>510</v>
      </c>
      <c r="AW5" s="396"/>
      <c r="AX5" s="763" t="s">
        <v>1105</v>
      </c>
      <c r="AY5" s="540" t="s">
        <v>1315</v>
      </c>
      <c r="AZ5" s="332" t="s">
        <v>64</v>
      </c>
      <c r="BA5" s="388">
        <v>13.07</v>
      </c>
      <c r="BB5" s="332" t="s">
        <v>77</v>
      </c>
      <c r="BC5" s="537" t="s">
        <v>509</v>
      </c>
      <c r="BD5" s="537" t="s">
        <v>510</v>
      </c>
      <c r="BF5" s="763" t="s">
        <v>1156</v>
      </c>
      <c r="BG5" s="540" t="s">
        <v>1426</v>
      </c>
      <c r="BH5" s="762" t="s">
        <v>1670</v>
      </c>
      <c r="BI5" s="394">
        <v>12.48</v>
      </c>
      <c r="BJ5" s="762" t="s">
        <v>1671</v>
      </c>
      <c r="BK5" s="537" t="s">
        <v>509</v>
      </c>
      <c r="BL5" s="537" t="s">
        <v>510</v>
      </c>
    </row>
    <row r="6" spans="1:64" s="391" customFormat="1" ht="10.5" customHeight="1">
      <c r="A6" s="498"/>
      <c r="B6" s="993" t="s">
        <v>1091</v>
      </c>
      <c r="C6" s="837" t="s">
        <v>1672</v>
      </c>
      <c r="D6" s="985" t="s">
        <v>2303</v>
      </c>
      <c r="E6" s="479">
        <v>5.05</v>
      </c>
      <c r="F6" s="985" t="s">
        <v>2304</v>
      </c>
      <c r="G6" s="986" t="s">
        <v>509</v>
      </c>
      <c r="H6" s="986" t="s">
        <v>510</v>
      </c>
      <c r="I6" s="995"/>
      <c r="J6" s="993" t="s">
        <v>1126</v>
      </c>
      <c r="K6" s="837" t="s">
        <v>1312</v>
      </c>
      <c r="L6" s="987" t="s">
        <v>2311</v>
      </c>
      <c r="M6" s="439">
        <v>5.93</v>
      </c>
      <c r="N6" s="987" t="s">
        <v>2312</v>
      </c>
      <c r="O6" s="986" t="s">
        <v>509</v>
      </c>
      <c r="P6" s="986" t="s">
        <v>510</v>
      </c>
      <c r="Q6" s="498"/>
      <c r="R6" s="993" t="s">
        <v>1118</v>
      </c>
      <c r="S6" s="990" t="s">
        <v>1313</v>
      </c>
      <c r="T6" s="1395" t="s">
        <v>1276</v>
      </c>
      <c r="U6" s="479">
        <v>9.4499999999999993</v>
      </c>
      <c r="V6" s="1395" t="s">
        <v>1280</v>
      </c>
      <c r="W6" s="986" t="s">
        <v>509</v>
      </c>
      <c r="X6" s="986" t="s">
        <v>510</v>
      </c>
      <c r="Y6" s="497"/>
      <c r="Z6" s="990" t="s">
        <v>1230</v>
      </c>
      <c r="AA6" s="990" t="s">
        <v>1313</v>
      </c>
      <c r="AB6" s="987" t="s">
        <v>2313</v>
      </c>
      <c r="AC6" s="479">
        <v>6.86</v>
      </c>
      <c r="AD6" s="987" t="s">
        <v>2314</v>
      </c>
      <c r="AE6" s="986" t="s">
        <v>509</v>
      </c>
      <c r="AF6" s="986" t="s">
        <v>510</v>
      </c>
      <c r="AG6" s="498"/>
      <c r="AH6" s="988" t="s">
        <v>1116</v>
      </c>
      <c r="AI6" s="998" t="s">
        <v>1314</v>
      </c>
      <c r="AJ6" s="985" t="s">
        <v>596</v>
      </c>
      <c r="AK6" s="479">
        <v>8.74</v>
      </c>
      <c r="AL6" s="996" t="s">
        <v>597</v>
      </c>
      <c r="AM6" s="986" t="s">
        <v>509</v>
      </c>
      <c r="AN6" s="986" t="s">
        <v>510</v>
      </c>
      <c r="AO6" s="497"/>
      <c r="AP6" s="989" t="s">
        <v>1228</v>
      </c>
      <c r="AQ6" s="992" t="s">
        <v>1425</v>
      </c>
      <c r="AR6" s="987" t="s">
        <v>1798</v>
      </c>
      <c r="AS6" s="439">
        <v>11.87</v>
      </c>
      <c r="AT6" s="987" t="s">
        <v>1799</v>
      </c>
      <c r="AU6" s="986" t="s">
        <v>509</v>
      </c>
      <c r="AV6" s="986" t="s">
        <v>510</v>
      </c>
      <c r="AW6" s="497"/>
      <c r="AX6" s="989" t="s">
        <v>1106</v>
      </c>
      <c r="AY6" s="837" t="s">
        <v>1315</v>
      </c>
      <c r="AZ6" s="1395" t="s">
        <v>9</v>
      </c>
      <c r="BA6" s="479">
        <v>13.07</v>
      </c>
      <c r="BB6" s="1395" t="s">
        <v>66</v>
      </c>
      <c r="BC6" s="986" t="s">
        <v>509</v>
      </c>
      <c r="BD6" s="986" t="s">
        <v>510</v>
      </c>
      <c r="BE6" s="498"/>
      <c r="BF6" s="989" t="s">
        <v>1157</v>
      </c>
      <c r="BG6" s="837" t="s">
        <v>1426</v>
      </c>
      <c r="BH6" s="994" t="s">
        <v>1695</v>
      </c>
      <c r="BI6" s="439">
        <v>12.48</v>
      </c>
      <c r="BJ6" s="994" t="s">
        <v>1696</v>
      </c>
      <c r="BK6" s="986" t="s">
        <v>509</v>
      </c>
      <c r="BL6" s="986" t="s">
        <v>510</v>
      </c>
    </row>
    <row r="7" spans="1:64" s="391" customFormat="1" ht="10.5" customHeight="1">
      <c r="B7" s="803" t="s">
        <v>1092</v>
      </c>
      <c r="C7" s="540" t="s">
        <v>1672</v>
      </c>
      <c r="D7" s="400" t="s">
        <v>2309</v>
      </c>
      <c r="E7" s="388">
        <v>5.0999999999999996</v>
      </c>
      <c r="F7" s="400" t="s">
        <v>2310</v>
      </c>
      <c r="G7" s="537" t="s">
        <v>509</v>
      </c>
      <c r="H7" s="537" t="s">
        <v>510</v>
      </c>
      <c r="I7" s="395"/>
      <c r="J7" s="803" t="s">
        <v>1127</v>
      </c>
      <c r="K7" s="540" t="s">
        <v>1312</v>
      </c>
      <c r="L7" s="542" t="s">
        <v>2332</v>
      </c>
      <c r="M7" s="394">
        <v>5.84</v>
      </c>
      <c r="N7" s="542" t="s">
        <v>2333</v>
      </c>
      <c r="O7" s="537" t="s">
        <v>509</v>
      </c>
      <c r="P7" s="537" t="s">
        <v>510</v>
      </c>
      <c r="R7" s="803" t="s">
        <v>1119</v>
      </c>
      <c r="S7" s="538" t="s">
        <v>1313</v>
      </c>
      <c r="T7" s="332" t="s">
        <v>1277</v>
      </c>
      <c r="U7" s="388">
        <v>9.4499999999999993</v>
      </c>
      <c r="V7" s="332" t="s">
        <v>1281</v>
      </c>
      <c r="W7" s="537" t="s">
        <v>509</v>
      </c>
      <c r="X7" s="537" t="s">
        <v>510</v>
      </c>
      <c r="Y7" s="396"/>
      <c r="Z7" s="538" t="s">
        <v>1770</v>
      </c>
      <c r="AA7" s="538" t="s">
        <v>1313</v>
      </c>
      <c r="AB7" s="542" t="s">
        <v>2318</v>
      </c>
      <c r="AC7" s="388">
        <v>6.96</v>
      </c>
      <c r="AD7" s="542" t="s">
        <v>2319</v>
      </c>
      <c r="AE7" s="537" t="s">
        <v>509</v>
      </c>
      <c r="AF7" s="537" t="s">
        <v>510</v>
      </c>
      <c r="AH7" s="536" t="s">
        <v>1117</v>
      </c>
      <c r="AI7" s="703" t="s">
        <v>1314</v>
      </c>
      <c r="AJ7" s="400" t="s">
        <v>598</v>
      </c>
      <c r="AK7" s="388">
        <v>8.74</v>
      </c>
      <c r="AL7" s="706" t="s">
        <v>599</v>
      </c>
      <c r="AM7" s="537" t="s">
        <v>509</v>
      </c>
      <c r="AN7" s="537" t="s">
        <v>510</v>
      </c>
      <c r="AO7" s="396"/>
      <c r="AP7" s="763" t="s">
        <v>1229</v>
      </c>
      <c r="AQ7" s="539" t="s">
        <v>1425</v>
      </c>
      <c r="AR7" s="542" t="s">
        <v>1800</v>
      </c>
      <c r="AS7" s="394">
        <v>11.59</v>
      </c>
      <c r="AT7" s="542" t="s">
        <v>1801</v>
      </c>
      <c r="AU7" s="537" t="s">
        <v>509</v>
      </c>
      <c r="AV7" s="537" t="s">
        <v>510</v>
      </c>
      <c r="AX7" s="763" t="s">
        <v>1107</v>
      </c>
      <c r="AY7" s="540" t="s">
        <v>1315</v>
      </c>
      <c r="AZ7" s="332" t="s">
        <v>12</v>
      </c>
      <c r="BA7" s="388">
        <v>13.07</v>
      </c>
      <c r="BB7" s="332" t="s">
        <v>13</v>
      </c>
      <c r="BC7" s="537" t="s">
        <v>509</v>
      </c>
      <c r="BD7" s="537" t="s">
        <v>510</v>
      </c>
      <c r="BF7" s="763" t="s">
        <v>1158</v>
      </c>
      <c r="BG7" s="540" t="s">
        <v>1426</v>
      </c>
      <c r="BH7" s="762" t="s">
        <v>1709</v>
      </c>
      <c r="BI7" s="394">
        <v>12.48</v>
      </c>
      <c r="BJ7" s="762" t="s">
        <v>1710</v>
      </c>
      <c r="BK7" s="537" t="s">
        <v>509</v>
      </c>
      <c r="BL7" s="537" t="s">
        <v>510</v>
      </c>
    </row>
    <row r="8" spans="1:64" s="391" customFormat="1" ht="10.5" customHeight="1">
      <c r="A8" s="498"/>
      <c r="B8" s="993" t="s">
        <v>1093</v>
      </c>
      <c r="C8" s="837" t="s">
        <v>1672</v>
      </c>
      <c r="D8" s="985" t="s">
        <v>2330</v>
      </c>
      <c r="E8" s="479">
        <v>4.9400000000000004</v>
      </c>
      <c r="F8" s="985" t="s">
        <v>2331</v>
      </c>
      <c r="G8" s="986" t="s">
        <v>509</v>
      </c>
      <c r="H8" s="986" t="s">
        <v>510</v>
      </c>
      <c r="I8" s="995"/>
      <c r="J8" s="993" t="s">
        <v>1128</v>
      </c>
      <c r="K8" s="837" t="s">
        <v>1312</v>
      </c>
      <c r="L8" s="987" t="s">
        <v>2372</v>
      </c>
      <c r="M8" s="439">
        <v>5.73</v>
      </c>
      <c r="N8" s="987" t="s">
        <v>743</v>
      </c>
      <c r="O8" s="986" t="s">
        <v>509</v>
      </c>
      <c r="P8" s="986" t="s">
        <v>510</v>
      </c>
      <c r="Q8" s="1395"/>
      <c r="R8" s="993" t="s">
        <v>1120</v>
      </c>
      <c r="S8" s="990" t="s">
        <v>1313</v>
      </c>
      <c r="T8" s="1395" t="s">
        <v>1278</v>
      </c>
      <c r="U8" s="479">
        <v>9.4499999999999993</v>
      </c>
      <c r="V8" s="1395" t="s">
        <v>1282</v>
      </c>
      <c r="W8" s="986" t="s">
        <v>509</v>
      </c>
      <c r="X8" s="986" t="s">
        <v>510</v>
      </c>
      <c r="Y8" s="497"/>
      <c r="Z8" s="990" t="s">
        <v>1284</v>
      </c>
      <c r="AA8" s="990" t="s">
        <v>1313</v>
      </c>
      <c r="AB8" s="987" t="s">
        <v>2373</v>
      </c>
      <c r="AC8" s="479">
        <v>6.99</v>
      </c>
      <c r="AD8" s="987" t="s">
        <v>2374</v>
      </c>
      <c r="AE8" s="986" t="s">
        <v>509</v>
      </c>
      <c r="AF8" s="986" t="s">
        <v>510</v>
      </c>
      <c r="AG8" s="995"/>
      <c r="AH8" s="989" t="s">
        <v>1118</v>
      </c>
      <c r="AI8" s="992" t="s">
        <v>1314</v>
      </c>
      <c r="AJ8" s="438" t="s">
        <v>600</v>
      </c>
      <c r="AK8" s="439">
        <v>8.75</v>
      </c>
      <c r="AL8" s="438" t="s">
        <v>601</v>
      </c>
      <c r="AM8" s="986" t="s">
        <v>509</v>
      </c>
      <c r="AN8" s="986" t="s">
        <v>510</v>
      </c>
      <c r="AO8" s="497"/>
      <c r="AP8" s="989" t="s">
        <v>1230</v>
      </c>
      <c r="AQ8" s="992" t="s">
        <v>1425</v>
      </c>
      <c r="AR8" s="987" t="s">
        <v>1806</v>
      </c>
      <c r="AS8" s="439">
        <v>11.5</v>
      </c>
      <c r="AT8" s="987" t="s">
        <v>1807</v>
      </c>
      <c r="AU8" s="986" t="s">
        <v>509</v>
      </c>
      <c r="AV8" s="986" t="s">
        <v>510</v>
      </c>
      <c r="AW8" s="498"/>
      <c r="AX8" s="989" t="s">
        <v>1108</v>
      </c>
      <c r="AY8" s="837" t="s">
        <v>1315</v>
      </c>
      <c r="AZ8" s="1395" t="s">
        <v>16</v>
      </c>
      <c r="BA8" s="479">
        <v>13.07</v>
      </c>
      <c r="BB8" s="1395" t="s">
        <v>17</v>
      </c>
      <c r="BC8" s="986" t="s">
        <v>509</v>
      </c>
      <c r="BD8" s="986" t="s">
        <v>510</v>
      </c>
      <c r="BE8" s="498"/>
      <c r="BF8" s="989" t="s">
        <v>1159</v>
      </c>
      <c r="BG8" s="837" t="s">
        <v>1426</v>
      </c>
      <c r="BH8" s="994" t="s">
        <v>1724</v>
      </c>
      <c r="BI8" s="439">
        <v>12.48</v>
      </c>
      <c r="BJ8" s="994" t="s">
        <v>1725</v>
      </c>
      <c r="BK8" s="986" t="s">
        <v>509</v>
      </c>
      <c r="BL8" s="986" t="s">
        <v>510</v>
      </c>
    </row>
    <row r="9" spans="1:64" s="391" customFormat="1" ht="10.5" customHeight="1">
      <c r="B9" s="803" t="s">
        <v>1094</v>
      </c>
      <c r="C9" s="540" t="s">
        <v>1672</v>
      </c>
      <c r="D9" s="400" t="s">
        <v>2447</v>
      </c>
      <c r="E9" s="388">
        <v>5.14</v>
      </c>
      <c r="F9" s="400" t="s">
        <v>2448</v>
      </c>
      <c r="G9" s="537" t="s">
        <v>509</v>
      </c>
      <c r="H9" s="537" t="s">
        <v>510</v>
      </c>
      <c r="I9" s="395"/>
      <c r="J9" s="803" t="s">
        <v>1129</v>
      </c>
      <c r="K9" s="540" t="s">
        <v>1312</v>
      </c>
      <c r="L9" s="542" t="s">
        <v>2449</v>
      </c>
      <c r="M9" s="394">
        <v>5.94</v>
      </c>
      <c r="N9" s="542" t="s">
        <v>2450</v>
      </c>
      <c r="O9" s="537" t="s">
        <v>509</v>
      </c>
      <c r="P9" s="537" t="s">
        <v>510</v>
      </c>
      <c r="R9" s="803" t="s">
        <v>1121</v>
      </c>
      <c r="S9" s="538" t="s">
        <v>1313</v>
      </c>
      <c r="T9" s="332" t="s">
        <v>1279</v>
      </c>
      <c r="U9" s="388">
        <v>9.5</v>
      </c>
      <c r="V9" s="332" t="s">
        <v>1283</v>
      </c>
      <c r="W9" s="537" t="s">
        <v>509</v>
      </c>
      <c r="X9" s="537" t="s">
        <v>510</v>
      </c>
      <c r="Y9" s="396"/>
      <c r="Z9" s="538" t="s">
        <v>1285</v>
      </c>
      <c r="AA9" s="538" t="s">
        <v>1313</v>
      </c>
      <c r="AB9" s="542" t="s">
        <v>2419</v>
      </c>
      <c r="AC9" s="388">
        <v>7</v>
      </c>
      <c r="AD9" s="542" t="s">
        <v>2420</v>
      </c>
      <c r="AE9" s="537" t="s">
        <v>509</v>
      </c>
      <c r="AF9" s="537" t="s">
        <v>510</v>
      </c>
      <c r="AH9" s="763" t="s">
        <v>1119</v>
      </c>
      <c r="AI9" s="539" t="s">
        <v>1314</v>
      </c>
      <c r="AJ9" s="393" t="s">
        <v>1034</v>
      </c>
      <c r="AK9" s="394">
        <v>8.77</v>
      </c>
      <c r="AL9" s="393" t="s">
        <v>1035</v>
      </c>
      <c r="AM9" s="537" t="s">
        <v>509</v>
      </c>
      <c r="AN9" s="537" t="s">
        <v>510</v>
      </c>
      <c r="AO9" s="396"/>
      <c r="AP9" s="763" t="s">
        <v>1770</v>
      </c>
      <c r="AQ9" s="539" t="s">
        <v>1425</v>
      </c>
      <c r="AR9" s="542" t="s">
        <v>1829</v>
      </c>
      <c r="AS9" s="394">
        <v>11.42</v>
      </c>
      <c r="AT9" s="542" t="s">
        <v>1830</v>
      </c>
      <c r="AU9" s="537" t="s">
        <v>509</v>
      </c>
      <c r="AV9" s="537" t="s">
        <v>510</v>
      </c>
      <c r="AX9" s="763" t="s">
        <v>1109</v>
      </c>
      <c r="AY9" s="540" t="s">
        <v>1315</v>
      </c>
      <c r="AZ9" s="332" t="s">
        <v>20</v>
      </c>
      <c r="BA9" s="388">
        <v>13.07</v>
      </c>
      <c r="BB9" s="332" t="s">
        <v>21</v>
      </c>
      <c r="BC9" s="537" t="s">
        <v>509</v>
      </c>
      <c r="BD9" s="537" t="s">
        <v>510</v>
      </c>
      <c r="BF9" s="763" t="s">
        <v>1160</v>
      </c>
      <c r="BG9" s="540" t="s">
        <v>1426</v>
      </c>
      <c r="BH9" s="762" t="s">
        <v>1726</v>
      </c>
      <c r="BI9" s="394">
        <v>12.48</v>
      </c>
      <c r="BJ9" s="762" t="s">
        <v>1727</v>
      </c>
      <c r="BK9" s="537" t="s">
        <v>509</v>
      </c>
      <c r="BL9" s="537" t="s">
        <v>510</v>
      </c>
    </row>
    <row r="10" spans="1:64" s="391" customFormat="1" ht="10.5" customHeight="1">
      <c r="A10" s="1394"/>
      <c r="B10" s="993" t="s">
        <v>1095</v>
      </c>
      <c r="C10" s="837" t="s">
        <v>1672</v>
      </c>
      <c r="D10" s="985" t="s">
        <v>2484</v>
      </c>
      <c r="E10" s="479">
        <v>5.2</v>
      </c>
      <c r="F10" s="985" t="s">
        <v>2485</v>
      </c>
      <c r="G10" s="986" t="s">
        <v>509</v>
      </c>
      <c r="H10" s="986" t="s">
        <v>510</v>
      </c>
      <c r="I10" s="995"/>
      <c r="J10" s="993" t="s">
        <v>1130</v>
      </c>
      <c r="K10" s="837" t="s">
        <v>1312</v>
      </c>
      <c r="L10" s="987" t="s">
        <v>2486</v>
      </c>
      <c r="M10" s="439">
        <v>5.99</v>
      </c>
      <c r="N10" s="987" t="s">
        <v>2487</v>
      </c>
      <c r="O10" s="986" t="s">
        <v>509</v>
      </c>
      <c r="P10" s="986" t="s">
        <v>510</v>
      </c>
      <c r="Q10" s="995"/>
      <c r="R10" s="993" t="s">
        <v>1122</v>
      </c>
      <c r="S10" s="990" t="s">
        <v>1313</v>
      </c>
      <c r="T10" s="1395" t="s">
        <v>1604</v>
      </c>
      <c r="U10" s="479">
        <v>9.5299999999999994</v>
      </c>
      <c r="V10" s="1395" t="s">
        <v>1605</v>
      </c>
      <c r="W10" s="986" t="s">
        <v>509</v>
      </c>
      <c r="X10" s="986" t="s">
        <v>510</v>
      </c>
      <c r="Y10" s="497"/>
      <c r="Z10" s="990" t="s">
        <v>1286</v>
      </c>
      <c r="AA10" s="990" t="s">
        <v>1313</v>
      </c>
      <c r="AB10" s="987" t="s">
        <v>2472</v>
      </c>
      <c r="AC10" s="479">
        <v>7.24</v>
      </c>
      <c r="AD10" s="987" t="s">
        <v>2473</v>
      </c>
      <c r="AE10" s="986" t="s">
        <v>509</v>
      </c>
      <c r="AF10" s="986" t="s">
        <v>510</v>
      </c>
      <c r="AG10" s="995"/>
      <c r="AH10" s="989" t="s">
        <v>1120</v>
      </c>
      <c r="AI10" s="992" t="s">
        <v>1314</v>
      </c>
      <c r="AJ10" s="438" t="s">
        <v>1036</v>
      </c>
      <c r="AK10" s="439">
        <v>8.8000000000000007</v>
      </c>
      <c r="AL10" s="438" t="s">
        <v>1037</v>
      </c>
      <c r="AM10" s="986" t="s">
        <v>509</v>
      </c>
      <c r="AN10" s="986" t="s">
        <v>510</v>
      </c>
      <c r="AO10" s="497"/>
      <c r="AP10" s="989" t="s">
        <v>1284</v>
      </c>
      <c r="AQ10" s="992" t="s">
        <v>1425</v>
      </c>
      <c r="AR10" s="987" t="s">
        <v>1831</v>
      </c>
      <c r="AS10" s="439">
        <v>11.47</v>
      </c>
      <c r="AT10" s="987" t="s">
        <v>1832</v>
      </c>
      <c r="AU10" s="986" t="s">
        <v>509</v>
      </c>
      <c r="AV10" s="986" t="s">
        <v>510</v>
      </c>
      <c r="AW10" s="498"/>
      <c r="AX10" s="989" t="s">
        <v>1110</v>
      </c>
      <c r="AY10" s="837" t="s">
        <v>1315</v>
      </c>
      <c r="AZ10" s="1395" t="s">
        <v>24</v>
      </c>
      <c r="BA10" s="479">
        <v>11.09</v>
      </c>
      <c r="BB10" s="1395" t="s">
        <v>25</v>
      </c>
      <c r="BC10" s="986" t="s">
        <v>509</v>
      </c>
      <c r="BD10" s="986" t="s">
        <v>510</v>
      </c>
      <c r="BE10" s="498"/>
      <c r="BF10" s="989" t="s">
        <v>1161</v>
      </c>
      <c r="BG10" s="837" t="s">
        <v>1426</v>
      </c>
      <c r="BH10" s="994" t="s">
        <v>1734</v>
      </c>
      <c r="BI10" s="439">
        <v>12.33</v>
      </c>
      <c r="BJ10" s="994" t="s">
        <v>1735</v>
      </c>
      <c r="BK10" s="986" t="s">
        <v>509</v>
      </c>
      <c r="BL10" s="986" t="s">
        <v>510</v>
      </c>
    </row>
    <row r="11" spans="1:64" s="391" customFormat="1" ht="10.5" customHeight="1">
      <c r="A11" s="657"/>
      <c r="B11" s="803" t="s">
        <v>1096</v>
      </c>
      <c r="C11" s="540" t="s">
        <v>1672</v>
      </c>
      <c r="D11" s="400" t="s">
        <v>2512</v>
      </c>
      <c r="E11" s="388">
        <v>5.44</v>
      </c>
      <c r="F11" s="400" t="s">
        <v>2513</v>
      </c>
      <c r="G11" s="537" t="s">
        <v>509</v>
      </c>
      <c r="H11" s="537" t="s">
        <v>510</v>
      </c>
      <c r="J11" s="803" t="s">
        <v>1131</v>
      </c>
      <c r="K11" s="540" t="s">
        <v>1312</v>
      </c>
      <c r="L11" s="542" t="s">
        <v>2509</v>
      </c>
      <c r="M11" s="394">
        <v>5.89</v>
      </c>
      <c r="N11" s="542" t="s">
        <v>2510</v>
      </c>
      <c r="O11" s="537" t="s">
        <v>509</v>
      </c>
      <c r="P11" s="537" t="s">
        <v>510</v>
      </c>
      <c r="R11" s="803" t="s">
        <v>1123</v>
      </c>
      <c r="S11" s="538" t="s">
        <v>1313</v>
      </c>
      <c r="T11" s="332" t="s">
        <v>1606</v>
      </c>
      <c r="U11" s="388">
        <v>9.5500000000000007</v>
      </c>
      <c r="V11" s="332" t="s">
        <v>1607</v>
      </c>
      <c r="W11" s="537" t="s">
        <v>509</v>
      </c>
      <c r="X11" s="537" t="s">
        <v>510</v>
      </c>
      <c r="Y11" s="396"/>
      <c r="Z11" s="538" t="s">
        <v>1287</v>
      </c>
      <c r="AA11" s="538" t="s">
        <v>1313</v>
      </c>
      <c r="AB11" s="542" t="s">
        <v>2497</v>
      </c>
      <c r="AC11" s="388">
        <v>7.39</v>
      </c>
      <c r="AD11" s="542" t="s">
        <v>2498</v>
      </c>
      <c r="AE11" s="537" t="s">
        <v>509</v>
      </c>
      <c r="AF11" s="537" t="s">
        <v>510</v>
      </c>
      <c r="AG11" s="395"/>
      <c r="AH11" s="763" t="s">
        <v>1121</v>
      </c>
      <c r="AI11" s="539" t="s">
        <v>1314</v>
      </c>
      <c r="AJ11" s="393" t="s">
        <v>1038</v>
      </c>
      <c r="AK11" s="394">
        <v>8.8000000000000007</v>
      </c>
      <c r="AL11" s="393" t="s">
        <v>1039</v>
      </c>
      <c r="AM11" s="537" t="s">
        <v>509</v>
      </c>
      <c r="AN11" s="537" t="s">
        <v>510</v>
      </c>
      <c r="AO11" s="396"/>
      <c r="AP11" s="763" t="s">
        <v>1285</v>
      </c>
      <c r="AQ11" s="539" t="s">
        <v>1425</v>
      </c>
      <c r="AR11" s="542" t="s">
        <v>1999</v>
      </c>
      <c r="AS11" s="394">
        <v>10.06</v>
      </c>
      <c r="AT11" s="542" t="s">
        <v>1063</v>
      </c>
      <c r="AU11" s="537" t="s">
        <v>509</v>
      </c>
      <c r="AV11" s="537" t="s">
        <v>510</v>
      </c>
      <c r="AX11" s="763" t="s">
        <v>1111</v>
      </c>
      <c r="AY11" s="540" t="s">
        <v>1315</v>
      </c>
      <c r="AZ11" s="332" t="s">
        <v>26</v>
      </c>
      <c r="BA11" s="388">
        <v>10.07</v>
      </c>
      <c r="BB11" s="332" t="s">
        <v>27</v>
      </c>
      <c r="BC11" s="537" t="s">
        <v>509</v>
      </c>
      <c r="BD11" s="537" t="s">
        <v>510</v>
      </c>
      <c r="BF11" s="763" t="s">
        <v>1162</v>
      </c>
      <c r="BG11" s="540" t="s">
        <v>1426</v>
      </c>
      <c r="BH11" s="762" t="s">
        <v>1739</v>
      </c>
      <c r="BI11" s="394">
        <v>12.33</v>
      </c>
      <c r="BJ11" s="762" t="s">
        <v>1741</v>
      </c>
      <c r="BK11" s="537" t="s">
        <v>509</v>
      </c>
      <c r="BL11" s="537" t="s">
        <v>510</v>
      </c>
    </row>
    <row r="12" spans="1:64" s="391" customFormat="1" ht="10.5" customHeight="1">
      <c r="A12" s="498"/>
      <c r="B12" s="993" t="s">
        <v>1097</v>
      </c>
      <c r="C12" s="837" t="s">
        <v>1672</v>
      </c>
      <c r="D12" s="985" t="s">
        <v>2507</v>
      </c>
      <c r="E12" s="479">
        <v>5.4</v>
      </c>
      <c r="F12" s="985" t="s">
        <v>2508</v>
      </c>
      <c r="G12" s="986" t="s">
        <v>509</v>
      </c>
      <c r="H12" s="986" t="s">
        <v>510</v>
      </c>
      <c r="I12" s="498"/>
      <c r="J12" s="993" t="s">
        <v>1132</v>
      </c>
      <c r="K12" s="837" t="s">
        <v>1312</v>
      </c>
      <c r="L12" s="987" t="s">
        <v>2516</v>
      </c>
      <c r="M12" s="439">
        <v>5.69</v>
      </c>
      <c r="N12" s="987" t="s">
        <v>2517</v>
      </c>
      <c r="O12" s="986" t="s">
        <v>509</v>
      </c>
      <c r="P12" s="986" t="s">
        <v>510</v>
      </c>
      <c r="Q12" s="497"/>
      <c r="R12" s="993" t="s">
        <v>1124</v>
      </c>
      <c r="S12" s="990" t="s">
        <v>1313</v>
      </c>
      <c r="T12" s="1395" t="s">
        <v>1608</v>
      </c>
      <c r="U12" s="479">
        <v>9.5500000000000007</v>
      </c>
      <c r="V12" s="1395" t="s">
        <v>1609</v>
      </c>
      <c r="W12" s="986" t="s">
        <v>509</v>
      </c>
      <c r="X12" s="986" t="s">
        <v>510</v>
      </c>
      <c r="Y12" s="497"/>
      <c r="Z12" s="990" t="s">
        <v>1288</v>
      </c>
      <c r="AA12" s="990" t="s">
        <v>1313</v>
      </c>
      <c r="AB12" s="987" t="s">
        <v>2518</v>
      </c>
      <c r="AC12" s="479">
        <v>7.35</v>
      </c>
      <c r="AD12" s="987" t="s">
        <v>2520</v>
      </c>
      <c r="AE12" s="986" t="s">
        <v>509</v>
      </c>
      <c r="AF12" s="986" t="s">
        <v>510</v>
      </c>
      <c r="AG12" s="498"/>
      <c r="AH12" s="989" t="s">
        <v>1122</v>
      </c>
      <c r="AI12" s="992" t="s">
        <v>1314</v>
      </c>
      <c r="AJ12" s="438" t="s">
        <v>1040</v>
      </c>
      <c r="AK12" s="439">
        <v>8.85</v>
      </c>
      <c r="AL12" s="438" t="s">
        <v>1041</v>
      </c>
      <c r="AM12" s="986" t="s">
        <v>509</v>
      </c>
      <c r="AN12" s="986" t="s">
        <v>510</v>
      </c>
      <c r="AO12" s="497"/>
      <c r="AP12" s="989" t="s">
        <v>1286</v>
      </c>
      <c r="AQ12" s="992" t="s">
        <v>1425</v>
      </c>
      <c r="AR12" s="987" t="s">
        <v>2006</v>
      </c>
      <c r="AS12" s="439">
        <v>8.57</v>
      </c>
      <c r="AT12" s="987" t="s">
        <v>2007</v>
      </c>
      <c r="AU12" s="986" t="s">
        <v>509</v>
      </c>
      <c r="AV12" s="986" t="s">
        <v>510</v>
      </c>
      <c r="AW12" s="497"/>
      <c r="AX12" s="989" t="s">
        <v>1112</v>
      </c>
      <c r="AY12" s="837" t="s">
        <v>1315</v>
      </c>
      <c r="AZ12" s="1395" t="s">
        <v>28</v>
      </c>
      <c r="BA12" s="479">
        <v>8.9700000000000006</v>
      </c>
      <c r="BB12" s="1395" t="s">
        <v>29</v>
      </c>
      <c r="BC12" s="986" t="s">
        <v>509</v>
      </c>
      <c r="BD12" s="986" t="s">
        <v>510</v>
      </c>
      <c r="BE12" s="1395"/>
      <c r="BF12" s="989" t="s">
        <v>1163</v>
      </c>
      <c r="BG12" s="837" t="s">
        <v>1426</v>
      </c>
      <c r="BH12" s="994" t="s">
        <v>1745</v>
      </c>
      <c r="BI12" s="439">
        <v>12.26</v>
      </c>
      <c r="BJ12" s="994" t="s">
        <v>1746</v>
      </c>
      <c r="BK12" s="986" t="s">
        <v>509</v>
      </c>
      <c r="BL12" s="986" t="s">
        <v>510</v>
      </c>
    </row>
    <row r="13" spans="1:64" s="391" customFormat="1" ht="10.5" customHeight="1">
      <c r="B13" s="803" t="s">
        <v>1098</v>
      </c>
      <c r="C13" s="540" t="s">
        <v>1672</v>
      </c>
      <c r="D13" s="400" t="s">
        <v>2514</v>
      </c>
      <c r="E13" s="388">
        <v>5.44</v>
      </c>
      <c r="F13" s="400" t="s">
        <v>2515</v>
      </c>
      <c r="G13" s="537" t="s">
        <v>509</v>
      </c>
      <c r="H13" s="537" t="s">
        <v>510</v>
      </c>
      <c r="I13" s="395"/>
      <c r="J13" s="803" t="s">
        <v>1133</v>
      </c>
      <c r="K13" s="540" t="s">
        <v>1312</v>
      </c>
      <c r="L13" s="542" t="s">
        <v>2542</v>
      </c>
      <c r="M13" s="394">
        <v>6.1</v>
      </c>
      <c r="N13" s="542" t="s">
        <v>1654</v>
      </c>
      <c r="O13" s="537" t="s">
        <v>509</v>
      </c>
      <c r="P13" s="537" t="s">
        <v>510</v>
      </c>
      <c r="R13" s="803" t="s">
        <v>1125</v>
      </c>
      <c r="S13" s="538" t="s">
        <v>1313</v>
      </c>
      <c r="T13" s="332" t="s">
        <v>1610</v>
      </c>
      <c r="U13" s="388">
        <v>9.5500000000000007</v>
      </c>
      <c r="V13" s="332" t="s">
        <v>1611</v>
      </c>
      <c r="W13" s="537" t="s">
        <v>509</v>
      </c>
      <c r="X13" s="537" t="s">
        <v>510</v>
      </c>
      <c r="Y13" s="396"/>
      <c r="Z13" s="538" t="s">
        <v>1289</v>
      </c>
      <c r="AA13" s="538" t="s">
        <v>1313</v>
      </c>
      <c r="AB13" s="542" t="s">
        <v>2519</v>
      </c>
      <c r="AC13" s="388">
        <v>7.11</v>
      </c>
      <c r="AD13" s="542" t="s">
        <v>2521</v>
      </c>
      <c r="AE13" s="537" t="s">
        <v>509</v>
      </c>
      <c r="AF13" s="537" t="s">
        <v>510</v>
      </c>
      <c r="AH13" s="763" t="s">
        <v>1123</v>
      </c>
      <c r="AI13" s="539" t="s">
        <v>1314</v>
      </c>
      <c r="AJ13" s="393" t="s">
        <v>1042</v>
      </c>
      <c r="AK13" s="394">
        <v>8.86</v>
      </c>
      <c r="AL13" s="393" t="s">
        <v>1043</v>
      </c>
      <c r="AM13" s="537" t="s">
        <v>509</v>
      </c>
      <c r="AN13" s="537" t="s">
        <v>510</v>
      </c>
      <c r="AO13" s="396"/>
      <c r="AP13" s="763" t="s">
        <v>1287</v>
      </c>
      <c r="AQ13" s="539" t="s">
        <v>1425</v>
      </c>
      <c r="AR13" s="542" t="s">
        <v>2011</v>
      </c>
      <c r="AS13" s="394">
        <v>8.44</v>
      </c>
      <c r="AT13" s="542" t="s">
        <v>2013</v>
      </c>
      <c r="AU13" s="537" t="s">
        <v>509</v>
      </c>
      <c r="AV13" s="537" t="s">
        <v>510</v>
      </c>
      <c r="AW13" s="396"/>
      <c r="AX13" s="763" t="s">
        <v>1113</v>
      </c>
      <c r="AY13" s="540" t="s">
        <v>1315</v>
      </c>
      <c r="AZ13" s="332" t="s">
        <v>30</v>
      </c>
      <c r="BA13" s="388">
        <v>8.59</v>
      </c>
      <c r="BB13" s="332" t="s">
        <v>31</v>
      </c>
      <c r="BC13" s="537" t="s">
        <v>509</v>
      </c>
      <c r="BD13" s="537" t="s">
        <v>510</v>
      </c>
      <c r="BE13" s="396"/>
      <c r="BF13" s="763" t="s">
        <v>1225</v>
      </c>
      <c r="BG13" s="540" t="s">
        <v>1426</v>
      </c>
      <c r="BH13" s="762" t="s">
        <v>1748</v>
      </c>
      <c r="BI13" s="394">
        <v>12.24</v>
      </c>
      <c r="BJ13" s="762" t="s">
        <v>1749</v>
      </c>
      <c r="BK13" s="537" t="s">
        <v>509</v>
      </c>
      <c r="BL13" s="537" t="s">
        <v>510</v>
      </c>
    </row>
    <row r="14" spans="1:64" s="391" customFormat="1" ht="10.5" customHeight="1">
      <c r="A14" s="498"/>
      <c r="B14" s="993" t="s">
        <v>1099</v>
      </c>
      <c r="C14" s="837" t="s">
        <v>1672</v>
      </c>
      <c r="D14" s="985" t="s">
        <v>1645</v>
      </c>
      <c r="E14" s="479">
        <v>3.5</v>
      </c>
      <c r="F14" s="985" t="s">
        <v>2526</v>
      </c>
      <c r="G14" s="986" t="s">
        <v>509</v>
      </c>
      <c r="H14" s="986" t="s">
        <v>510</v>
      </c>
      <c r="I14" s="995"/>
      <c r="J14" s="993" t="s">
        <v>1134</v>
      </c>
      <c r="K14" s="837" t="s">
        <v>1312</v>
      </c>
      <c r="L14" s="987" t="s">
        <v>2565</v>
      </c>
      <c r="M14" s="439">
        <v>5.74</v>
      </c>
      <c r="N14" s="987" t="s">
        <v>2566</v>
      </c>
      <c r="O14" s="986" t="s">
        <v>509</v>
      </c>
      <c r="P14" s="986" t="s">
        <v>510</v>
      </c>
      <c r="Q14" s="498"/>
      <c r="R14" s="993" t="s">
        <v>1126</v>
      </c>
      <c r="S14" s="990" t="s">
        <v>1313</v>
      </c>
      <c r="T14" s="1395" t="s">
        <v>1612</v>
      </c>
      <c r="U14" s="479">
        <v>11.25</v>
      </c>
      <c r="V14" s="1395" t="s">
        <v>1613</v>
      </c>
      <c r="W14" s="986" t="s">
        <v>509</v>
      </c>
      <c r="X14" s="986" t="s">
        <v>510</v>
      </c>
      <c r="Y14" s="497"/>
      <c r="Z14" s="990" t="s">
        <v>1290</v>
      </c>
      <c r="AA14" s="990" t="s">
        <v>1313</v>
      </c>
      <c r="AB14" s="987" t="s">
        <v>2543</v>
      </c>
      <c r="AC14" s="479">
        <v>6.84</v>
      </c>
      <c r="AD14" s="987" t="s">
        <v>2544</v>
      </c>
      <c r="AE14" s="986" t="s">
        <v>509</v>
      </c>
      <c r="AF14" s="986" t="s">
        <v>510</v>
      </c>
      <c r="AG14" s="497"/>
      <c r="AH14" s="989" t="s">
        <v>1124</v>
      </c>
      <c r="AI14" s="992" t="s">
        <v>1314</v>
      </c>
      <c r="AJ14" s="438" t="s">
        <v>1044</v>
      </c>
      <c r="AK14" s="439">
        <v>8.92</v>
      </c>
      <c r="AL14" s="438" t="s">
        <v>1045</v>
      </c>
      <c r="AM14" s="986" t="s">
        <v>509</v>
      </c>
      <c r="AN14" s="986" t="s">
        <v>510</v>
      </c>
      <c r="AO14" s="498"/>
      <c r="AP14" s="989" t="s">
        <v>1288</v>
      </c>
      <c r="AQ14" s="992" t="s">
        <v>1425</v>
      </c>
      <c r="AR14" s="987" t="s">
        <v>2021</v>
      </c>
      <c r="AS14" s="439">
        <v>7.8</v>
      </c>
      <c r="AT14" s="987" t="s">
        <v>2023</v>
      </c>
      <c r="AU14" s="986" t="s">
        <v>509</v>
      </c>
      <c r="AV14" s="986" t="s">
        <v>510</v>
      </c>
      <c r="AW14" s="497"/>
      <c r="AX14" s="989" t="s">
        <v>1114</v>
      </c>
      <c r="AY14" s="837" t="s">
        <v>1315</v>
      </c>
      <c r="AZ14" s="1395" t="s">
        <v>602</v>
      </c>
      <c r="BA14" s="479">
        <v>9.1</v>
      </c>
      <c r="BB14" s="1395" t="s">
        <v>603</v>
      </c>
      <c r="BC14" s="986" t="s">
        <v>509</v>
      </c>
      <c r="BD14" s="986" t="s">
        <v>510</v>
      </c>
      <c r="BE14" s="497"/>
      <c r="BF14" s="989" t="s">
        <v>1226</v>
      </c>
      <c r="BG14" s="837" t="s">
        <v>1426</v>
      </c>
      <c r="BH14" s="994" t="s">
        <v>1759</v>
      </c>
      <c r="BI14" s="439">
        <v>12.14</v>
      </c>
      <c r="BJ14" s="994" t="s">
        <v>1763</v>
      </c>
      <c r="BK14" s="986" t="s">
        <v>509</v>
      </c>
      <c r="BL14" s="986" t="s">
        <v>510</v>
      </c>
    </row>
    <row r="15" spans="1:64" s="391" customFormat="1" ht="10.5" customHeight="1">
      <c r="B15" s="803" t="s">
        <v>1100</v>
      </c>
      <c r="C15" s="540" t="s">
        <v>1672</v>
      </c>
      <c r="D15" s="400" t="s">
        <v>2540</v>
      </c>
      <c r="E15" s="388">
        <v>4.99</v>
      </c>
      <c r="F15" s="400" t="s">
        <v>2541</v>
      </c>
      <c r="G15" s="537" t="s">
        <v>509</v>
      </c>
      <c r="H15" s="537" t="s">
        <v>510</v>
      </c>
      <c r="I15" s="395"/>
      <c r="J15" s="803" t="s">
        <v>1135</v>
      </c>
      <c r="K15" s="540" t="s">
        <v>1312</v>
      </c>
      <c r="L15" s="542" t="s">
        <v>2613</v>
      </c>
      <c r="M15" s="394">
        <v>4</v>
      </c>
      <c r="N15" s="542" t="s">
        <v>2614</v>
      </c>
      <c r="O15" s="537" t="s">
        <v>509</v>
      </c>
      <c r="P15" s="537" t="s">
        <v>510</v>
      </c>
      <c r="R15" s="803" t="s">
        <v>1127</v>
      </c>
      <c r="S15" s="538" t="s">
        <v>1313</v>
      </c>
      <c r="T15" s="332" t="s">
        <v>1614</v>
      </c>
      <c r="U15" s="388">
        <v>11.25</v>
      </c>
      <c r="V15" s="332" t="s">
        <v>1615</v>
      </c>
      <c r="W15" s="537" t="s">
        <v>509</v>
      </c>
      <c r="X15" s="537" t="s">
        <v>510</v>
      </c>
      <c r="Y15" s="396"/>
      <c r="Z15" s="538" t="s">
        <v>1291</v>
      </c>
      <c r="AA15" s="538" t="s">
        <v>1313</v>
      </c>
      <c r="AB15" s="542" t="s">
        <v>2567</v>
      </c>
      <c r="AC15" s="388">
        <v>7.5</v>
      </c>
      <c r="AD15" s="542" t="s">
        <v>2568</v>
      </c>
      <c r="AE15" s="537" t="s">
        <v>509</v>
      </c>
      <c r="AF15" s="537" t="s">
        <v>510</v>
      </c>
      <c r="AG15" s="396"/>
      <c r="AH15" s="763" t="s">
        <v>1125</v>
      </c>
      <c r="AI15" s="539" t="s">
        <v>1314</v>
      </c>
      <c r="AJ15" s="393" t="s">
        <v>1046</v>
      </c>
      <c r="AK15" s="394">
        <v>8.9499999999999993</v>
      </c>
      <c r="AL15" s="393" t="s">
        <v>1047</v>
      </c>
      <c r="AM15" s="537" t="s">
        <v>509</v>
      </c>
      <c r="AN15" s="537" t="s">
        <v>510</v>
      </c>
      <c r="AP15" s="763" t="s">
        <v>2030</v>
      </c>
      <c r="AQ15" s="539" t="s">
        <v>1425</v>
      </c>
      <c r="AR15" s="542" t="s">
        <v>2029</v>
      </c>
      <c r="AS15" s="394">
        <v>8.3000000000000007</v>
      </c>
      <c r="AT15" s="542" t="s">
        <v>2033</v>
      </c>
      <c r="AU15" s="537" t="s">
        <v>509</v>
      </c>
      <c r="AV15" s="537" t="s">
        <v>510</v>
      </c>
      <c r="AW15" s="396"/>
      <c r="AX15" s="763" t="s">
        <v>1115</v>
      </c>
      <c r="AY15" s="540" t="s">
        <v>1315</v>
      </c>
      <c r="AZ15" s="332" t="s">
        <v>604</v>
      </c>
      <c r="BA15" s="388">
        <v>9.1</v>
      </c>
      <c r="BB15" s="332" t="s">
        <v>605</v>
      </c>
      <c r="BC15" s="537" t="s">
        <v>509</v>
      </c>
      <c r="BD15" s="537" t="s">
        <v>510</v>
      </c>
      <c r="BF15" s="763" t="s">
        <v>1227</v>
      </c>
      <c r="BG15" s="540" t="s">
        <v>1426</v>
      </c>
      <c r="BH15" s="762" t="s">
        <v>1761</v>
      </c>
      <c r="BI15" s="394">
        <v>12.14</v>
      </c>
      <c r="BJ15" s="762" t="s">
        <v>1764</v>
      </c>
      <c r="BK15" s="537" t="s">
        <v>509</v>
      </c>
      <c r="BL15" s="537" t="s">
        <v>510</v>
      </c>
    </row>
    <row r="16" spans="1:64" s="391" customFormat="1" ht="10.5" customHeight="1">
      <c r="A16" s="498"/>
      <c r="B16" s="993" t="s">
        <v>1101</v>
      </c>
      <c r="C16" s="837" t="s">
        <v>1672</v>
      </c>
      <c r="D16" s="438" t="s">
        <v>2563</v>
      </c>
      <c r="E16" s="439">
        <v>5.04</v>
      </c>
      <c r="F16" s="438" t="s">
        <v>2564</v>
      </c>
      <c r="G16" s="986" t="s">
        <v>509</v>
      </c>
      <c r="H16" s="986" t="s">
        <v>510</v>
      </c>
      <c r="I16" s="995"/>
      <c r="J16" s="993" t="s">
        <v>1136</v>
      </c>
      <c r="K16" s="837" t="s">
        <v>1312</v>
      </c>
      <c r="L16" s="987" t="s">
        <v>2677</v>
      </c>
      <c r="M16" s="439">
        <v>5.45</v>
      </c>
      <c r="N16" s="987" t="s">
        <v>2678</v>
      </c>
      <c r="O16" s="986" t="s">
        <v>509</v>
      </c>
      <c r="P16" s="986" t="s">
        <v>510</v>
      </c>
      <c r="Q16" s="498"/>
      <c r="R16" s="993" t="s">
        <v>1128</v>
      </c>
      <c r="S16" s="990" t="s">
        <v>1313</v>
      </c>
      <c r="T16" s="1395" t="s">
        <v>1616</v>
      </c>
      <c r="U16" s="479">
        <v>11.35</v>
      </c>
      <c r="V16" s="1395" t="s">
        <v>1617</v>
      </c>
      <c r="W16" s="986" t="s">
        <v>509</v>
      </c>
      <c r="X16" s="986" t="s">
        <v>510</v>
      </c>
      <c r="Y16" s="497"/>
      <c r="Z16" s="990" t="s">
        <v>1460</v>
      </c>
      <c r="AA16" s="990" t="s">
        <v>1313</v>
      </c>
      <c r="AB16" s="987" t="s">
        <v>2569</v>
      </c>
      <c r="AC16" s="479">
        <v>7</v>
      </c>
      <c r="AD16" s="987" t="s">
        <v>2570</v>
      </c>
      <c r="AE16" s="986" t="s">
        <v>509</v>
      </c>
      <c r="AF16" s="986" t="s">
        <v>510</v>
      </c>
      <c r="AG16" s="498"/>
      <c r="AH16" s="989" t="s">
        <v>1126</v>
      </c>
      <c r="AI16" s="992" t="s">
        <v>1314</v>
      </c>
      <c r="AJ16" s="438" t="s">
        <v>1048</v>
      </c>
      <c r="AK16" s="439">
        <v>9.0500000000000007</v>
      </c>
      <c r="AL16" s="438" t="s">
        <v>1049</v>
      </c>
      <c r="AM16" s="986" t="s">
        <v>509</v>
      </c>
      <c r="AN16" s="986" t="s">
        <v>510</v>
      </c>
      <c r="AO16" s="498"/>
      <c r="AP16" s="989" t="s">
        <v>2031</v>
      </c>
      <c r="AQ16" s="992" t="s">
        <v>1425</v>
      </c>
      <c r="AR16" s="987" t="s">
        <v>2045</v>
      </c>
      <c r="AS16" s="439">
        <v>7.44</v>
      </c>
      <c r="AT16" s="987" t="s">
        <v>2046</v>
      </c>
      <c r="AU16" s="986" t="s">
        <v>509</v>
      </c>
      <c r="AV16" s="986" t="s">
        <v>510</v>
      </c>
      <c r="AW16" s="497"/>
      <c r="AX16" s="989" t="s">
        <v>1116</v>
      </c>
      <c r="AY16" s="837" t="s">
        <v>1315</v>
      </c>
      <c r="AZ16" s="1395" t="s">
        <v>606</v>
      </c>
      <c r="BA16" s="479">
        <v>9.11</v>
      </c>
      <c r="BB16" s="1395" t="s">
        <v>607</v>
      </c>
      <c r="BC16" s="986" t="s">
        <v>509</v>
      </c>
      <c r="BD16" s="986" t="s">
        <v>510</v>
      </c>
      <c r="BE16" s="498"/>
      <c r="BF16" s="989" t="s">
        <v>1228</v>
      </c>
      <c r="BG16" s="837" t="s">
        <v>1426</v>
      </c>
      <c r="BH16" s="994" t="s">
        <v>1771</v>
      </c>
      <c r="BI16" s="439">
        <v>12.14</v>
      </c>
      <c r="BJ16" s="994" t="s">
        <v>1772</v>
      </c>
      <c r="BK16" s="986" t="s">
        <v>509</v>
      </c>
      <c r="BL16" s="986" t="s">
        <v>510</v>
      </c>
    </row>
    <row r="17" spans="1:64" s="391" customFormat="1" ht="10.5" customHeight="1">
      <c r="B17" s="410" t="s">
        <v>1102</v>
      </c>
      <c r="C17" s="540" t="s">
        <v>1672</v>
      </c>
      <c r="D17" s="393" t="s">
        <v>2587</v>
      </c>
      <c r="E17" s="394">
        <v>3.5</v>
      </c>
      <c r="F17" s="393" t="s">
        <v>2588</v>
      </c>
      <c r="G17" s="537" t="s">
        <v>509</v>
      </c>
      <c r="H17" s="537" t="s">
        <v>510</v>
      </c>
      <c r="I17" s="395"/>
      <c r="J17" s="803" t="s">
        <v>1137</v>
      </c>
      <c r="K17" s="540" t="s">
        <v>1312</v>
      </c>
      <c r="L17" s="542" t="s">
        <v>2810</v>
      </c>
      <c r="M17" s="394">
        <v>4.5</v>
      </c>
      <c r="N17" s="542" t="s">
        <v>2811</v>
      </c>
      <c r="O17" s="537" t="s">
        <v>509</v>
      </c>
      <c r="P17" s="537" t="s">
        <v>510</v>
      </c>
      <c r="R17" s="803" t="s">
        <v>1129</v>
      </c>
      <c r="S17" s="538" t="s">
        <v>1313</v>
      </c>
      <c r="T17" s="332" t="s">
        <v>1543</v>
      </c>
      <c r="U17" s="388">
        <v>11.5</v>
      </c>
      <c r="V17" s="332" t="s">
        <v>1545</v>
      </c>
      <c r="W17" s="537" t="s">
        <v>509</v>
      </c>
      <c r="X17" s="537" t="s">
        <v>510</v>
      </c>
      <c r="Y17" s="396"/>
      <c r="Z17" s="536" t="s">
        <v>1461</v>
      </c>
      <c r="AA17" s="538" t="s">
        <v>1313</v>
      </c>
      <c r="AB17" s="542" t="s">
        <v>2685</v>
      </c>
      <c r="AC17" s="388">
        <v>6.95</v>
      </c>
      <c r="AD17" s="542" t="s">
        <v>2686</v>
      </c>
      <c r="AE17" s="537" t="s">
        <v>509</v>
      </c>
      <c r="AF17" s="537" t="s">
        <v>510</v>
      </c>
      <c r="AG17" s="396"/>
      <c r="AH17" s="763" t="s">
        <v>1127</v>
      </c>
      <c r="AI17" s="539" t="s">
        <v>1314</v>
      </c>
      <c r="AJ17" s="393" t="s">
        <v>1050</v>
      </c>
      <c r="AK17" s="394">
        <v>9.1199999999999992</v>
      </c>
      <c r="AL17" s="393" t="s">
        <v>1051</v>
      </c>
      <c r="AM17" s="537" t="s">
        <v>509</v>
      </c>
      <c r="AN17" s="537" t="s">
        <v>510</v>
      </c>
      <c r="AP17" s="763" t="s">
        <v>1291</v>
      </c>
      <c r="AQ17" s="539" t="s">
        <v>1425</v>
      </c>
      <c r="AR17" s="542" t="s">
        <v>2050</v>
      </c>
      <c r="AS17" s="394">
        <v>7.4</v>
      </c>
      <c r="AT17" s="542" t="s">
        <v>2051</v>
      </c>
      <c r="AU17" s="537" t="s">
        <v>509</v>
      </c>
      <c r="AV17" s="537" t="s">
        <v>510</v>
      </c>
      <c r="AW17" s="396"/>
      <c r="AX17" s="763" t="s">
        <v>1117</v>
      </c>
      <c r="AY17" s="540" t="s">
        <v>1315</v>
      </c>
      <c r="AZ17" s="332" t="s">
        <v>608</v>
      </c>
      <c r="BA17" s="388">
        <v>9.15</v>
      </c>
      <c r="BB17" s="332" t="s">
        <v>609</v>
      </c>
      <c r="BC17" s="537" t="s">
        <v>509</v>
      </c>
      <c r="BD17" s="537" t="s">
        <v>510</v>
      </c>
      <c r="BF17" s="763" t="s">
        <v>1229</v>
      </c>
      <c r="BG17" s="540" t="s">
        <v>1426</v>
      </c>
      <c r="BH17" s="762" t="s">
        <v>1774</v>
      </c>
      <c r="BI17" s="394">
        <v>12.12</v>
      </c>
      <c r="BJ17" s="762" t="s">
        <v>1773</v>
      </c>
      <c r="BK17" s="537" t="s">
        <v>509</v>
      </c>
      <c r="BL17" s="537" t="s">
        <v>510</v>
      </c>
    </row>
    <row r="18" spans="1:64" s="391" customFormat="1" ht="10.5" customHeight="1">
      <c r="A18" s="498"/>
      <c r="B18" s="999" t="s">
        <v>1103</v>
      </c>
      <c r="C18" s="837" t="s">
        <v>1672</v>
      </c>
      <c r="D18" s="438" t="s">
        <v>2675</v>
      </c>
      <c r="E18" s="439">
        <v>4.5</v>
      </c>
      <c r="F18" s="438" t="s">
        <v>2676</v>
      </c>
      <c r="G18" s="986" t="s">
        <v>509</v>
      </c>
      <c r="H18" s="986" t="s">
        <v>510</v>
      </c>
      <c r="I18" s="995"/>
      <c r="J18" s="993" t="s">
        <v>1138</v>
      </c>
      <c r="K18" s="837" t="s">
        <v>1312</v>
      </c>
      <c r="L18" s="987" t="s">
        <v>2838</v>
      </c>
      <c r="M18" s="439">
        <v>5.45</v>
      </c>
      <c r="N18" s="987" t="s">
        <v>2839</v>
      </c>
      <c r="O18" s="986" t="s">
        <v>509</v>
      </c>
      <c r="P18" s="986" t="s">
        <v>510</v>
      </c>
      <c r="Q18" s="498"/>
      <c r="R18" s="993" t="s">
        <v>1130</v>
      </c>
      <c r="S18" s="990" t="s">
        <v>1313</v>
      </c>
      <c r="T18" s="1395" t="s">
        <v>1544</v>
      </c>
      <c r="U18" s="479">
        <v>11.56</v>
      </c>
      <c r="V18" s="1395" t="s">
        <v>1546</v>
      </c>
      <c r="W18" s="986" t="s">
        <v>509</v>
      </c>
      <c r="X18" s="986" t="s">
        <v>510</v>
      </c>
      <c r="Y18" s="497"/>
      <c r="Z18" s="988" t="s">
        <v>1462</v>
      </c>
      <c r="AA18" s="990" t="s">
        <v>1313</v>
      </c>
      <c r="AB18" s="987" t="s">
        <v>2840</v>
      </c>
      <c r="AC18" s="479">
        <v>7.15</v>
      </c>
      <c r="AD18" s="987" t="s">
        <v>2841</v>
      </c>
      <c r="AE18" s="986" t="s">
        <v>509</v>
      </c>
      <c r="AF18" s="986" t="s">
        <v>510</v>
      </c>
      <c r="AG18" s="497"/>
      <c r="AH18" s="989" t="s">
        <v>1128</v>
      </c>
      <c r="AI18" s="992" t="s">
        <v>1314</v>
      </c>
      <c r="AJ18" s="438" t="s">
        <v>1052</v>
      </c>
      <c r="AK18" s="439">
        <v>9.1199999999999992</v>
      </c>
      <c r="AL18" s="438" t="s">
        <v>1053</v>
      </c>
      <c r="AM18" s="986" t="s">
        <v>509</v>
      </c>
      <c r="AN18" s="986" t="s">
        <v>510</v>
      </c>
      <c r="AO18" s="498"/>
      <c r="AP18" s="989" t="s">
        <v>1460</v>
      </c>
      <c r="AQ18" s="992" t="s">
        <v>1425</v>
      </c>
      <c r="AR18" s="987" t="s">
        <v>2071</v>
      </c>
      <c r="AS18" s="439">
        <v>7.59</v>
      </c>
      <c r="AT18" s="987" t="s">
        <v>1078</v>
      </c>
      <c r="AU18" s="986" t="s">
        <v>509</v>
      </c>
      <c r="AV18" s="986" t="s">
        <v>510</v>
      </c>
      <c r="AW18" s="497"/>
      <c r="AX18" s="989" t="s">
        <v>1118</v>
      </c>
      <c r="AY18" s="837" t="s">
        <v>1315</v>
      </c>
      <c r="AZ18" s="1395" t="s">
        <v>1056</v>
      </c>
      <c r="BA18" s="479">
        <v>9.17</v>
      </c>
      <c r="BB18" s="1395" t="s">
        <v>1057</v>
      </c>
      <c r="BC18" s="986" t="s">
        <v>509</v>
      </c>
      <c r="BD18" s="986" t="s">
        <v>510</v>
      </c>
      <c r="BE18" s="498"/>
      <c r="BF18" s="989" t="s">
        <v>1230</v>
      </c>
      <c r="BG18" s="837" t="s">
        <v>1426</v>
      </c>
      <c r="BH18" s="994" t="s">
        <v>1798</v>
      </c>
      <c r="BI18" s="439">
        <v>12.1</v>
      </c>
      <c r="BJ18" s="994" t="s">
        <v>1802</v>
      </c>
      <c r="BK18" s="986" t="s">
        <v>509</v>
      </c>
      <c r="BL18" s="986" t="s">
        <v>510</v>
      </c>
    </row>
    <row r="19" spans="1:64" s="391" customFormat="1" ht="10.5" customHeight="1">
      <c r="B19" s="410" t="s">
        <v>1104</v>
      </c>
      <c r="C19" s="540" t="s">
        <v>1672</v>
      </c>
      <c r="D19" s="393" t="s">
        <v>2808</v>
      </c>
      <c r="E19" s="394">
        <v>3.7</v>
      </c>
      <c r="F19" s="393" t="s">
        <v>2809</v>
      </c>
      <c r="G19" s="537" t="s">
        <v>509</v>
      </c>
      <c r="H19" s="537" t="s">
        <v>510</v>
      </c>
      <c r="I19" s="395"/>
      <c r="J19" s="803" t="s">
        <v>1139</v>
      </c>
      <c r="K19" s="540" t="s">
        <v>1678</v>
      </c>
      <c r="L19" s="542" t="s">
        <v>1674</v>
      </c>
      <c r="M19" s="394">
        <v>7</v>
      </c>
      <c r="N19" s="542" t="s">
        <v>1679</v>
      </c>
      <c r="O19" s="537" t="s">
        <v>509</v>
      </c>
      <c r="P19" s="537" t="s">
        <v>510</v>
      </c>
      <c r="R19" s="803" t="s">
        <v>1131</v>
      </c>
      <c r="S19" s="538" t="s">
        <v>1313</v>
      </c>
      <c r="T19" s="332" t="s">
        <v>1547</v>
      </c>
      <c r="U19" s="388">
        <v>11.6</v>
      </c>
      <c r="V19" s="332" t="s">
        <v>1548</v>
      </c>
      <c r="W19" s="537" t="s">
        <v>509</v>
      </c>
      <c r="X19" s="537" t="s">
        <v>510</v>
      </c>
      <c r="Y19" s="396"/>
      <c r="Z19" s="536" t="s">
        <v>1463</v>
      </c>
      <c r="AA19" s="538" t="s">
        <v>1673</v>
      </c>
      <c r="AB19" s="542" t="s">
        <v>1674</v>
      </c>
      <c r="AC19" s="388">
        <v>7</v>
      </c>
      <c r="AD19" s="542" t="s">
        <v>1675</v>
      </c>
      <c r="AE19" s="537" t="s">
        <v>509</v>
      </c>
      <c r="AF19" s="537" t="s">
        <v>510</v>
      </c>
      <c r="AH19" s="763" t="s">
        <v>1129</v>
      </c>
      <c r="AI19" s="539" t="s">
        <v>1314</v>
      </c>
      <c r="AJ19" s="393" t="s">
        <v>1054</v>
      </c>
      <c r="AK19" s="394">
        <v>9.1999999999999993</v>
      </c>
      <c r="AL19" s="393" t="s">
        <v>1055</v>
      </c>
      <c r="AM19" s="1020" t="s">
        <v>509</v>
      </c>
      <c r="AN19" s="537" t="s">
        <v>510</v>
      </c>
      <c r="AP19" s="763" t="s">
        <v>1461</v>
      </c>
      <c r="AQ19" s="539" t="s">
        <v>1425</v>
      </c>
      <c r="AR19" s="542" t="s">
        <v>2083</v>
      </c>
      <c r="AS19" s="394">
        <v>7.79</v>
      </c>
      <c r="AT19" s="542" t="s">
        <v>1086</v>
      </c>
      <c r="AU19" s="537" t="s">
        <v>509</v>
      </c>
      <c r="AV19" s="537" t="s">
        <v>510</v>
      </c>
      <c r="AW19" s="332"/>
      <c r="AX19" s="763" t="s">
        <v>1119</v>
      </c>
      <c r="AY19" s="540" t="s">
        <v>1315</v>
      </c>
      <c r="AZ19" s="332" t="s">
        <v>1058</v>
      </c>
      <c r="BA19" s="388">
        <v>9.1999999999999993</v>
      </c>
      <c r="BB19" s="332" t="s">
        <v>1059</v>
      </c>
      <c r="BC19" s="537" t="s">
        <v>509</v>
      </c>
      <c r="BD19" s="537" t="s">
        <v>510</v>
      </c>
      <c r="BF19" s="763" t="s">
        <v>1770</v>
      </c>
      <c r="BG19" s="540" t="s">
        <v>1426</v>
      </c>
      <c r="BH19" s="762" t="s">
        <v>1800</v>
      </c>
      <c r="BI19" s="394">
        <v>11.89</v>
      </c>
      <c r="BJ19" s="762" t="s">
        <v>1803</v>
      </c>
      <c r="BK19" s="537" t="s">
        <v>509</v>
      </c>
      <c r="BL19" s="537" t="s">
        <v>510</v>
      </c>
    </row>
    <row r="20" spans="1:64" s="252" customFormat="1" ht="10.5" customHeight="1">
      <c r="A20" s="498"/>
      <c r="B20" s="999" t="s">
        <v>1105</v>
      </c>
      <c r="C20" s="844" t="s">
        <v>1672</v>
      </c>
      <c r="D20" s="438" t="s">
        <v>2836</v>
      </c>
      <c r="E20" s="439">
        <v>4.41</v>
      </c>
      <c r="F20" s="438" t="s">
        <v>2837</v>
      </c>
      <c r="G20" s="1043" t="s">
        <v>509</v>
      </c>
      <c r="H20" s="1043" t="s">
        <v>510</v>
      </c>
      <c r="I20" s="995"/>
      <c r="J20" s="993" t="s">
        <v>1140</v>
      </c>
      <c r="K20" s="837" t="s">
        <v>1684</v>
      </c>
      <c r="L20" s="987" t="s">
        <v>1674</v>
      </c>
      <c r="M20" s="439">
        <v>7</v>
      </c>
      <c r="N20" s="987" t="s">
        <v>1679</v>
      </c>
      <c r="O20" s="986" t="s">
        <v>509</v>
      </c>
      <c r="P20" s="986" t="s">
        <v>510</v>
      </c>
      <c r="Q20" s="1001"/>
      <c r="R20" s="993" t="s">
        <v>1132</v>
      </c>
      <c r="S20" s="990" t="s">
        <v>1313</v>
      </c>
      <c r="T20" s="1395" t="s">
        <v>1549</v>
      </c>
      <c r="U20" s="479">
        <v>11.6</v>
      </c>
      <c r="V20" s="1395" t="s">
        <v>728</v>
      </c>
      <c r="W20" s="986" t="s">
        <v>509</v>
      </c>
      <c r="X20" s="986" t="s">
        <v>510</v>
      </c>
      <c r="Y20" s="497"/>
      <c r="Z20" s="988" t="s">
        <v>1464</v>
      </c>
      <c r="AA20" s="990" t="s">
        <v>1676</v>
      </c>
      <c r="AB20" s="987" t="s">
        <v>1674</v>
      </c>
      <c r="AC20" s="479">
        <v>7</v>
      </c>
      <c r="AD20" s="987" t="s">
        <v>1675</v>
      </c>
      <c r="AE20" s="986" t="s">
        <v>509</v>
      </c>
      <c r="AF20" s="986" t="s">
        <v>510</v>
      </c>
      <c r="AG20" s="497"/>
      <c r="AH20" s="989" t="s">
        <v>1130</v>
      </c>
      <c r="AI20" s="992" t="s">
        <v>1314</v>
      </c>
      <c r="AJ20" s="438" t="s">
        <v>1083</v>
      </c>
      <c r="AK20" s="439">
        <v>9.3000000000000007</v>
      </c>
      <c r="AL20" s="438" t="s">
        <v>1084</v>
      </c>
      <c r="AM20" s="986" t="s">
        <v>509</v>
      </c>
      <c r="AN20" s="986" t="s">
        <v>510</v>
      </c>
      <c r="AO20" s="498"/>
      <c r="AP20" s="989" t="s">
        <v>1462</v>
      </c>
      <c r="AQ20" s="992" t="s">
        <v>1425</v>
      </c>
      <c r="AR20" s="987" t="s">
        <v>2089</v>
      </c>
      <c r="AS20" s="439">
        <v>7.84</v>
      </c>
      <c r="AT20" s="987" t="s">
        <v>2090</v>
      </c>
      <c r="AU20" s="986" t="s">
        <v>509</v>
      </c>
      <c r="AV20" s="986" t="s">
        <v>510</v>
      </c>
      <c r="AW20" s="1395"/>
      <c r="AX20" s="989" t="s">
        <v>1120</v>
      </c>
      <c r="AY20" s="837" t="s">
        <v>1315</v>
      </c>
      <c r="AZ20" s="438" t="s">
        <v>1060</v>
      </c>
      <c r="BA20" s="439">
        <v>9.15</v>
      </c>
      <c r="BB20" s="438" t="s">
        <v>1061</v>
      </c>
      <c r="BC20" s="986" t="s">
        <v>509</v>
      </c>
      <c r="BD20" s="986" t="s">
        <v>510</v>
      </c>
      <c r="BE20" s="498"/>
      <c r="BF20" s="989" t="s">
        <v>1284</v>
      </c>
      <c r="BG20" s="837" t="s">
        <v>1426</v>
      </c>
      <c r="BH20" s="994" t="s">
        <v>1806</v>
      </c>
      <c r="BI20" s="439">
        <v>11.98</v>
      </c>
      <c r="BJ20" s="994" t="s">
        <v>1808</v>
      </c>
      <c r="BK20" s="986" t="s">
        <v>509</v>
      </c>
      <c r="BL20" s="986" t="s">
        <v>510</v>
      </c>
    </row>
    <row r="21" spans="1:64" s="391" customFormat="1" ht="10.5" customHeight="1">
      <c r="A21" s="391" t="s">
        <v>926</v>
      </c>
      <c r="B21" s="410" t="s">
        <v>1090</v>
      </c>
      <c r="C21" s="540" t="s">
        <v>1312</v>
      </c>
      <c r="D21" s="393" t="s">
        <v>1737</v>
      </c>
      <c r="E21" s="394">
        <v>11.23</v>
      </c>
      <c r="F21" s="393" t="s">
        <v>1738</v>
      </c>
      <c r="G21" s="537" t="s">
        <v>509</v>
      </c>
      <c r="H21" s="537" t="s">
        <v>510</v>
      </c>
      <c r="I21" s="395"/>
      <c r="J21" s="803" t="s">
        <v>1141</v>
      </c>
      <c r="K21" s="540" t="s">
        <v>1685</v>
      </c>
      <c r="L21" s="542" t="s">
        <v>1674</v>
      </c>
      <c r="M21" s="394">
        <v>7</v>
      </c>
      <c r="N21" s="542" t="s">
        <v>1679</v>
      </c>
      <c r="O21" s="537" t="s">
        <v>509</v>
      </c>
      <c r="P21" s="537" t="s">
        <v>510</v>
      </c>
      <c r="R21" s="803" t="s">
        <v>1133</v>
      </c>
      <c r="S21" s="538" t="s">
        <v>1313</v>
      </c>
      <c r="T21" s="332" t="s">
        <v>1550</v>
      </c>
      <c r="U21" s="388">
        <v>11.75</v>
      </c>
      <c r="V21" s="332" t="s">
        <v>1551</v>
      </c>
      <c r="W21" s="537" t="s">
        <v>509</v>
      </c>
      <c r="X21" s="537" t="s">
        <v>510</v>
      </c>
      <c r="Y21" s="833"/>
      <c r="Z21" s="536" t="s">
        <v>1465</v>
      </c>
      <c r="AA21" s="538" t="s">
        <v>1677</v>
      </c>
      <c r="AB21" s="542" t="s">
        <v>1674</v>
      </c>
      <c r="AC21" s="388">
        <v>7</v>
      </c>
      <c r="AD21" s="542" t="s">
        <v>1675</v>
      </c>
      <c r="AE21" s="537" t="s">
        <v>509</v>
      </c>
      <c r="AF21" s="537" t="s">
        <v>510</v>
      </c>
      <c r="AH21" s="763" t="s">
        <v>1131</v>
      </c>
      <c r="AI21" s="539" t="s">
        <v>1314</v>
      </c>
      <c r="AJ21" s="393" t="s">
        <v>1618</v>
      </c>
      <c r="AK21" s="394">
        <v>9.35</v>
      </c>
      <c r="AL21" s="393" t="s">
        <v>1619</v>
      </c>
      <c r="AM21" s="537" t="s">
        <v>509</v>
      </c>
      <c r="AN21" s="537" t="s">
        <v>510</v>
      </c>
      <c r="AP21" s="763" t="s">
        <v>1463</v>
      </c>
      <c r="AQ21" s="539" t="s">
        <v>1425</v>
      </c>
      <c r="AR21" s="542" t="s">
        <v>2101</v>
      </c>
      <c r="AS21" s="394">
        <v>8</v>
      </c>
      <c r="AT21" s="542" t="s">
        <v>2102</v>
      </c>
      <c r="AU21" s="537" t="s">
        <v>509</v>
      </c>
      <c r="AV21" s="537" t="s">
        <v>510</v>
      </c>
      <c r="AW21" s="332"/>
      <c r="AX21" s="763" t="s">
        <v>1121</v>
      </c>
      <c r="AY21" s="540" t="s">
        <v>1315</v>
      </c>
      <c r="AZ21" s="332" t="s">
        <v>1062</v>
      </c>
      <c r="BA21" s="388">
        <v>9.1999999999999993</v>
      </c>
      <c r="BB21" s="332" t="s">
        <v>1063</v>
      </c>
      <c r="BC21" s="537" t="s">
        <v>509</v>
      </c>
      <c r="BD21" s="537" t="s">
        <v>510</v>
      </c>
      <c r="BF21" s="763" t="s">
        <v>1285</v>
      </c>
      <c r="BG21" s="540" t="s">
        <v>1426</v>
      </c>
      <c r="BH21" s="762" t="s">
        <v>1829</v>
      </c>
      <c r="BI21" s="394">
        <v>11.98</v>
      </c>
      <c r="BJ21" s="762" t="s">
        <v>1834</v>
      </c>
      <c r="BK21" s="537" t="s">
        <v>509</v>
      </c>
      <c r="BL21" s="537" t="s">
        <v>510</v>
      </c>
    </row>
    <row r="22" spans="1:64" s="391" customFormat="1" ht="10.5" customHeight="1">
      <c r="A22" s="498"/>
      <c r="B22" s="999" t="s">
        <v>1091</v>
      </c>
      <c r="C22" s="837" t="s">
        <v>1312</v>
      </c>
      <c r="D22" s="438" t="s">
        <v>1743</v>
      </c>
      <c r="E22" s="439">
        <v>11.11</v>
      </c>
      <c r="F22" s="438" t="s">
        <v>1744</v>
      </c>
      <c r="G22" s="986" t="s">
        <v>509</v>
      </c>
      <c r="H22" s="986" t="s">
        <v>510</v>
      </c>
      <c r="I22" s="995"/>
      <c r="J22" s="993" t="s">
        <v>1142</v>
      </c>
      <c r="K22" s="837" t="s">
        <v>1681</v>
      </c>
      <c r="L22" s="987" t="s">
        <v>1674</v>
      </c>
      <c r="M22" s="439">
        <v>7</v>
      </c>
      <c r="N22" s="987" t="s">
        <v>1680</v>
      </c>
      <c r="O22" s="986" t="s">
        <v>509</v>
      </c>
      <c r="P22" s="986" t="s">
        <v>510</v>
      </c>
      <c r="Q22" s="498"/>
      <c r="R22" s="993" t="s">
        <v>1134</v>
      </c>
      <c r="S22" s="990" t="s">
        <v>1313</v>
      </c>
      <c r="T22" s="1395" t="s">
        <v>1552</v>
      </c>
      <c r="U22" s="479">
        <v>11.75</v>
      </c>
      <c r="V22" s="1395" t="s">
        <v>741</v>
      </c>
      <c r="W22" s="986" t="s">
        <v>509</v>
      </c>
      <c r="X22" s="986" t="s">
        <v>510</v>
      </c>
      <c r="Y22" s="497"/>
      <c r="Z22" s="988" t="s">
        <v>1466</v>
      </c>
      <c r="AA22" s="990" t="s">
        <v>1320</v>
      </c>
      <c r="AB22" s="987" t="s">
        <v>1541</v>
      </c>
      <c r="AC22" s="479">
        <v>5</v>
      </c>
      <c r="AD22" s="987" t="s">
        <v>1561</v>
      </c>
      <c r="AE22" s="986" t="s">
        <v>509</v>
      </c>
      <c r="AF22" s="986" t="s">
        <v>510</v>
      </c>
      <c r="AG22" s="498"/>
      <c r="AH22" s="989" t="s">
        <v>1132</v>
      </c>
      <c r="AI22" s="992" t="s">
        <v>1314</v>
      </c>
      <c r="AJ22" s="438" t="s">
        <v>1620</v>
      </c>
      <c r="AK22" s="439">
        <v>9.35</v>
      </c>
      <c r="AL22" s="438" t="s">
        <v>1621</v>
      </c>
      <c r="AM22" s="986" t="s">
        <v>509</v>
      </c>
      <c r="AN22" s="986" t="s">
        <v>510</v>
      </c>
      <c r="AO22" s="498"/>
      <c r="AP22" s="989" t="s">
        <v>1464</v>
      </c>
      <c r="AQ22" s="992" t="s">
        <v>1425</v>
      </c>
      <c r="AR22" s="987" t="s">
        <v>2103</v>
      </c>
      <c r="AS22" s="439">
        <v>8</v>
      </c>
      <c r="AT22" s="987" t="s">
        <v>2104</v>
      </c>
      <c r="AU22" s="986" t="s">
        <v>509</v>
      </c>
      <c r="AV22" s="986" t="s">
        <v>510</v>
      </c>
      <c r="AW22" s="1395"/>
      <c r="AX22" s="989" t="s">
        <v>1122</v>
      </c>
      <c r="AY22" s="837" t="s">
        <v>1315</v>
      </c>
      <c r="AZ22" s="1395" t="s">
        <v>1064</v>
      </c>
      <c r="BA22" s="479">
        <v>9.23</v>
      </c>
      <c r="BB22" s="1395" t="s">
        <v>1065</v>
      </c>
      <c r="BC22" s="986" t="s">
        <v>509</v>
      </c>
      <c r="BD22" s="986" t="s">
        <v>510</v>
      </c>
      <c r="BE22" s="498"/>
      <c r="BF22" s="989" t="s">
        <v>1286</v>
      </c>
      <c r="BG22" s="837" t="s">
        <v>1426</v>
      </c>
      <c r="BH22" s="994" t="s">
        <v>1831</v>
      </c>
      <c r="BI22" s="439">
        <v>11.98</v>
      </c>
      <c r="BJ22" s="994" t="s">
        <v>1833</v>
      </c>
      <c r="BK22" s="986" t="s">
        <v>509</v>
      </c>
      <c r="BL22" s="986" t="s">
        <v>510</v>
      </c>
    </row>
    <row r="23" spans="1:64" s="391" customFormat="1" ht="10.5" customHeight="1">
      <c r="B23" s="410" t="s">
        <v>1092</v>
      </c>
      <c r="C23" s="540" t="s">
        <v>1312</v>
      </c>
      <c r="D23" s="393" t="s">
        <v>1753</v>
      </c>
      <c r="E23" s="394">
        <v>10.66</v>
      </c>
      <c r="F23" s="393" t="s">
        <v>1754</v>
      </c>
      <c r="G23" s="537" t="s">
        <v>509</v>
      </c>
      <c r="H23" s="537" t="s">
        <v>510</v>
      </c>
      <c r="I23" s="395"/>
      <c r="J23" s="803" t="s">
        <v>1143</v>
      </c>
      <c r="K23" s="540" t="s">
        <v>1686</v>
      </c>
      <c r="L23" s="542" t="s">
        <v>1674</v>
      </c>
      <c r="M23" s="394">
        <v>7</v>
      </c>
      <c r="N23" s="542" t="s">
        <v>1680</v>
      </c>
      <c r="O23" s="537" t="s">
        <v>509</v>
      </c>
      <c r="P23" s="537" t="s">
        <v>510</v>
      </c>
      <c r="R23" s="803" t="s">
        <v>1135</v>
      </c>
      <c r="S23" s="538" t="s">
        <v>1313</v>
      </c>
      <c r="T23" s="332" t="s">
        <v>1553</v>
      </c>
      <c r="U23" s="388">
        <v>11.8</v>
      </c>
      <c r="V23" s="332" t="s">
        <v>1554</v>
      </c>
      <c r="W23" s="537" t="s">
        <v>509</v>
      </c>
      <c r="X23" s="537" t="s">
        <v>510</v>
      </c>
      <c r="Y23" s="396"/>
      <c r="Z23" s="536" t="s">
        <v>1467</v>
      </c>
      <c r="AA23" s="538" t="s">
        <v>1321</v>
      </c>
      <c r="AB23" s="542" t="s">
        <v>1541</v>
      </c>
      <c r="AC23" s="388">
        <v>5</v>
      </c>
      <c r="AD23" s="542" t="s">
        <v>1561</v>
      </c>
      <c r="AE23" s="537" t="s">
        <v>509</v>
      </c>
      <c r="AF23" s="537" t="s">
        <v>510</v>
      </c>
      <c r="AG23" s="833"/>
      <c r="AH23" s="763" t="s">
        <v>1133</v>
      </c>
      <c r="AI23" s="539" t="s">
        <v>1314</v>
      </c>
      <c r="AJ23" s="393" t="s">
        <v>1622</v>
      </c>
      <c r="AK23" s="394">
        <v>9.65</v>
      </c>
      <c r="AL23" s="393" t="s">
        <v>1623</v>
      </c>
      <c r="AM23" s="537" t="s">
        <v>509</v>
      </c>
      <c r="AN23" s="537" t="s">
        <v>510</v>
      </c>
      <c r="AP23" s="763" t="s">
        <v>1465</v>
      </c>
      <c r="AQ23" s="539" t="s">
        <v>1425</v>
      </c>
      <c r="AR23" s="542" t="s">
        <v>2112</v>
      </c>
      <c r="AS23" s="394">
        <v>8</v>
      </c>
      <c r="AT23" s="542" t="s">
        <v>2113</v>
      </c>
      <c r="AU23" s="537" t="s">
        <v>509</v>
      </c>
      <c r="AV23" s="537" t="s">
        <v>510</v>
      </c>
      <c r="AW23" s="332"/>
      <c r="AX23" s="763" t="s">
        <v>1123</v>
      </c>
      <c r="AY23" s="540" t="s">
        <v>1315</v>
      </c>
      <c r="AZ23" s="332" t="s">
        <v>1066</v>
      </c>
      <c r="BA23" s="388">
        <v>9.25</v>
      </c>
      <c r="BB23" s="332" t="s">
        <v>1067</v>
      </c>
      <c r="BC23" s="537" t="s">
        <v>509</v>
      </c>
      <c r="BD23" s="537" t="s">
        <v>510</v>
      </c>
      <c r="BF23" s="763" t="s">
        <v>1287</v>
      </c>
      <c r="BG23" s="540" t="s">
        <v>1426</v>
      </c>
      <c r="BH23" s="762" t="s">
        <v>1999</v>
      </c>
      <c r="BI23" s="394">
        <v>10.36</v>
      </c>
      <c r="BJ23" s="762" t="s">
        <v>2000</v>
      </c>
      <c r="BK23" s="537" t="s">
        <v>509</v>
      </c>
      <c r="BL23" s="537" t="s">
        <v>510</v>
      </c>
    </row>
    <row r="24" spans="1:64" s="252" customFormat="1" ht="10.5" customHeight="1">
      <c r="A24" s="438"/>
      <c r="B24" s="999" t="s">
        <v>1093</v>
      </c>
      <c r="C24" s="837" t="s">
        <v>1312</v>
      </c>
      <c r="D24" s="987" t="s">
        <v>1757</v>
      </c>
      <c r="E24" s="439">
        <v>10.25</v>
      </c>
      <c r="F24" s="987" t="s">
        <v>1758</v>
      </c>
      <c r="G24" s="986" t="s">
        <v>509</v>
      </c>
      <c r="H24" s="986" t="s">
        <v>510</v>
      </c>
      <c r="I24" s="995"/>
      <c r="J24" s="993" t="s">
        <v>1144</v>
      </c>
      <c r="K24" s="837" t="s">
        <v>1687</v>
      </c>
      <c r="L24" s="987" t="s">
        <v>1674</v>
      </c>
      <c r="M24" s="439">
        <v>7</v>
      </c>
      <c r="N24" s="987" t="s">
        <v>1680</v>
      </c>
      <c r="O24" s="986" t="s">
        <v>509</v>
      </c>
      <c r="P24" s="986" t="s">
        <v>510</v>
      </c>
      <c r="Q24" s="995"/>
      <c r="R24" s="993" t="s">
        <v>1136</v>
      </c>
      <c r="S24" s="990" t="s">
        <v>1313</v>
      </c>
      <c r="T24" s="1395" t="s">
        <v>1555</v>
      </c>
      <c r="U24" s="479">
        <v>11.75</v>
      </c>
      <c r="V24" s="1395" t="s">
        <v>744</v>
      </c>
      <c r="W24" s="986" t="s">
        <v>509</v>
      </c>
      <c r="X24" s="986" t="s">
        <v>510</v>
      </c>
      <c r="Y24" s="497"/>
      <c r="Z24" s="988" t="s">
        <v>2125</v>
      </c>
      <c r="AA24" s="990" t="s">
        <v>1322</v>
      </c>
      <c r="AB24" s="987" t="s">
        <v>1541</v>
      </c>
      <c r="AC24" s="479">
        <v>5</v>
      </c>
      <c r="AD24" s="987" t="s">
        <v>1561</v>
      </c>
      <c r="AE24" s="986" t="s">
        <v>509</v>
      </c>
      <c r="AF24" s="986" t="s">
        <v>510</v>
      </c>
      <c r="AG24" s="498"/>
      <c r="AH24" s="989" t="s">
        <v>1134</v>
      </c>
      <c r="AI24" s="992" t="s">
        <v>1314</v>
      </c>
      <c r="AJ24" s="438" t="s">
        <v>1624</v>
      </c>
      <c r="AK24" s="439">
        <v>10.3</v>
      </c>
      <c r="AL24" s="438" t="s">
        <v>1625</v>
      </c>
      <c r="AM24" s="986" t="s">
        <v>509</v>
      </c>
      <c r="AN24" s="986" t="s">
        <v>510</v>
      </c>
      <c r="AO24" s="498"/>
      <c r="AP24" s="989" t="s">
        <v>1466</v>
      </c>
      <c r="AQ24" s="992" t="s">
        <v>1425</v>
      </c>
      <c r="AR24" s="987" t="s">
        <v>2128</v>
      </c>
      <c r="AS24" s="439">
        <v>7.69</v>
      </c>
      <c r="AT24" s="987" t="s">
        <v>2129</v>
      </c>
      <c r="AU24" s="986" t="s">
        <v>509</v>
      </c>
      <c r="AV24" s="986" t="s">
        <v>510</v>
      </c>
      <c r="AW24" s="1395"/>
      <c r="AX24" s="989" t="s">
        <v>1124</v>
      </c>
      <c r="AY24" s="837" t="s">
        <v>1315</v>
      </c>
      <c r="AZ24" s="1395" t="s">
        <v>1068</v>
      </c>
      <c r="BA24" s="479">
        <v>9.25</v>
      </c>
      <c r="BB24" s="1395" t="s">
        <v>1069</v>
      </c>
      <c r="BC24" s="986" t="s">
        <v>509</v>
      </c>
      <c r="BD24" s="986" t="s">
        <v>510</v>
      </c>
      <c r="BE24" s="498"/>
      <c r="BF24" s="989" t="s">
        <v>1288</v>
      </c>
      <c r="BG24" s="837" t="s">
        <v>1426</v>
      </c>
      <c r="BH24" s="994" t="s">
        <v>2006</v>
      </c>
      <c r="BI24" s="439">
        <v>8.93</v>
      </c>
      <c r="BJ24" s="994" t="s">
        <v>2010</v>
      </c>
      <c r="BK24" s="986" t="s">
        <v>509</v>
      </c>
      <c r="BL24" s="986" t="s">
        <v>510</v>
      </c>
    </row>
    <row r="25" spans="1:64" s="252" customFormat="1" ht="10.5" customHeight="1">
      <c r="A25" s="391"/>
      <c r="B25" s="803" t="s">
        <v>1094</v>
      </c>
      <c r="C25" s="540" t="s">
        <v>1312</v>
      </c>
      <c r="D25" s="542" t="s">
        <v>1767</v>
      </c>
      <c r="E25" s="394">
        <v>10.1</v>
      </c>
      <c r="F25" s="542" t="s">
        <v>1768</v>
      </c>
      <c r="G25" s="537" t="s">
        <v>509</v>
      </c>
      <c r="H25" s="537" t="s">
        <v>510</v>
      </c>
      <c r="I25" s="395"/>
      <c r="J25" s="1102" t="s">
        <v>1145</v>
      </c>
      <c r="K25" s="540" t="s">
        <v>1326</v>
      </c>
      <c r="L25" s="849" t="s">
        <v>1541</v>
      </c>
      <c r="M25" s="394">
        <v>5</v>
      </c>
      <c r="N25" s="393" t="s">
        <v>1542</v>
      </c>
      <c r="O25" s="537" t="s">
        <v>509</v>
      </c>
      <c r="P25" s="537" t="s">
        <v>510</v>
      </c>
      <c r="Q25" s="395"/>
      <c r="R25" s="803" t="s">
        <v>1137</v>
      </c>
      <c r="S25" s="538" t="s">
        <v>1313</v>
      </c>
      <c r="T25" s="332" t="s">
        <v>1556</v>
      </c>
      <c r="U25" s="388">
        <v>11.8</v>
      </c>
      <c r="V25" s="332" t="s">
        <v>745</v>
      </c>
      <c r="W25" s="537" t="s">
        <v>509</v>
      </c>
      <c r="X25" s="537" t="s">
        <v>510</v>
      </c>
      <c r="Y25" s="396"/>
      <c r="Z25" s="536" t="s">
        <v>1468</v>
      </c>
      <c r="AA25" s="538" t="s">
        <v>1316</v>
      </c>
      <c r="AB25" s="542" t="s">
        <v>730</v>
      </c>
      <c r="AC25" s="388">
        <v>5</v>
      </c>
      <c r="AD25" s="542" t="s">
        <v>582</v>
      </c>
      <c r="AE25" s="537" t="s">
        <v>509</v>
      </c>
      <c r="AF25" s="537" t="s">
        <v>510</v>
      </c>
      <c r="AG25" s="391"/>
      <c r="AH25" s="763" t="s">
        <v>1135</v>
      </c>
      <c r="AI25" s="539" t="s">
        <v>1314</v>
      </c>
      <c r="AJ25" s="393" t="s">
        <v>1626</v>
      </c>
      <c r="AK25" s="394">
        <v>10.99</v>
      </c>
      <c r="AL25" s="393" t="s">
        <v>1627</v>
      </c>
      <c r="AM25" s="537" t="s">
        <v>509</v>
      </c>
      <c r="AN25" s="537" t="s">
        <v>510</v>
      </c>
      <c r="AO25" s="391"/>
      <c r="AP25" s="763" t="s">
        <v>1467</v>
      </c>
      <c r="AQ25" s="539" t="s">
        <v>1425</v>
      </c>
      <c r="AR25" s="542" t="s">
        <v>2137</v>
      </c>
      <c r="AS25" s="394">
        <v>7.54</v>
      </c>
      <c r="AT25" s="542" t="s">
        <v>2138</v>
      </c>
      <c r="AU25" s="537" t="s">
        <v>509</v>
      </c>
      <c r="AV25" s="537" t="s">
        <v>510</v>
      </c>
      <c r="AW25" s="332"/>
      <c r="AX25" s="763" t="s">
        <v>1125</v>
      </c>
      <c r="AY25" s="540" t="s">
        <v>1315</v>
      </c>
      <c r="AZ25" s="332" t="s">
        <v>1070</v>
      </c>
      <c r="BA25" s="388">
        <v>9.4499999999999993</v>
      </c>
      <c r="BB25" s="332" t="s">
        <v>1071</v>
      </c>
      <c r="BC25" s="537" t="s">
        <v>509</v>
      </c>
      <c r="BD25" s="537" t="s">
        <v>510</v>
      </c>
      <c r="BE25" s="391"/>
      <c r="BF25" s="763" t="s">
        <v>2030</v>
      </c>
      <c r="BG25" s="540" t="s">
        <v>1426</v>
      </c>
      <c r="BH25" s="762" t="s">
        <v>2011</v>
      </c>
      <c r="BI25" s="394">
        <v>8.99</v>
      </c>
      <c r="BJ25" s="762" t="s">
        <v>2012</v>
      </c>
      <c r="BK25" s="537" t="s">
        <v>509</v>
      </c>
      <c r="BL25" s="537" t="s">
        <v>510</v>
      </c>
    </row>
    <row r="26" spans="1:64" s="252" customFormat="1" ht="10.5" customHeight="1">
      <c r="A26" s="435"/>
      <c r="B26" s="993" t="s">
        <v>1095</v>
      </c>
      <c r="C26" s="837" t="s">
        <v>1312</v>
      </c>
      <c r="D26" s="987" t="s">
        <v>1777</v>
      </c>
      <c r="E26" s="439">
        <v>10.1</v>
      </c>
      <c r="F26" s="987" t="s">
        <v>1778</v>
      </c>
      <c r="G26" s="986" t="s">
        <v>509</v>
      </c>
      <c r="H26" s="986" t="s">
        <v>510</v>
      </c>
      <c r="I26" s="995"/>
      <c r="J26" s="1399" t="s">
        <v>1146</v>
      </c>
      <c r="K26" s="837" t="s">
        <v>1328</v>
      </c>
      <c r="L26" s="987" t="s">
        <v>1541</v>
      </c>
      <c r="M26" s="439">
        <v>5</v>
      </c>
      <c r="N26" s="1400" t="s">
        <v>1542</v>
      </c>
      <c r="O26" s="986" t="s">
        <v>509</v>
      </c>
      <c r="P26" s="986" t="s">
        <v>510</v>
      </c>
      <c r="Q26" s="995"/>
      <c r="R26" s="993" t="s">
        <v>1138</v>
      </c>
      <c r="S26" s="990" t="s">
        <v>1313</v>
      </c>
      <c r="T26" s="1395" t="s">
        <v>1557</v>
      </c>
      <c r="U26" s="479">
        <v>11.9</v>
      </c>
      <c r="V26" s="1395" t="s">
        <v>524</v>
      </c>
      <c r="W26" s="986" t="s">
        <v>509</v>
      </c>
      <c r="X26" s="986" t="s">
        <v>510</v>
      </c>
      <c r="Y26" s="498"/>
      <c r="Z26" s="988" t="s">
        <v>1469</v>
      </c>
      <c r="AA26" s="990" t="s">
        <v>1317</v>
      </c>
      <c r="AB26" s="987" t="s">
        <v>730</v>
      </c>
      <c r="AC26" s="479">
        <v>5</v>
      </c>
      <c r="AD26" s="987" t="s">
        <v>583</v>
      </c>
      <c r="AE26" s="986" t="s">
        <v>509</v>
      </c>
      <c r="AF26" s="986" t="s">
        <v>510</v>
      </c>
      <c r="AG26" s="497"/>
      <c r="AH26" s="989" t="s">
        <v>1136</v>
      </c>
      <c r="AI26" s="992" t="s">
        <v>1314</v>
      </c>
      <c r="AJ26" s="438" t="s">
        <v>1628</v>
      </c>
      <c r="AK26" s="439">
        <v>11</v>
      </c>
      <c r="AL26" s="438" t="s">
        <v>1629</v>
      </c>
      <c r="AM26" s="986" t="s">
        <v>509</v>
      </c>
      <c r="AN26" s="986" t="s">
        <v>510</v>
      </c>
      <c r="AO26" s="498"/>
      <c r="AP26" s="989" t="s">
        <v>2125</v>
      </c>
      <c r="AQ26" s="992" t="s">
        <v>1425</v>
      </c>
      <c r="AR26" s="987" t="s">
        <v>2143</v>
      </c>
      <c r="AS26" s="439">
        <v>7.75</v>
      </c>
      <c r="AT26" s="987" t="s">
        <v>1585</v>
      </c>
      <c r="AU26" s="986" t="s">
        <v>509</v>
      </c>
      <c r="AV26" s="986" t="s">
        <v>510</v>
      </c>
      <c r="AW26" s="1395"/>
      <c r="AX26" s="989" t="s">
        <v>1126</v>
      </c>
      <c r="AY26" s="837" t="s">
        <v>1315</v>
      </c>
      <c r="AZ26" s="1395" t="s">
        <v>1072</v>
      </c>
      <c r="BA26" s="479">
        <v>9.57</v>
      </c>
      <c r="BB26" s="1395" t="s">
        <v>1835</v>
      </c>
      <c r="BC26" s="986" t="s">
        <v>509</v>
      </c>
      <c r="BD26" s="986" t="s">
        <v>510</v>
      </c>
      <c r="BE26" s="498"/>
      <c r="BF26" s="989" t="s">
        <v>2031</v>
      </c>
      <c r="BG26" s="837" t="s">
        <v>1426</v>
      </c>
      <c r="BH26" s="994" t="s">
        <v>2021</v>
      </c>
      <c r="BI26" s="439">
        <v>8.1999999999999993</v>
      </c>
      <c r="BJ26" s="994" t="s">
        <v>2022</v>
      </c>
      <c r="BK26" s="986" t="s">
        <v>509</v>
      </c>
      <c r="BL26" s="986" t="s">
        <v>510</v>
      </c>
    </row>
    <row r="27" spans="1:64" s="252" customFormat="1" ht="10.5" customHeight="1">
      <c r="A27" s="351"/>
      <c r="B27" s="803" t="s">
        <v>1096</v>
      </c>
      <c r="C27" s="540" t="s">
        <v>1312</v>
      </c>
      <c r="D27" s="542" t="s">
        <v>1791</v>
      </c>
      <c r="E27" s="394">
        <v>10</v>
      </c>
      <c r="F27" s="542" t="s">
        <v>1792</v>
      </c>
      <c r="G27" s="537" t="s">
        <v>509</v>
      </c>
      <c r="H27" s="537" t="s">
        <v>510</v>
      </c>
      <c r="I27" s="395"/>
      <c r="J27" s="1102" t="s">
        <v>1147</v>
      </c>
      <c r="K27" s="540" t="s">
        <v>1329</v>
      </c>
      <c r="L27" s="1401" t="s">
        <v>1541</v>
      </c>
      <c r="M27" s="394">
        <v>5</v>
      </c>
      <c r="N27" s="393" t="s">
        <v>1542</v>
      </c>
      <c r="O27" s="537" t="s">
        <v>509</v>
      </c>
      <c r="P27" s="537" t="s">
        <v>510</v>
      </c>
      <c r="Q27" s="395"/>
      <c r="R27" s="803" t="s">
        <v>1139</v>
      </c>
      <c r="S27" s="538" t="s">
        <v>1313</v>
      </c>
      <c r="T27" s="332" t="s">
        <v>1558</v>
      </c>
      <c r="U27" s="388">
        <v>12</v>
      </c>
      <c r="V27" s="332" t="s">
        <v>525</v>
      </c>
      <c r="W27" s="537" t="s">
        <v>509</v>
      </c>
      <c r="X27" s="537" t="s">
        <v>510</v>
      </c>
      <c r="Y27" s="391"/>
      <c r="Z27" s="536" t="s">
        <v>1474</v>
      </c>
      <c r="AA27" s="538" t="s">
        <v>1323</v>
      </c>
      <c r="AB27" s="542" t="s">
        <v>1541</v>
      </c>
      <c r="AC27" s="388">
        <v>5</v>
      </c>
      <c r="AD27" s="542" t="s">
        <v>1562</v>
      </c>
      <c r="AE27" s="537" t="s">
        <v>509</v>
      </c>
      <c r="AF27" s="537" t="s">
        <v>510</v>
      </c>
      <c r="AG27" s="391"/>
      <c r="AH27" s="763" t="s">
        <v>1137</v>
      </c>
      <c r="AI27" s="539" t="s">
        <v>1314</v>
      </c>
      <c r="AJ27" s="393" t="s">
        <v>1630</v>
      </c>
      <c r="AK27" s="394">
        <v>11</v>
      </c>
      <c r="AL27" s="393" t="s">
        <v>1631</v>
      </c>
      <c r="AM27" s="537" t="s">
        <v>509</v>
      </c>
      <c r="AN27" s="537" t="s">
        <v>510</v>
      </c>
      <c r="AO27" s="391"/>
      <c r="AP27" s="763" t="s">
        <v>1468</v>
      </c>
      <c r="AQ27" s="539" t="s">
        <v>1425</v>
      </c>
      <c r="AR27" s="542" t="s">
        <v>2155</v>
      </c>
      <c r="AS27" s="394">
        <v>7.64</v>
      </c>
      <c r="AT27" s="542" t="s">
        <v>2156</v>
      </c>
      <c r="AU27" s="537" t="s">
        <v>509</v>
      </c>
      <c r="AV27" s="537" t="s">
        <v>510</v>
      </c>
      <c r="AW27" s="395"/>
      <c r="AX27" s="763" t="s">
        <v>1127</v>
      </c>
      <c r="AY27" s="540" t="s">
        <v>1315</v>
      </c>
      <c r="AZ27" s="332" t="s">
        <v>1073</v>
      </c>
      <c r="BA27" s="388">
        <v>9.6</v>
      </c>
      <c r="BB27" s="332" t="s">
        <v>1074</v>
      </c>
      <c r="BC27" s="537" t="s">
        <v>509</v>
      </c>
      <c r="BD27" s="537" t="s">
        <v>510</v>
      </c>
      <c r="BE27" s="391"/>
      <c r="BF27" s="763" t="s">
        <v>1291</v>
      </c>
      <c r="BG27" s="540" t="s">
        <v>1426</v>
      </c>
      <c r="BH27" s="762" t="s">
        <v>2029</v>
      </c>
      <c r="BI27" s="394">
        <v>8.6999999999999993</v>
      </c>
      <c r="BJ27" s="762" t="s">
        <v>2032</v>
      </c>
      <c r="BK27" s="537" t="s">
        <v>509</v>
      </c>
      <c r="BL27" s="537" t="s">
        <v>510</v>
      </c>
    </row>
    <row r="28" spans="1:64" s="252" customFormat="1" ht="10.5" customHeight="1">
      <c r="A28" s="1395"/>
      <c r="B28" s="993" t="s">
        <v>1097</v>
      </c>
      <c r="C28" s="837" t="s">
        <v>1312</v>
      </c>
      <c r="D28" s="987" t="s">
        <v>1796</v>
      </c>
      <c r="E28" s="439">
        <v>9.82</v>
      </c>
      <c r="F28" s="987" t="s">
        <v>1797</v>
      </c>
      <c r="G28" s="986" t="s">
        <v>509</v>
      </c>
      <c r="H28" s="986" t="s">
        <v>510</v>
      </c>
      <c r="I28" s="995" t="s">
        <v>928</v>
      </c>
      <c r="J28" s="1399" t="s">
        <v>1090</v>
      </c>
      <c r="K28" s="837" t="s">
        <v>1313</v>
      </c>
      <c r="L28" s="1402" t="s">
        <v>51</v>
      </c>
      <c r="M28" s="439">
        <v>11.72</v>
      </c>
      <c r="N28" s="1402" t="s">
        <v>52</v>
      </c>
      <c r="O28" s="986" t="s">
        <v>509</v>
      </c>
      <c r="P28" s="986" t="s">
        <v>510</v>
      </c>
      <c r="Q28" s="995"/>
      <c r="R28" s="993" t="s">
        <v>1140</v>
      </c>
      <c r="S28" s="990" t="s">
        <v>1313</v>
      </c>
      <c r="T28" s="1395" t="s">
        <v>1559</v>
      </c>
      <c r="U28" s="479">
        <v>12.1</v>
      </c>
      <c r="V28" s="1395" t="s">
        <v>1560</v>
      </c>
      <c r="W28" s="986" t="s">
        <v>509</v>
      </c>
      <c r="X28" s="986" t="s">
        <v>510</v>
      </c>
      <c r="Y28" s="498"/>
      <c r="Z28" s="988" t="s">
        <v>1488</v>
      </c>
      <c r="AA28" s="990" t="s">
        <v>1324</v>
      </c>
      <c r="AB28" s="987" t="s">
        <v>1541</v>
      </c>
      <c r="AC28" s="479">
        <v>5</v>
      </c>
      <c r="AD28" s="987" t="s">
        <v>1562</v>
      </c>
      <c r="AE28" s="986" t="s">
        <v>509</v>
      </c>
      <c r="AF28" s="986" t="s">
        <v>510</v>
      </c>
      <c r="AG28" s="498"/>
      <c r="AH28" s="989" t="s">
        <v>1138</v>
      </c>
      <c r="AI28" s="992" t="s">
        <v>1314</v>
      </c>
      <c r="AJ28" s="438" t="s">
        <v>1632</v>
      </c>
      <c r="AK28" s="439">
        <v>11.5</v>
      </c>
      <c r="AL28" s="438" t="s">
        <v>1633</v>
      </c>
      <c r="AM28" s="986" t="s">
        <v>509</v>
      </c>
      <c r="AN28" s="986" t="s">
        <v>510</v>
      </c>
      <c r="AO28" s="498"/>
      <c r="AP28" s="989" t="s">
        <v>1469</v>
      </c>
      <c r="AQ28" s="992" t="s">
        <v>1425</v>
      </c>
      <c r="AR28" s="987" t="s">
        <v>2163</v>
      </c>
      <c r="AS28" s="439">
        <v>7.48</v>
      </c>
      <c r="AT28" s="987" t="s">
        <v>2164</v>
      </c>
      <c r="AU28" s="986" t="s">
        <v>509</v>
      </c>
      <c r="AV28" s="986" t="s">
        <v>510</v>
      </c>
      <c r="AW28" s="498"/>
      <c r="AX28" s="989" t="s">
        <v>1128</v>
      </c>
      <c r="AY28" s="837" t="s">
        <v>1315</v>
      </c>
      <c r="AZ28" s="1395" t="s">
        <v>1075</v>
      </c>
      <c r="BA28" s="479">
        <v>9.6</v>
      </c>
      <c r="BB28" s="1395" t="s">
        <v>1076</v>
      </c>
      <c r="BC28" s="986" t="s">
        <v>509</v>
      </c>
      <c r="BD28" s="986" t="s">
        <v>510</v>
      </c>
      <c r="BE28" s="498"/>
      <c r="BF28" s="989" t="s">
        <v>1460</v>
      </c>
      <c r="BG28" s="837" t="s">
        <v>1426</v>
      </c>
      <c r="BH28" s="994" t="s">
        <v>2045</v>
      </c>
      <c r="BI28" s="439">
        <v>7.64</v>
      </c>
      <c r="BJ28" s="994" t="s">
        <v>2047</v>
      </c>
      <c r="BK28" s="986" t="s">
        <v>509</v>
      </c>
      <c r="BL28" s="986" t="s">
        <v>510</v>
      </c>
    </row>
    <row r="29" spans="1:64" s="252" customFormat="1" ht="10.5" customHeight="1">
      <c r="A29" s="395"/>
      <c r="B29" s="803" t="s">
        <v>1098</v>
      </c>
      <c r="C29" s="540" t="s">
        <v>1312</v>
      </c>
      <c r="D29" s="542" t="s">
        <v>1804</v>
      </c>
      <c r="E29" s="394">
        <v>9.49</v>
      </c>
      <c r="F29" s="542" t="s">
        <v>1805</v>
      </c>
      <c r="G29" s="537" t="s">
        <v>509</v>
      </c>
      <c r="H29" s="537" t="s">
        <v>510</v>
      </c>
      <c r="I29" s="1681"/>
      <c r="J29" s="1102" t="s">
        <v>1091</v>
      </c>
      <c r="K29" s="540" t="s">
        <v>1313</v>
      </c>
      <c r="L29" s="393" t="s">
        <v>1</v>
      </c>
      <c r="M29" s="394">
        <v>11.72</v>
      </c>
      <c r="N29" s="393" t="s">
        <v>2</v>
      </c>
      <c r="O29" s="537" t="s">
        <v>509</v>
      </c>
      <c r="P29" s="537" t="s">
        <v>510</v>
      </c>
      <c r="Q29" s="395"/>
      <c r="R29" s="803" t="s">
        <v>1141</v>
      </c>
      <c r="S29" s="538" t="s">
        <v>1313</v>
      </c>
      <c r="T29" s="332" t="s">
        <v>1639</v>
      </c>
      <c r="U29" s="388">
        <v>12.1</v>
      </c>
      <c r="V29" s="332" t="s">
        <v>1640</v>
      </c>
      <c r="W29" s="537" t="s">
        <v>509</v>
      </c>
      <c r="X29" s="537" t="s">
        <v>510</v>
      </c>
      <c r="Y29" s="391"/>
      <c r="Z29" s="536" t="s">
        <v>1490</v>
      </c>
      <c r="AA29" s="538" t="s">
        <v>1325</v>
      </c>
      <c r="AB29" s="542" t="s">
        <v>1541</v>
      </c>
      <c r="AC29" s="388">
        <v>5</v>
      </c>
      <c r="AD29" s="542" t="s">
        <v>1562</v>
      </c>
      <c r="AE29" s="537" t="s">
        <v>509</v>
      </c>
      <c r="AF29" s="537" t="s">
        <v>510</v>
      </c>
      <c r="AG29" s="391"/>
      <c r="AH29" s="763" t="s">
        <v>1139</v>
      </c>
      <c r="AI29" s="539" t="s">
        <v>1314</v>
      </c>
      <c r="AJ29" s="393" t="s">
        <v>1634</v>
      </c>
      <c r="AK29" s="394">
        <v>11.5</v>
      </c>
      <c r="AL29" s="393" t="s">
        <v>1635</v>
      </c>
      <c r="AM29" s="537" t="s">
        <v>509</v>
      </c>
      <c r="AN29" s="537" t="s">
        <v>510</v>
      </c>
      <c r="AO29" s="391"/>
      <c r="AP29" s="763" t="s">
        <v>1474</v>
      </c>
      <c r="AQ29" s="539" t="s">
        <v>1425</v>
      </c>
      <c r="AR29" s="542" t="s">
        <v>2198</v>
      </c>
      <c r="AS29" s="394">
        <v>7.25</v>
      </c>
      <c r="AT29" s="542" t="s">
        <v>2199</v>
      </c>
      <c r="AU29" s="537" t="s">
        <v>509</v>
      </c>
      <c r="AV29" s="537" t="s">
        <v>510</v>
      </c>
      <c r="AW29" s="391"/>
      <c r="AX29" s="763" t="s">
        <v>1129</v>
      </c>
      <c r="AY29" s="540" t="s">
        <v>1315</v>
      </c>
      <c r="AZ29" s="332" t="s">
        <v>1077</v>
      </c>
      <c r="BA29" s="388">
        <v>9.6300000000000008</v>
      </c>
      <c r="BB29" s="332" t="s">
        <v>1078</v>
      </c>
      <c r="BC29" s="537" t="s">
        <v>509</v>
      </c>
      <c r="BD29" s="537" t="s">
        <v>510</v>
      </c>
      <c r="BE29" s="391"/>
      <c r="BF29" s="763" t="s">
        <v>1461</v>
      </c>
      <c r="BG29" s="540" t="s">
        <v>1426</v>
      </c>
      <c r="BH29" s="762" t="s">
        <v>2050</v>
      </c>
      <c r="BI29" s="394">
        <v>7.75</v>
      </c>
      <c r="BJ29" s="762" t="s">
        <v>2052</v>
      </c>
      <c r="BK29" s="537" t="s">
        <v>509</v>
      </c>
      <c r="BL29" s="537" t="s">
        <v>510</v>
      </c>
    </row>
    <row r="30" spans="1:64" s="252" customFormat="1" ht="10.5" customHeight="1">
      <c r="A30" s="995"/>
      <c r="B30" s="993" t="s">
        <v>1099</v>
      </c>
      <c r="C30" s="837" t="s">
        <v>1312</v>
      </c>
      <c r="D30" s="987" t="s">
        <v>1820</v>
      </c>
      <c r="E30" s="439">
        <v>9.59</v>
      </c>
      <c r="F30" s="987" t="s">
        <v>1821</v>
      </c>
      <c r="G30" s="986" t="s">
        <v>509</v>
      </c>
      <c r="H30" s="986" t="s">
        <v>510</v>
      </c>
      <c r="I30" s="995"/>
      <c r="J30" s="1399" t="s">
        <v>1092</v>
      </c>
      <c r="K30" s="992" t="s">
        <v>1313</v>
      </c>
      <c r="L30" s="1403" t="s">
        <v>3</v>
      </c>
      <c r="M30" s="439">
        <v>11.72</v>
      </c>
      <c r="N30" s="1403" t="s">
        <v>4</v>
      </c>
      <c r="O30" s="986" t="s">
        <v>509</v>
      </c>
      <c r="P30" s="986" t="s">
        <v>510</v>
      </c>
      <c r="Q30" s="995"/>
      <c r="R30" s="993" t="s">
        <v>1142</v>
      </c>
      <c r="S30" s="990" t="s">
        <v>1313</v>
      </c>
      <c r="T30" s="1395" t="s">
        <v>1646</v>
      </c>
      <c r="U30" s="479">
        <v>12.16</v>
      </c>
      <c r="V30" s="1395" t="s">
        <v>1647</v>
      </c>
      <c r="W30" s="986" t="s">
        <v>509</v>
      </c>
      <c r="X30" s="986" t="s">
        <v>510</v>
      </c>
      <c r="Y30" s="498"/>
      <c r="Z30" s="988" t="s">
        <v>1536</v>
      </c>
      <c r="AA30" s="990" t="s">
        <v>1318</v>
      </c>
      <c r="AB30" s="987" t="s">
        <v>730</v>
      </c>
      <c r="AC30" s="479">
        <v>5</v>
      </c>
      <c r="AD30" s="987" t="s">
        <v>584</v>
      </c>
      <c r="AE30" s="986" t="s">
        <v>509</v>
      </c>
      <c r="AF30" s="986" t="s">
        <v>510</v>
      </c>
      <c r="AG30" s="498"/>
      <c r="AH30" s="989" t="s">
        <v>1140</v>
      </c>
      <c r="AI30" s="992" t="s">
        <v>1314</v>
      </c>
      <c r="AJ30" s="438" t="s">
        <v>1636</v>
      </c>
      <c r="AK30" s="439">
        <v>11.6</v>
      </c>
      <c r="AL30" s="438" t="s">
        <v>1637</v>
      </c>
      <c r="AM30" s="986" t="s">
        <v>509</v>
      </c>
      <c r="AN30" s="986" t="s">
        <v>510</v>
      </c>
      <c r="AO30" s="498"/>
      <c r="AP30" s="989" t="s">
        <v>1488</v>
      </c>
      <c r="AQ30" s="992" t="s">
        <v>1425</v>
      </c>
      <c r="AR30" s="987" t="s">
        <v>2315</v>
      </c>
      <c r="AS30" s="439">
        <v>7.7</v>
      </c>
      <c r="AT30" s="987" t="s">
        <v>2316</v>
      </c>
      <c r="AU30" s="986" t="s">
        <v>509</v>
      </c>
      <c r="AV30" s="986" t="s">
        <v>510</v>
      </c>
      <c r="AW30" s="498"/>
      <c r="AX30" s="989" t="s">
        <v>1130</v>
      </c>
      <c r="AY30" s="837" t="s">
        <v>1315</v>
      </c>
      <c r="AZ30" s="1395" t="s">
        <v>1085</v>
      </c>
      <c r="BA30" s="479">
        <v>9.65</v>
      </c>
      <c r="BB30" s="1395" t="s">
        <v>1086</v>
      </c>
      <c r="BC30" s="986" t="s">
        <v>509</v>
      </c>
      <c r="BD30" s="986" t="s">
        <v>510</v>
      </c>
      <c r="BE30" s="498"/>
      <c r="BF30" s="989" t="s">
        <v>1462</v>
      </c>
      <c r="BG30" s="837" t="s">
        <v>1426</v>
      </c>
      <c r="BH30" s="994" t="s">
        <v>2071</v>
      </c>
      <c r="BI30" s="439">
        <v>7.75</v>
      </c>
      <c r="BJ30" s="994" t="s">
        <v>2072</v>
      </c>
      <c r="BK30" s="986" t="s">
        <v>509</v>
      </c>
      <c r="BL30" s="986" t="s">
        <v>510</v>
      </c>
    </row>
    <row r="31" spans="1:64" s="361" customFormat="1" ht="10.5" customHeight="1">
      <c r="A31" s="395"/>
      <c r="B31" s="803" t="s">
        <v>1100</v>
      </c>
      <c r="C31" s="540" t="s">
        <v>1312</v>
      </c>
      <c r="D31" s="542" t="s">
        <v>1825</v>
      </c>
      <c r="E31" s="394">
        <v>9.66</v>
      </c>
      <c r="F31" s="542" t="s">
        <v>1826</v>
      </c>
      <c r="G31" s="537" t="s">
        <v>509</v>
      </c>
      <c r="H31" s="537" t="s">
        <v>510</v>
      </c>
      <c r="I31" s="399"/>
      <c r="J31" s="406" t="s">
        <v>1093</v>
      </c>
      <c r="K31" s="539" t="s">
        <v>1313</v>
      </c>
      <c r="L31" s="1404" t="s">
        <v>5</v>
      </c>
      <c r="M31" s="394">
        <v>11.72</v>
      </c>
      <c r="N31" s="1404" t="s">
        <v>6</v>
      </c>
      <c r="O31" s="537" t="s">
        <v>509</v>
      </c>
      <c r="P31" s="537" t="s">
        <v>510</v>
      </c>
      <c r="Q31" s="395"/>
      <c r="R31" s="803" t="s">
        <v>1143</v>
      </c>
      <c r="S31" s="538" t="s">
        <v>1313</v>
      </c>
      <c r="T31" s="332" t="s">
        <v>1653</v>
      </c>
      <c r="U31" s="388">
        <v>12.19</v>
      </c>
      <c r="V31" s="332" t="s">
        <v>1654</v>
      </c>
      <c r="W31" s="537" t="s">
        <v>509</v>
      </c>
      <c r="X31" s="537" t="s">
        <v>510</v>
      </c>
      <c r="Y31" s="391" t="s">
        <v>929</v>
      </c>
      <c r="Z31" s="536" t="s">
        <v>1090</v>
      </c>
      <c r="AA31" s="538" t="s">
        <v>1314</v>
      </c>
      <c r="AB31" s="542" t="s">
        <v>729</v>
      </c>
      <c r="AC31" s="388">
        <v>13.48</v>
      </c>
      <c r="AD31" s="542" t="s">
        <v>741</v>
      </c>
      <c r="AE31" s="537" t="s">
        <v>509</v>
      </c>
      <c r="AF31" s="537" t="s">
        <v>510</v>
      </c>
      <c r="AG31" s="391"/>
      <c r="AH31" s="763" t="s">
        <v>1141</v>
      </c>
      <c r="AI31" s="539" t="s">
        <v>1314</v>
      </c>
      <c r="AJ31" s="393" t="s">
        <v>1563</v>
      </c>
      <c r="AK31" s="394">
        <v>11.7</v>
      </c>
      <c r="AL31" s="393" t="s">
        <v>1564</v>
      </c>
      <c r="AM31" s="537" t="s">
        <v>509</v>
      </c>
      <c r="AN31" s="537" t="s">
        <v>510</v>
      </c>
      <c r="AO31" s="391"/>
      <c r="AP31" s="763" t="s">
        <v>1490</v>
      </c>
      <c r="AQ31" s="539" t="s">
        <v>1425</v>
      </c>
      <c r="AR31" s="542" t="s">
        <v>2375</v>
      </c>
      <c r="AS31" s="394">
        <v>7.74</v>
      </c>
      <c r="AT31" s="542" t="s">
        <v>2376</v>
      </c>
      <c r="AU31" s="537" t="s">
        <v>509</v>
      </c>
      <c r="AV31" s="537" t="s">
        <v>510</v>
      </c>
      <c r="AW31" s="391"/>
      <c r="AX31" s="763" t="s">
        <v>1131</v>
      </c>
      <c r="AY31" s="540" t="s">
        <v>1315</v>
      </c>
      <c r="AZ31" s="332" t="s">
        <v>2105</v>
      </c>
      <c r="BA31" s="388">
        <v>9.65</v>
      </c>
      <c r="BB31" s="332" t="s">
        <v>2090</v>
      </c>
      <c r="BC31" s="537" t="s">
        <v>509</v>
      </c>
      <c r="BD31" s="537" t="s">
        <v>510</v>
      </c>
      <c r="BE31" s="391"/>
      <c r="BF31" s="763" t="s">
        <v>1463</v>
      </c>
      <c r="BG31" s="540" t="s">
        <v>1426</v>
      </c>
      <c r="BH31" s="762" t="s">
        <v>2083</v>
      </c>
      <c r="BI31" s="394">
        <v>8.24</v>
      </c>
      <c r="BJ31" s="762" t="s">
        <v>2084</v>
      </c>
      <c r="BK31" s="537" t="s">
        <v>509</v>
      </c>
      <c r="BL31" s="537" t="s">
        <v>510</v>
      </c>
    </row>
    <row r="32" spans="1:64" s="361" customFormat="1" ht="10.5" customHeight="1">
      <c r="A32" s="995"/>
      <c r="B32" s="993" t="s">
        <v>1101</v>
      </c>
      <c r="C32" s="837" t="s">
        <v>1312</v>
      </c>
      <c r="D32" s="987" t="s">
        <v>1838</v>
      </c>
      <c r="E32" s="439">
        <v>9.6</v>
      </c>
      <c r="F32" s="987" t="s">
        <v>1839</v>
      </c>
      <c r="G32" s="986" t="s">
        <v>509</v>
      </c>
      <c r="H32" s="986" t="s">
        <v>510</v>
      </c>
      <c r="I32" s="995"/>
      <c r="J32" s="1405" t="s">
        <v>1094</v>
      </c>
      <c r="K32" s="1406" t="s">
        <v>1313</v>
      </c>
      <c r="L32" s="987" t="s">
        <v>7</v>
      </c>
      <c r="M32" s="439">
        <v>10.23</v>
      </c>
      <c r="N32" s="987" t="s">
        <v>8</v>
      </c>
      <c r="O32" s="986" t="s">
        <v>509</v>
      </c>
      <c r="P32" s="986" t="s">
        <v>510</v>
      </c>
      <c r="Q32" s="498"/>
      <c r="R32" s="993" t="s">
        <v>1144</v>
      </c>
      <c r="S32" s="990" t="s">
        <v>1313</v>
      </c>
      <c r="T32" s="1395" t="s">
        <v>1702</v>
      </c>
      <c r="U32" s="479">
        <v>12.22</v>
      </c>
      <c r="V32" s="1395" t="s">
        <v>1703</v>
      </c>
      <c r="W32" s="986" t="s">
        <v>509</v>
      </c>
      <c r="X32" s="986" t="s">
        <v>510</v>
      </c>
      <c r="Y32" s="498"/>
      <c r="Z32" s="988" t="s">
        <v>1091</v>
      </c>
      <c r="AA32" s="990" t="s">
        <v>1314</v>
      </c>
      <c r="AB32" s="987" t="s">
        <v>730</v>
      </c>
      <c r="AC32" s="479">
        <v>5</v>
      </c>
      <c r="AD32" s="987" t="s">
        <v>742</v>
      </c>
      <c r="AE32" s="986" t="s">
        <v>509</v>
      </c>
      <c r="AF32" s="986" t="s">
        <v>510</v>
      </c>
      <c r="AG32" s="498"/>
      <c r="AH32" s="989" t="s">
        <v>1142</v>
      </c>
      <c r="AI32" s="992" t="s">
        <v>1314</v>
      </c>
      <c r="AJ32" s="438" t="s">
        <v>1565</v>
      </c>
      <c r="AK32" s="439">
        <v>11.75</v>
      </c>
      <c r="AL32" s="438" t="s">
        <v>1566</v>
      </c>
      <c r="AM32" s="986" t="s">
        <v>509</v>
      </c>
      <c r="AN32" s="986" t="s">
        <v>510</v>
      </c>
      <c r="AO32" s="498"/>
      <c r="AP32" s="989" t="s">
        <v>1536</v>
      </c>
      <c r="AQ32" s="992" t="s">
        <v>1425</v>
      </c>
      <c r="AR32" s="987" t="s">
        <v>2488</v>
      </c>
      <c r="AS32" s="439">
        <v>7.99</v>
      </c>
      <c r="AT32" s="987" t="s">
        <v>2489</v>
      </c>
      <c r="AU32" s="986" t="s">
        <v>509</v>
      </c>
      <c r="AV32" s="986" t="s">
        <v>510</v>
      </c>
      <c r="AW32" s="995"/>
      <c r="AX32" s="989" t="s">
        <v>1132</v>
      </c>
      <c r="AY32" s="837" t="s">
        <v>1315</v>
      </c>
      <c r="AZ32" s="1395" t="s">
        <v>2106</v>
      </c>
      <c r="BA32" s="479">
        <v>9.65</v>
      </c>
      <c r="BB32" s="1395" t="s">
        <v>2102</v>
      </c>
      <c r="BC32" s="986" t="s">
        <v>509</v>
      </c>
      <c r="BD32" s="986" t="s">
        <v>510</v>
      </c>
      <c r="BE32" s="498"/>
      <c r="BF32" s="989" t="s">
        <v>1464</v>
      </c>
      <c r="BG32" s="837" t="s">
        <v>1426</v>
      </c>
      <c r="BH32" s="994" t="s">
        <v>2089</v>
      </c>
      <c r="BI32" s="439">
        <v>8.2899999999999991</v>
      </c>
      <c r="BJ32" s="994" t="s">
        <v>2091</v>
      </c>
      <c r="BK32" s="986" t="s">
        <v>509</v>
      </c>
      <c r="BL32" s="986" t="s">
        <v>510</v>
      </c>
    </row>
    <row r="33" spans="1:64" s="252" customFormat="1" ht="10.5" customHeight="1">
      <c r="A33" s="395"/>
      <c r="B33" s="803" t="s">
        <v>1102</v>
      </c>
      <c r="C33" s="540" t="s">
        <v>1312</v>
      </c>
      <c r="D33" s="542" t="s">
        <v>1927</v>
      </c>
      <c r="E33" s="394">
        <v>9.5</v>
      </c>
      <c r="F33" s="542" t="s">
        <v>1928</v>
      </c>
      <c r="G33" s="537" t="s">
        <v>509</v>
      </c>
      <c r="H33" s="537" t="s">
        <v>510</v>
      </c>
      <c r="I33" s="399"/>
      <c r="J33" s="406" t="s">
        <v>1095</v>
      </c>
      <c r="K33" s="705" t="s">
        <v>1313</v>
      </c>
      <c r="L33" s="332" t="s">
        <v>10</v>
      </c>
      <c r="M33" s="394">
        <v>10.050000000000001</v>
      </c>
      <c r="N33" s="351" t="s">
        <v>11</v>
      </c>
      <c r="O33" s="537" t="s">
        <v>509</v>
      </c>
      <c r="P33" s="537" t="s">
        <v>510</v>
      </c>
      <c r="Q33" s="391"/>
      <c r="R33" s="803" t="s">
        <v>1145</v>
      </c>
      <c r="S33" s="538" t="s">
        <v>1313</v>
      </c>
      <c r="T33" s="332" t="s">
        <v>1704</v>
      </c>
      <c r="U33" s="388">
        <v>12.22</v>
      </c>
      <c r="V33" s="351" t="s">
        <v>1705</v>
      </c>
      <c r="W33" s="537" t="s">
        <v>509</v>
      </c>
      <c r="X33" s="537" t="s">
        <v>510</v>
      </c>
      <c r="Y33" s="391"/>
      <c r="Z33" s="536" t="s">
        <v>1092</v>
      </c>
      <c r="AA33" s="538" t="s">
        <v>1314</v>
      </c>
      <c r="AB33" s="542" t="s">
        <v>731</v>
      </c>
      <c r="AC33" s="388">
        <v>13.2</v>
      </c>
      <c r="AD33" s="542" t="s">
        <v>743</v>
      </c>
      <c r="AE33" s="537" t="s">
        <v>509</v>
      </c>
      <c r="AF33" s="537" t="s">
        <v>510</v>
      </c>
      <c r="AG33" s="391"/>
      <c r="AH33" s="763" t="s">
        <v>1143</v>
      </c>
      <c r="AI33" s="539" t="s">
        <v>1314</v>
      </c>
      <c r="AJ33" s="393" t="s">
        <v>1567</v>
      </c>
      <c r="AK33" s="394">
        <v>11.8</v>
      </c>
      <c r="AL33" s="393" t="s">
        <v>1568</v>
      </c>
      <c r="AM33" s="537" t="s">
        <v>509</v>
      </c>
      <c r="AN33" s="537" t="s">
        <v>510</v>
      </c>
      <c r="AO33" s="391"/>
      <c r="AP33" s="763" t="s">
        <v>2444</v>
      </c>
      <c r="AQ33" s="539" t="s">
        <v>1425</v>
      </c>
      <c r="AR33" s="542" t="s">
        <v>2499</v>
      </c>
      <c r="AS33" s="394">
        <v>8.24</v>
      </c>
      <c r="AT33" s="542" t="s">
        <v>2500</v>
      </c>
      <c r="AU33" s="537" t="s">
        <v>509</v>
      </c>
      <c r="AV33" s="537" t="s">
        <v>510</v>
      </c>
      <c r="AW33" s="395"/>
      <c r="AX33" s="763" t="s">
        <v>1133</v>
      </c>
      <c r="AY33" s="540" t="s">
        <v>1315</v>
      </c>
      <c r="AZ33" s="332" t="s">
        <v>2107</v>
      </c>
      <c r="BA33" s="388">
        <v>10</v>
      </c>
      <c r="BB33" s="332" t="s">
        <v>2104</v>
      </c>
      <c r="BC33" s="537" t="s">
        <v>509</v>
      </c>
      <c r="BD33" s="537" t="s">
        <v>510</v>
      </c>
      <c r="BE33" s="391"/>
      <c r="BF33" s="763" t="s">
        <v>1465</v>
      </c>
      <c r="BG33" s="540" t="s">
        <v>1426</v>
      </c>
      <c r="BH33" s="762" t="s">
        <v>2101</v>
      </c>
      <c r="BI33" s="394">
        <v>8.5</v>
      </c>
      <c r="BJ33" s="762" t="s">
        <v>2109</v>
      </c>
      <c r="BK33" s="537" t="s">
        <v>509</v>
      </c>
      <c r="BL33" s="537" t="s">
        <v>510</v>
      </c>
    </row>
    <row r="34" spans="1:64" s="252" customFormat="1" ht="10.5" customHeight="1">
      <c r="A34" s="995"/>
      <c r="B34" s="993" t="s">
        <v>1103</v>
      </c>
      <c r="C34" s="837" t="s">
        <v>1312</v>
      </c>
      <c r="D34" s="987" t="s">
        <v>1931</v>
      </c>
      <c r="E34" s="439">
        <v>9.48</v>
      </c>
      <c r="F34" s="987" t="s">
        <v>1932</v>
      </c>
      <c r="G34" s="986" t="s">
        <v>509</v>
      </c>
      <c r="H34" s="986" t="s">
        <v>510</v>
      </c>
      <c r="I34" s="1002"/>
      <c r="J34" s="1405" t="s">
        <v>1096</v>
      </c>
      <c r="K34" s="992" t="s">
        <v>1313</v>
      </c>
      <c r="L34" s="1403" t="s">
        <v>14</v>
      </c>
      <c r="M34" s="439">
        <v>9.4499999999999993</v>
      </c>
      <c r="N34" s="1403" t="s">
        <v>15</v>
      </c>
      <c r="O34" s="986" t="s">
        <v>509</v>
      </c>
      <c r="P34" s="986" t="s">
        <v>510</v>
      </c>
      <c r="Q34" s="497"/>
      <c r="R34" s="993" t="s">
        <v>1146</v>
      </c>
      <c r="S34" s="990" t="s">
        <v>1313</v>
      </c>
      <c r="T34" s="1395" t="s">
        <v>1730</v>
      </c>
      <c r="U34" s="479">
        <v>12.16</v>
      </c>
      <c r="V34" s="435" t="s">
        <v>1731</v>
      </c>
      <c r="W34" s="986" t="s">
        <v>509</v>
      </c>
      <c r="X34" s="986" t="s">
        <v>510</v>
      </c>
      <c r="Y34" s="498"/>
      <c r="Z34" s="988" t="s">
        <v>1093</v>
      </c>
      <c r="AA34" s="990" t="s">
        <v>1327</v>
      </c>
      <c r="AB34" s="438" t="s">
        <v>739</v>
      </c>
      <c r="AC34" s="439">
        <v>12.94</v>
      </c>
      <c r="AD34" s="438" t="s">
        <v>744</v>
      </c>
      <c r="AE34" s="986" t="s">
        <v>509</v>
      </c>
      <c r="AF34" s="986" t="s">
        <v>510</v>
      </c>
      <c r="AG34" s="498"/>
      <c r="AH34" s="989" t="s">
        <v>1144</v>
      </c>
      <c r="AI34" s="992" t="s">
        <v>1314</v>
      </c>
      <c r="AJ34" s="438" t="s">
        <v>1569</v>
      </c>
      <c r="AK34" s="439">
        <v>11.8</v>
      </c>
      <c r="AL34" s="438" t="s">
        <v>1570</v>
      </c>
      <c r="AM34" s="986" t="s">
        <v>509</v>
      </c>
      <c r="AN34" s="986" t="s">
        <v>510</v>
      </c>
      <c r="AO34" s="498"/>
      <c r="AP34" s="989" t="s">
        <v>2445</v>
      </c>
      <c r="AQ34" s="992" t="s">
        <v>1425</v>
      </c>
      <c r="AR34" s="987" t="s">
        <v>2523</v>
      </c>
      <c r="AS34" s="439">
        <v>8.1300000000000008</v>
      </c>
      <c r="AT34" s="987" t="s">
        <v>2524</v>
      </c>
      <c r="AU34" s="986" t="s">
        <v>509</v>
      </c>
      <c r="AV34" s="986" t="s">
        <v>510</v>
      </c>
      <c r="AW34" s="995"/>
      <c r="AX34" s="989" t="s">
        <v>1134</v>
      </c>
      <c r="AY34" s="837" t="s">
        <v>1315</v>
      </c>
      <c r="AZ34" s="1395" t="s">
        <v>2132</v>
      </c>
      <c r="BA34" s="479">
        <v>10.25</v>
      </c>
      <c r="BB34" s="1395" t="s">
        <v>1583</v>
      </c>
      <c r="BC34" s="986" t="s">
        <v>509</v>
      </c>
      <c r="BD34" s="986" t="s">
        <v>510</v>
      </c>
      <c r="BE34" s="498"/>
      <c r="BF34" s="989" t="s">
        <v>1466</v>
      </c>
      <c r="BG34" s="837" t="s">
        <v>1426</v>
      </c>
      <c r="BH34" s="994" t="s">
        <v>2103</v>
      </c>
      <c r="BI34" s="439">
        <v>8.48</v>
      </c>
      <c r="BJ34" s="994" t="s">
        <v>2110</v>
      </c>
      <c r="BK34" s="986" t="s">
        <v>509</v>
      </c>
      <c r="BL34" s="986" t="s">
        <v>510</v>
      </c>
    </row>
    <row r="35" spans="1:64" s="252" customFormat="1" ht="10.5" customHeight="1">
      <c r="A35" s="395"/>
      <c r="B35" s="803" t="s">
        <v>1104</v>
      </c>
      <c r="C35" s="540" t="s">
        <v>1312</v>
      </c>
      <c r="D35" s="542" t="s">
        <v>1937</v>
      </c>
      <c r="E35" s="394">
        <v>9.4499999999999993</v>
      </c>
      <c r="F35" s="542" t="s">
        <v>1938</v>
      </c>
      <c r="G35" s="537" t="s">
        <v>509</v>
      </c>
      <c r="H35" s="537" t="s">
        <v>510</v>
      </c>
      <c r="I35" s="391"/>
      <c r="J35" s="406" t="s">
        <v>1097</v>
      </c>
      <c r="K35" s="539" t="s">
        <v>1313</v>
      </c>
      <c r="L35" s="1404" t="s">
        <v>18</v>
      </c>
      <c r="M35" s="394">
        <v>8.74</v>
      </c>
      <c r="N35" s="1404" t="s">
        <v>19</v>
      </c>
      <c r="O35" s="537" t="s">
        <v>509</v>
      </c>
      <c r="P35" s="537" t="s">
        <v>510</v>
      </c>
      <c r="Q35" s="396"/>
      <c r="R35" s="803" t="s">
        <v>1147</v>
      </c>
      <c r="S35" s="538" t="s">
        <v>1313</v>
      </c>
      <c r="T35" s="332" t="s">
        <v>1751</v>
      </c>
      <c r="U35" s="388">
        <v>11.75</v>
      </c>
      <c r="V35" s="351" t="s">
        <v>1752</v>
      </c>
      <c r="W35" s="537" t="s">
        <v>509</v>
      </c>
      <c r="X35" s="537" t="s">
        <v>510</v>
      </c>
      <c r="Y35" s="391"/>
      <c r="Z35" s="536" t="s">
        <v>1094</v>
      </c>
      <c r="AA35" s="538" t="s">
        <v>1314</v>
      </c>
      <c r="AB35" s="393" t="s">
        <v>740</v>
      </c>
      <c r="AC35" s="394">
        <v>12.89</v>
      </c>
      <c r="AD35" s="393" t="s">
        <v>745</v>
      </c>
      <c r="AE35" s="537" t="s">
        <v>509</v>
      </c>
      <c r="AF35" s="537" t="s">
        <v>510</v>
      </c>
      <c r="AG35" s="391"/>
      <c r="AH35" s="763" t="s">
        <v>1145</v>
      </c>
      <c r="AI35" s="539" t="s">
        <v>1314</v>
      </c>
      <c r="AJ35" s="393" t="s">
        <v>1571</v>
      </c>
      <c r="AK35" s="394">
        <v>11.88</v>
      </c>
      <c r="AL35" s="393" t="s">
        <v>1572</v>
      </c>
      <c r="AM35" s="537" t="s">
        <v>509</v>
      </c>
      <c r="AN35" s="537" t="s">
        <v>510</v>
      </c>
      <c r="AO35" s="391"/>
      <c r="AP35" s="763" t="s">
        <v>2522</v>
      </c>
      <c r="AQ35" s="539" t="s">
        <v>1425</v>
      </c>
      <c r="AR35" s="542" t="s">
        <v>2527</v>
      </c>
      <c r="AS35" s="394">
        <v>7.52</v>
      </c>
      <c r="AT35" s="542" t="s">
        <v>2528</v>
      </c>
      <c r="AU35" s="537" t="s">
        <v>509</v>
      </c>
      <c r="AV35" s="537" t="s">
        <v>510</v>
      </c>
      <c r="AW35" s="395"/>
      <c r="AX35" s="763" t="s">
        <v>1135</v>
      </c>
      <c r="AY35" s="540" t="s">
        <v>1315</v>
      </c>
      <c r="AZ35" s="332" t="s">
        <v>2133</v>
      </c>
      <c r="BA35" s="388">
        <v>10.85</v>
      </c>
      <c r="BB35" s="332" t="s">
        <v>2108</v>
      </c>
      <c r="BC35" s="537" t="s">
        <v>509</v>
      </c>
      <c r="BD35" s="537" t="s">
        <v>510</v>
      </c>
      <c r="BE35" s="391"/>
      <c r="BF35" s="763" t="s">
        <v>1467</v>
      </c>
      <c r="BG35" s="540" t="s">
        <v>1426</v>
      </c>
      <c r="BH35" s="762" t="s">
        <v>2128</v>
      </c>
      <c r="BI35" s="394">
        <v>8.19</v>
      </c>
      <c r="BJ35" s="762" t="s">
        <v>2130</v>
      </c>
      <c r="BK35" s="537" t="s">
        <v>509</v>
      </c>
      <c r="BL35" s="537" t="s">
        <v>510</v>
      </c>
    </row>
    <row r="36" spans="1:64" s="252" customFormat="1" ht="10.5" customHeight="1">
      <c r="A36" s="995"/>
      <c r="B36" s="993" t="s">
        <v>1105</v>
      </c>
      <c r="C36" s="837" t="s">
        <v>1312</v>
      </c>
      <c r="D36" s="987" t="s">
        <v>1940</v>
      </c>
      <c r="E36" s="439">
        <v>9.4</v>
      </c>
      <c r="F36" s="987" t="s">
        <v>1941</v>
      </c>
      <c r="G36" s="986" t="s">
        <v>509</v>
      </c>
      <c r="H36" s="986" t="s">
        <v>510</v>
      </c>
      <c r="I36" s="498"/>
      <c r="J36" s="1405" t="s">
        <v>1098</v>
      </c>
      <c r="K36" s="992" t="s">
        <v>1313</v>
      </c>
      <c r="L36" s="1403" t="s">
        <v>22</v>
      </c>
      <c r="M36" s="439">
        <v>8.49</v>
      </c>
      <c r="N36" s="1403" t="s">
        <v>23</v>
      </c>
      <c r="O36" s="986" t="s">
        <v>509</v>
      </c>
      <c r="P36" s="986" t="s">
        <v>510</v>
      </c>
      <c r="Q36" s="497"/>
      <c r="R36" s="993" t="s">
        <v>1148</v>
      </c>
      <c r="S36" s="990" t="s">
        <v>1313</v>
      </c>
      <c r="T36" s="1395" t="s">
        <v>1793</v>
      </c>
      <c r="U36" s="479">
        <v>11.59</v>
      </c>
      <c r="V36" s="435" t="s">
        <v>1794</v>
      </c>
      <c r="W36" s="986" t="s">
        <v>509</v>
      </c>
      <c r="X36" s="986" t="s">
        <v>510</v>
      </c>
      <c r="Y36" s="498"/>
      <c r="Z36" s="988" t="s">
        <v>1095</v>
      </c>
      <c r="AA36" s="990" t="s">
        <v>1314</v>
      </c>
      <c r="AB36" s="438" t="s">
        <v>516</v>
      </c>
      <c r="AC36" s="439">
        <v>12.22</v>
      </c>
      <c r="AD36" s="438" t="s">
        <v>524</v>
      </c>
      <c r="AE36" s="986" t="s">
        <v>509</v>
      </c>
      <c r="AF36" s="986" t="s">
        <v>510</v>
      </c>
      <c r="AG36" s="498"/>
      <c r="AH36" s="989" t="s">
        <v>1146</v>
      </c>
      <c r="AI36" s="992" t="s">
        <v>1314</v>
      </c>
      <c r="AJ36" s="438" t="s">
        <v>1573</v>
      </c>
      <c r="AK36" s="439">
        <v>11.93</v>
      </c>
      <c r="AL36" s="438" t="s">
        <v>1574</v>
      </c>
      <c r="AM36" s="986" t="s">
        <v>509</v>
      </c>
      <c r="AN36" s="986" t="s">
        <v>510</v>
      </c>
      <c r="AO36" s="498"/>
      <c r="AP36" s="989" t="s">
        <v>2529</v>
      </c>
      <c r="AQ36" s="992" t="s">
        <v>1425</v>
      </c>
      <c r="AR36" s="987" t="s">
        <v>2545</v>
      </c>
      <c r="AS36" s="439">
        <v>7.5</v>
      </c>
      <c r="AT36" s="987" t="s">
        <v>2546</v>
      </c>
      <c r="AU36" s="986" t="s">
        <v>509</v>
      </c>
      <c r="AV36" s="986" t="s">
        <v>510</v>
      </c>
      <c r="AW36" s="995"/>
      <c r="AX36" s="989" t="s">
        <v>1136</v>
      </c>
      <c r="AY36" s="837" t="s">
        <v>1315</v>
      </c>
      <c r="AZ36" s="1395" t="s">
        <v>2131</v>
      </c>
      <c r="BA36" s="479">
        <v>11.5</v>
      </c>
      <c r="BB36" s="1395" t="s">
        <v>1297</v>
      </c>
      <c r="BC36" s="986" t="s">
        <v>509</v>
      </c>
      <c r="BD36" s="986" t="s">
        <v>510</v>
      </c>
      <c r="BE36" s="498"/>
      <c r="BF36" s="989" t="s">
        <v>2125</v>
      </c>
      <c r="BG36" s="837" t="s">
        <v>1426</v>
      </c>
      <c r="BH36" s="994" t="s">
        <v>2137</v>
      </c>
      <c r="BI36" s="439">
        <v>8</v>
      </c>
      <c r="BJ36" s="994" t="s">
        <v>2140</v>
      </c>
      <c r="BK36" s="986" t="s">
        <v>509</v>
      </c>
      <c r="BL36" s="986" t="s">
        <v>510</v>
      </c>
    </row>
    <row r="37" spans="1:64" s="252" customFormat="1" ht="10.5" customHeight="1">
      <c r="A37" s="395"/>
      <c r="B37" s="803" t="s">
        <v>1106</v>
      </c>
      <c r="C37" s="540" t="s">
        <v>1312</v>
      </c>
      <c r="D37" s="1404" t="s">
        <v>1994</v>
      </c>
      <c r="E37" s="394">
        <v>8.6</v>
      </c>
      <c r="F37" s="1401" t="s">
        <v>1995</v>
      </c>
      <c r="G37" s="537" t="s">
        <v>509</v>
      </c>
      <c r="H37" s="537" t="s">
        <v>510</v>
      </c>
      <c r="I37" s="391"/>
      <c r="J37" s="406" t="s">
        <v>1099</v>
      </c>
      <c r="K37" s="539" t="s">
        <v>1313</v>
      </c>
      <c r="L37" s="1404" t="s">
        <v>585</v>
      </c>
      <c r="M37" s="394">
        <v>8.75</v>
      </c>
      <c r="N37" s="1404" t="s">
        <v>586</v>
      </c>
      <c r="O37" s="537" t="s">
        <v>509</v>
      </c>
      <c r="P37" s="537" t="s">
        <v>510</v>
      </c>
      <c r="Q37" s="396"/>
      <c r="R37" s="803" t="s">
        <v>1149</v>
      </c>
      <c r="S37" s="538" t="s">
        <v>1313</v>
      </c>
      <c r="T37" s="332" t="s">
        <v>1827</v>
      </c>
      <c r="U37" s="388">
        <v>10.92</v>
      </c>
      <c r="V37" s="351" t="s">
        <v>1828</v>
      </c>
      <c r="W37" s="537" t="s">
        <v>509</v>
      </c>
      <c r="X37" s="537" t="s">
        <v>510</v>
      </c>
      <c r="Y37" s="391"/>
      <c r="Z37" s="536" t="s">
        <v>1096</v>
      </c>
      <c r="AA37" s="538" t="s">
        <v>1314</v>
      </c>
      <c r="AB37" s="393" t="s">
        <v>517</v>
      </c>
      <c r="AC37" s="394">
        <v>12.22</v>
      </c>
      <c r="AD37" s="393" t="s">
        <v>525</v>
      </c>
      <c r="AE37" s="537" t="s">
        <v>509</v>
      </c>
      <c r="AF37" s="537" t="s">
        <v>510</v>
      </c>
      <c r="AG37" s="391"/>
      <c r="AH37" s="763" t="s">
        <v>1147</v>
      </c>
      <c r="AI37" s="539" t="s">
        <v>1314</v>
      </c>
      <c r="AJ37" s="393" t="s">
        <v>1575</v>
      </c>
      <c r="AK37" s="394">
        <v>12</v>
      </c>
      <c r="AL37" s="393" t="s">
        <v>1576</v>
      </c>
      <c r="AM37" s="537" t="s">
        <v>509</v>
      </c>
      <c r="AN37" s="537" t="s">
        <v>510</v>
      </c>
      <c r="AO37" s="391"/>
      <c r="AP37" s="763" t="s">
        <v>2548</v>
      </c>
      <c r="AQ37" s="539" t="s">
        <v>1425</v>
      </c>
      <c r="AR37" s="542" t="s">
        <v>2571</v>
      </c>
      <c r="AS37" s="394">
        <v>8.06</v>
      </c>
      <c r="AT37" s="542" t="s">
        <v>2572</v>
      </c>
      <c r="AU37" s="537" t="s">
        <v>509</v>
      </c>
      <c r="AV37" s="537" t="s">
        <v>510</v>
      </c>
      <c r="AW37" s="395"/>
      <c r="AX37" s="763" t="s">
        <v>1137</v>
      </c>
      <c r="AY37" s="540" t="s">
        <v>1315</v>
      </c>
      <c r="AZ37" s="332" t="s">
        <v>1584</v>
      </c>
      <c r="BA37" s="388">
        <v>11.5</v>
      </c>
      <c r="BB37" s="332" t="s">
        <v>1585</v>
      </c>
      <c r="BC37" s="537" t="s">
        <v>509</v>
      </c>
      <c r="BD37" s="537" t="s">
        <v>510</v>
      </c>
      <c r="BE37" s="391"/>
      <c r="BF37" s="763" t="s">
        <v>1468</v>
      </c>
      <c r="BG37" s="540" t="s">
        <v>1426</v>
      </c>
      <c r="BH37" s="762" t="s">
        <v>2143</v>
      </c>
      <c r="BI37" s="394">
        <v>7.94</v>
      </c>
      <c r="BJ37" s="762" t="s">
        <v>2144</v>
      </c>
      <c r="BK37" s="537" t="s">
        <v>509</v>
      </c>
      <c r="BL37" s="537" t="s">
        <v>510</v>
      </c>
    </row>
    <row r="38" spans="1:64" s="252" customFormat="1" ht="10.5" customHeight="1">
      <c r="A38" s="995"/>
      <c r="B38" s="993" t="s">
        <v>1107</v>
      </c>
      <c r="C38" s="837" t="s">
        <v>1312</v>
      </c>
      <c r="D38" s="987" t="s">
        <v>1997</v>
      </c>
      <c r="E38" s="439">
        <v>7.6</v>
      </c>
      <c r="F38" s="987" t="s">
        <v>1998</v>
      </c>
      <c r="G38" s="986" t="s">
        <v>509</v>
      </c>
      <c r="H38" s="986" t="s">
        <v>510</v>
      </c>
      <c r="I38" s="498"/>
      <c r="J38" s="1405" t="s">
        <v>1100</v>
      </c>
      <c r="K38" s="992" t="s">
        <v>1313</v>
      </c>
      <c r="L38" s="1403" t="s">
        <v>587</v>
      </c>
      <c r="M38" s="439">
        <v>8.75</v>
      </c>
      <c r="N38" s="1403" t="s">
        <v>588</v>
      </c>
      <c r="O38" s="986" t="s">
        <v>509</v>
      </c>
      <c r="P38" s="986" t="s">
        <v>510</v>
      </c>
      <c r="Q38" s="497"/>
      <c r="R38" s="993" t="s">
        <v>1150</v>
      </c>
      <c r="S38" s="990" t="s">
        <v>1313</v>
      </c>
      <c r="T38" s="1395" t="s">
        <v>1942</v>
      </c>
      <c r="U38" s="479">
        <v>10.72</v>
      </c>
      <c r="V38" s="435" t="s">
        <v>1943</v>
      </c>
      <c r="W38" s="986" t="s">
        <v>509</v>
      </c>
      <c r="X38" s="986" t="s">
        <v>510</v>
      </c>
      <c r="Y38" s="498"/>
      <c r="Z38" s="988" t="s">
        <v>1097</v>
      </c>
      <c r="AA38" s="990" t="s">
        <v>1314</v>
      </c>
      <c r="AB38" s="438" t="s">
        <v>518</v>
      </c>
      <c r="AC38" s="439">
        <v>12.22</v>
      </c>
      <c r="AD38" s="438" t="s">
        <v>526</v>
      </c>
      <c r="AE38" s="986" t="s">
        <v>509</v>
      </c>
      <c r="AF38" s="986" t="s">
        <v>510</v>
      </c>
      <c r="AG38" s="498"/>
      <c r="AH38" s="989" t="s">
        <v>1148</v>
      </c>
      <c r="AI38" s="992" t="s">
        <v>1314</v>
      </c>
      <c r="AJ38" s="438" t="s">
        <v>1577</v>
      </c>
      <c r="AK38" s="439">
        <v>12.1</v>
      </c>
      <c r="AL38" s="438" t="s">
        <v>1578</v>
      </c>
      <c r="AM38" s="986" t="s">
        <v>509</v>
      </c>
      <c r="AN38" s="986" t="s">
        <v>510</v>
      </c>
      <c r="AO38" s="498"/>
      <c r="AP38" s="989" t="s">
        <v>2573</v>
      </c>
      <c r="AQ38" s="992" t="s">
        <v>1425</v>
      </c>
      <c r="AR38" s="987" t="s">
        <v>2589</v>
      </c>
      <c r="AS38" s="439">
        <v>7.49</v>
      </c>
      <c r="AT38" s="987" t="s">
        <v>2590</v>
      </c>
      <c r="AU38" s="986" t="s">
        <v>509</v>
      </c>
      <c r="AV38" s="986" t="s">
        <v>510</v>
      </c>
      <c r="AW38" s="995"/>
      <c r="AX38" s="989" t="s">
        <v>1138</v>
      </c>
      <c r="AY38" s="837" t="s">
        <v>1315</v>
      </c>
      <c r="AZ38" s="1395" t="s">
        <v>2139</v>
      </c>
      <c r="BA38" s="479">
        <v>11.5</v>
      </c>
      <c r="BB38" s="1395" t="s">
        <v>1296</v>
      </c>
      <c r="BC38" s="986" t="s">
        <v>509</v>
      </c>
      <c r="BD38" s="986" t="s">
        <v>510</v>
      </c>
      <c r="BE38" s="498"/>
      <c r="BF38" s="989" t="s">
        <v>1469</v>
      </c>
      <c r="BG38" s="837" t="s">
        <v>1426</v>
      </c>
      <c r="BH38" s="994" t="s">
        <v>2155</v>
      </c>
      <c r="BI38" s="439">
        <v>7.89</v>
      </c>
      <c r="BJ38" s="994" t="s">
        <v>2157</v>
      </c>
      <c r="BK38" s="986" t="s">
        <v>509</v>
      </c>
      <c r="BL38" s="986" t="s">
        <v>510</v>
      </c>
    </row>
    <row r="39" spans="1:64" s="252" customFormat="1" ht="10.5" customHeight="1">
      <c r="A39" s="395"/>
      <c r="B39" s="803" t="s">
        <v>1108</v>
      </c>
      <c r="C39" s="540" t="s">
        <v>1312</v>
      </c>
      <c r="D39" s="542" t="s">
        <v>2004</v>
      </c>
      <c r="E39" s="394">
        <v>7.49</v>
      </c>
      <c r="F39" s="542" t="s">
        <v>2005</v>
      </c>
      <c r="G39" s="537" t="s">
        <v>509</v>
      </c>
      <c r="H39" s="537" t="s">
        <v>510</v>
      </c>
      <c r="I39" s="391"/>
      <c r="J39" s="406" t="s">
        <v>1101</v>
      </c>
      <c r="K39" s="539" t="s">
        <v>1313</v>
      </c>
      <c r="L39" s="1404" t="s">
        <v>589</v>
      </c>
      <c r="M39" s="394">
        <v>8.75</v>
      </c>
      <c r="N39" s="1404" t="s">
        <v>590</v>
      </c>
      <c r="O39" s="537" t="s">
        <v>509</v>
      </c>
      <c r="P39" s="537" t="s">
        <v>510</v>
      </c>
      <c r="Q39" s="391"/>
      <c r="R39" s="803" t="s">
        <v>1151</v>
      </c>
      <c r="S39" s="740" t="s">
        <v>1313</v>
      </c>
      <c r="T39" s="393" t="s">
        <v>2001</v>
      </c>
      <c r="U39" s="394">
        <v>9.7899999999999991</v>
      </c>
      <c r="V39" s="393" t="s">
        <v>2002</v>
      </c>
      <c r="W39" s="1103" t="s">
        <v>509</v>
      </c>
      <c r="X39" s="1103" t="s">
        <v>510</v>
      </c>
      <c r="Y39" s="391"/>
      <c r="Z39" s="536" t="s">
        <v>1098</v>
      </c>
      <c r="AA39" s="538" t="s">
        <v>1314</v>
      </c>
      <c r="AB39" s="393" t="s">
        <v>519</v>
      </c>
      <c r="AC39" s="394">
        <v>12.22</v>
      </c>
      <c r="AD39" s="393" t="s">
        <v>527</v>
      </c>
      <c r="AE39" s="537" t="s">
        <v>509</v>
      </c>
      <c r="AF39" s="537" t="s">
        <v>510</v>
      </c>
      <c r="AG39" s="391"/>
      <c r="AH39" s="763" t="s">
        <v>1149</v>
      </c>
      <c r="AI39" s="539" t="s">
        <v>1314</v>
      </c>
      <c r="AJ39" s="393" t="s">
        <v>1579</v>
      </c>
      <c r="AK39" s="394">
        <v>12.2</v>
      </c>
      <c r="AL39" s="393" t="s">
        <v>1580</v>
      </c>
      <c r="AM39" s="537" t="s">
        <v>509</v>
      </c>
      <c r="AN39" s="537" t="s">
        <v>510</v>
      </c>
      <c r="AO39" s="391"/>
      <c r="AP39" s="763" t="s">
        <v>2591</v>
      </c>
      <c r="AQ39" s="539" t="s">
        <v>1425</v>
      </c>
      <c r="AR39" s="542" t="s">
        <v>2689</v>
      </c>
      <c r="AS39" s="394">
        <v>7.2</v>
      </c>
      <c r="AT39" s="542" t="s">
        <v>2690</v>
      </c>
      <c r="AU39" s="537" t="s">
        <v>509</v>
      </c>
      <c r="AV39" s="537" t="s">
        <v>510</v>
      </c>
      <c r="AW39" s="395"/>
      <c r="AX39" s="763" t="s">
        <v>1139</v>
      </c>
      <c r="AY39" s="540" t="s">
        <v>1315</v>
      </c>
      <c r="AZ39" s="332" t="s">
        <v>1294</v>
      </c>
      <c r="BA39" s="388">
        <v>11.95</v>
      </c>
      <c r="BB39" s="332" t="s">
        <v>1295</v>
      </c>
      <c r="BC39" s="537" t="s">
        <v>509</v>
      </c>
      <c r="BD39" s="537" t="s">
        <v>510</v>
      </c>
      <c r="BE39" s="391"/>
      <c r="BF39" s="763" t="s">
        <v>1474</v>
      </c>
      <c r="BG39" s="540" t="s">
        <v>1426</v>
      </c>
      <c r="BH39" s="762" t="s">
        <v>2163</v>
      </c>
      <c r="BI39" s="394">
        <v>7.78</v>
      </c>
      <c r="BJ39" s="762" t="s">
        <v>2165</v>
      </c>
      <c r="BK39" s="537" t="s">
        <v>509</v>
      </c>
      <c r="BL39" s="537" t="s">
        <v>510</v>
      </c>
    </row>
    <row r="40" spans="1:64" s="252" customFormat="1" ht="10.5" customHeight="1">
      <c r="A40" s="995"/>
      <c r="B40" s="993" t="s">
        <v>1109</v>
      </c>
      <c r="C40" s="837" t="s">
        <v>1312</v>
      </c>
      <c r="D40" s="987" t="s">
        <v>2014</v>
      </c>
      <c r="E40" s="439">
        <v>7.35</v>
      </c>
      <c r="F40" s="987" t="s">
        <v>2015</v>
      </c>
      <c r="G40" s="986" t="s">
        <v>509</v>
      </c>
      <c r="H40" s="986" t="s">
        <v>510</v>
      </c>
      <c r="I40" s="438"/>
      <c r="J40" s="1405" t="s">
        <v>1102</v>
      </c>
      <c r="K40" s="992" t="s">
        <v>1313</v>
      </c>
      <c r="L40" s="1403" t="s">
        <v>591</v>
      </c>
      <c r="M40" s="439">
        <v>8.77</v>
      </c>
      <c r="N40" s="1403" t="s">
        <v>981</v>
      </c>
      <c r="O40" s="986" t="s">
        <v>509</v>
      </c>
      <c r="P40" s="986" t="s">
        <v>510</v>
      </c>
      <c r="Q40" s="497"/>
      <c r="R40" s="993" t="s">
        <v>1152</v>
      </c>
      <c r="S40" s="997" t="s">
        <v>1313</v>
      </c>
      <c r="T40" s="1395" t="s">
        <v>2008</v>
      </c>
      <c r="U40" s="439">
        <v>8.18</v>
      </c>
      <c r="V40" s="435" t="s">
        <v>2009</v>
      </c>
      <c r="W40" s="986" t="s">
        <v>509</v>
      </c>
      <c r="X40" s="1054" t="s">
        <v>510</v>
      </c>
      <c r="Y40" s="498"/>
      <c r="Z40" s="988" t="s">
        <v>1099</v>
      </c>
      <c r="AA40" s="990" t="s">
        <v>1314</v>
      </c>
      <c r="AB40" s="438" t="s">
        <v>520</v>
      </c>
      <c r="AC40" s="439">
        <v>12.22</v>
      </c>
      <c r="AD40" s="438" t="s">
        <v>528</v>
      </c>
      <c r="AE40" s="986" t="s">
        <v>509</v>
      </c>
      <c r="AF40" s="986" t="s">
        <v>510</v>
      </c>
      <c r="AG40" s="498"/>
      <c r="AH40" s="989" t="s">
        <v>1150</v>
      </c>
      <c r="AI40" s="992" t="s">
        <v>1314</v>
      </c>
      <c r="AJ40" s="438" t="s">
        <v>1581</v>
      </c>
      <c r="AK40" s="439">
        <v>12.3</v>
      </c>
      <c r="AL40" s="438" t="s">
        <v>1582</v>
      </c>
      <c r="AM40" s="986" t="s">
        <v>509</v>
      </c>
      <c r="AN40" s="986" t="s">
        <v>510</v>
      </c>
      <c r="AO40" s="498"/>
      <c r="AP40" s="989" t="s">
        <v>2691</v>
      </c>
      <c r="AQ40" s="992" t="s">
        <v>1425</v>
      </c>
      <c r="AR40" s="987" t="s">
        <v>2842</v>
      </c>
      <c r="AS40" s="439">
        <v>7.55</v>
      </c>
      <c r="AT40" s="987" t="s">
        <v>2843</v>
      </c>
      <c r="AU40" s="986" t="s">
        <v>509</v>
      </c>
      <c r="AV40" s="986" t="s">
        <v>510</v>
      </c>
      <c r="AW40" s="995"/>
      <c r="AX40" s="989" t="s">
        <v>1140</v>
      </c>
      <c r="AY40" s="837" t="s">
        <v>1315</v>
      </c>
      <c r="AZ40" s="1395" t="s">
        <v>1330</v>
      </c>
      <c r="BA40" s="479">
        <v>11.95</v>
      </c>
      <c r="BB40" s="1395" t="s">
        <v>1342</v>
      </c>
      <c r="BC40" s="986" t="s">
        <v>509</v>
      </c>
      <c r="BD40" s="986" t="s">
        <v>510</v>
      </c>
      <c r="BE40" s="498"/>
      <c r="BF40" s="1407" t="s">
        <v>1488</v>
      </c>
      <c r="BG40" s="837" t="s">
        <v>1426</v>
      </c>
      <c r="BH40" s="438" t="s">
        <v>2198</v>
      </c>
      <c r="BI40" s="439">
        <v>7.6</v>
      </c>
      <c r="BJ40" s="438" t="s">
        <v>2200</v>
      </c>
      <c r="BK40" s="986" t="s">
        <v>509</v>
      </c>
      <c r="BL40" s="986" t="s">
        <v>510</v>
      </c>
    </row>
    <row r="41" spans="1:64" s="252" customFormat="1" ht="10.5" customHeight="1">
      <c r="A41" s="395"/>
      <c r="B41" s="803" t="s">
        <v>1110</v>
      </c>
      <c r="C41" s="540" t="s">
        <v>1312</v>
      </c>
      <c r="D41" s="542" t="s">
        <v>2020</v>
      </c>
      <c r="E41" s="394">
        <v>5.15</v>
      </c>
      <c r="F41" s="542" t="s">
        <v>2066</v>
      </c>
      <c r="G41" s="537" t="s">
        <v>509</v>
      </c>
      <c r="H41" s="537" t="s">
        <v>510</v>
      </c>
      <c r="I41" s="391"/>
      <c r="J41" s="406" t="s">
        <v>1103</v>
      </c>
      <c r="K41" s="536" t="s">
        <v>1313</v>
      </c>
      <c r="L41" s="542" t="s">
        <v>1011</v>
      </c>
      <c r="M41" s="394">
        <v>8.77</v>
      </c>
      <c r="N41" s="542" t="s">
        <v>1012</v>
      </c>
      <c r="O41" s="537" t="s">
        <v>509</v>
      </c>
      <c r="P41" s="537" t="s">
        <v>510</v>
      </c>
      <c r="Q41" s="396"/>
      <c r="R41" s="1408" t="s">
        <v>1153</v>
      </c>
      <c r="S41" s="705" t="s">
        <v>1313</v>
      </c>
      <c r="T41" s="332" t="s">
        <v>2024</v>
      </c>
      <c r="U41" s="394">
        <v>6.79</v>
      </c>
      <c r="V41" s="351" t="s">
        <v>2025</v>
      </c>
      <c r="W41" s="537" t="s">
        <v>509</v>
      </c>
      <c r="X41" s="1053" t="s">
        <v>510</v>
      </c>
      <c r="Y41" s="391"/>
      <c r="Z41" s="536" t="s">
        <v>1100</v>
      </c>
      <c r="AA41" s="538" t="s">
        <v>1314</v>
      </c>
      <c r="AB41" s="393" t="s">
        <v>1682</v>
      </c>
      <c r="AC41" s="394">
        <v>12.14</v>
      </c>
      <c r="AD41" s="393" t="s">
        <v>1683</v>
      </c>
      <c r="AE41" s="537" t="s">
        <v>509</v>
      </c>
      <c r="AF41" s="537" t="s">
        <v>510</v>
      </c>
      <c r="AG41" s="391"/>
      <c r="AH41" s="763" t="s">
        <v>1151</v>
      </c>
      <c r="AI41" s="539" t="s">
        <v>1314</v>
      </c>
      <c r="AJ41" s="393" t="s">
        <v>1641</v>
      </c>
      <c r="AK41" s="394">
        <v>12.38</v>
      </c>
      <c r="AL41" s="393" t="s">
        <v>1642</v>
      </c>
      <c r="AM41" s="537" t="s">
        <v>509</v>
      </c>
      <c r="AN41" s="537" t="s">
        <v>510</v>
      </c>
      <c r="AO41" s="391" t="s">
        <v>931</v>
      </c>
      <c r="AP41" s="763" t="s">
        <v>1090</v>
      </c>
      <c r="AQ41" s="539" t="s">
        <v>1315</v>
      </c>
      <c r="AR41" s="542" t="s">
        <v>746</v>
      </c>
      <c r="AS41" s="394">
        <v>14.23</v>
      </c>
      <c r="AT41" s="542" t="s">
        <v>750</v>
      </c>
      <c r="AU41" s="537" t="s">
        <v>509</v>
      </c>
      <c r="AV41" s="537" t="s">
        <v>510</v>
      </c>
      <c r="AW41" s="395"/>
      <c r="AX41" s="763" t="s">
        <v>1141</v>
      </c>
      <c r="AY41" s="540" t="s">
        <v>1315</v>
      </c>
      <c r="AZ41" s="332" t="s">
        <v>1343</v>
      </c>
      <c r="BA41" s="388">
        <v>12.03</v>
      </c>
      <c r="BB41" s="332" t="s">
        <v>1344</v>
      </c>
      <c r="BC41" s="537" t="s">
        <v>509</v>
      </c>
      <c r="BD41" s="537" t="s">
        <v>510</v>
      </c>
      <c r="BE41" s="391"/>
      <c r="BF41" s="1409" t="s">
        <v>1490</v>
      </c>
      <c r="BG41" s="540" t="s">
        <v>1426</v>
      </c>
      <c r="BH41" s="393" t="s">
        <v>2315</v>
      </c>
      <c r="BI41" s="394">
        <v>8.0500000000000007</v>
      </c>
      <c r="BJ41" s="393" t="s">
        <v>2317</v>
      </c>
      <c r="BK41" s="537" t="s">
        <v>509</v>
      </c>
      <c r="BL41" s="537" t="s">
        <v>510</v>
      </c>
    </row>
    <row r="42" spans="1:64" s="252" customFormat="1" ht="10.5" customHeight="1">
      <c r="A42" s="995"/>
      <c r="B42" s="993" t="s">
        <v>1111</v>
      </c>
      <c r="C42" s="837" t="s">
        <v>1312</v>
      </c>
      <c r="D42" s="987" t="s">
        <v>2026</v>
      </c>
      <c r="E42" s="439">
        <v>6</v>
      </c>
      <c r="F42" s="987" t="s">
        <v>2027</v>
      </c>
      <c r="G42" s="986" t="s">
        <v>509</v>
      </c>
      <c r="H42" s="986" t="s">
        <v>510</v>
      </c>
      <c r="I42" s="498"/>
      <c r="J42" s="1405" t="s">
        <v>1104</v>
      </c>
      <c r="K42" s="988" t="s">
        <v>1313</v>
      </c>
      <c r="L42" s="987" t="s">
        <v>1013</v>
      </c>
      <c r="M42" s="439">
        <v>8.77</v>
      </c>
      <c r="N42" s="987" t="s">
        <v>1014</v>
      </c>
      <c r="O42" s="986" t="s">
        <v>509</v>
      </c>
      <c r="P42" s="986" t="s">
        <v>510</v>
      </c>
      <c r="Q42" s="497"/>
      <c r="R42" s="993" t="s">
        <v>1154</v>
      </c>
      <c r="S42" s="990" t="s">
        <v>1313</v>
      </c>
      <c r="T42" s="1395" t="s">
        <v>2028</v>
      </c>
      <c r="U42" s="479">
        <v>7.4</v>
      </c>
      <c r="V42" s="435" t="s">
        <v>2034</v>
      </c>
      <c r="W42" s="986" t="s">
        <v>509</v>
      </c>
      <c r="X42" s="986" t="s">
        <v>510</v>
      </c>
      <c r="Y42" s="498"/>
      <c r="Z42" s="988" t="s">
        <v>1101</v>
      </c>
      <c r="AA42" s="990" t="s">
        <v>1314</v>
      </c>
      <c r="AB42" s="438" t="s">
        <v>521</v>
      </c>
      <c r="AC42" s="439">
        <v>12.14</v>
      </c>
      <c r="AD42" s="438" t="s">
        <v>529</v>
      </c>
      <c r="AE42" s="986" t="s">
        <v>509</v>
      </c>
      <c r="AF42" s="986" t="s">
        <v>510</v>
      </c>
      <c r="AG42" s="498"/>
      <c r="AH42" s="989" t="s">
        <v>1152</v>
      </c>
      <c r="AI42" s="992" t="s">
        <v>1314</v>
      </c>
      <c r="AJ42" s="438" t="s">
        <v>1648</v>
      </c>
      <c r="AK42" s="439">
        <v>12.38</v>
      </c>
      <c r="AL42" s="438" t="s">
        <v>1649</v>
      </c>
      <c r="AM42" s="986" t="s">
        <v>509</v>
      </c>
      <c r="AN42" s="986" t="s">
        <v>510</v>
      </c>
      <c r="AO42" s="498"/>
      <c r="AP42" s="989" t="s">
        <v>1091</v>
      </c>
      <c r="AQ42" s="992" t="s">
        <v>1315</v>
      </c>
      <c r="AR42" s="987" t="s">
        <v>747</v>
      </c>
      <c r="AS42" s="439">
        <v>13.88</v>
      </c>
      <c r="AT42" s="987" t="s">
        <v>751</v>
      </c>
      <c r="AU42" s="986" t="s">
        <v>509</v>
      </c>
      <c r="AV42" s="986" t="s">
        <v>510</v>
      </c>
      <c r="AW42" s="995"/>
      <c r="AX42" s="989" t="s">
        <v>1142</v>
      </c>
      <c r="AY42" s="837" t="s">
        <v>1315</v>
      </c>
      <c r="AZ42" s="1395" t="s">
        <v>1345</v>
      </c>
      <c r="BA42" s="479">
        <v>12.07</v>
      </c>
      <c r="BB42" s="1395" t="s">
        <v>1346</v>
      </c>
      <c r="BC42" s="986" t="s">
        <v>509</v>
      </c>
      <c r="BD42" s="986" t="s">
        <v>510</v>
      </c>
      <c r="BE42" s="498"/>
      <c r="BF42" s="1421" t="s">
        <v>1536</v>
      </c>
      <c r="BG42" s="837" t="s">
        <v>1426</v>
      </c>
      <c r="BH42" s="438" t="s">
        <v>2375</v>
      </c>
      <c r="BI42" s="439">
        <v>8.07</v>
      </c>
      <c r="BJ42" s="438" t="s">
        <v>2377</v>
      </c>
      <c r="BK42" s="986" t="s">
        <v>509</v>
      </c>
      <c r="BL42" s="986" t="s">
        <v>510</v>
      </c>
    </row>
    <row r="43" spans="1:64" s="252" customFormat="1" ht="10.5" customHeight="1">
      <c r="A43" s="395"/>
      <c r="B43" s="803" t="s">
        <v>1112</v>
      </c>
      <c r="C43" s="540" t="s">
        <v>1312</v>
      </c>
      <c r="D43" s="542" t="s">
        <v>2041</v>
      </c>
      <c r="E43" s="394">
        <v>6.44</v>
      </c>
      <c r="F43" s="542" t="s">
        <v>2067</v>
      </c>
      <c r="G43" s="537" t="s">
        <v>509</v>
      </c>
      <c r="H43" s="537" t="s">
        <v>510</v>
      </c>
      <c r="I43" s="391"/>
      <c r="J43" s="1102" t="s">
        <v>1105</v>
      </c>
      <c r="K43" s="536" t="s">
        <v>1313</v>
      </c>
      <c r="L43" s="542" t="s">
        <v>1015</v>
      </c>
      <c r="M43" s="394">
        <v>8.7899999999999991</v>
      </c>
      <c r="N43" s="542" t="s">
        <v>1016</v>
      </c>
      <c r="O43" s="537" t="s">
        <v>509</v>
      </c>
      <c r="P43" s="537" t="s">
        <v>510</v>
      </c>
      <c r="Q43" s="396"/>
      <c r="R43" s="763" t="s">
        <v>1155</v>
      </c>
      <c r="S43" s="538" t="s">
        <v>1313</v>
      </c>
      <c r="T43" s="332" t="s">
        <v>2043</v>
      </c>
      <c r="U43" s="388">
        <v>7.39</v>
      </c>
      <c r="V43" s="351" t="s">
        <v>2044</v>
      </c>
      <c r="W43" s="537" t="s">
        <v>509</v>
      </c>
      <c r="X43" s="537" t="s">
        <v>510</v>
      </c>
      <c r="Y43" s="588"/>
      <c r="Z43" s="536" t="s">
        <v>1102</v>
      </c>
      <c r="AA43" s="704" t="s">
        <v>1314</v>
      </c>
      <c r="AB43" s="332" t="s">
        <v>956</v>
      </c>
      <c r="AC43" s="388">
        <v>12.14</v>
      </c>
      <c r="AD43" s="351" t="s">
        <v>957</v>
      </c>
      <c r="AE43" s="537" t="s">
        <v>509</v>
      </c>
      <c r="AF43" s="537" t="s">
        <v>510</v>
      </c>
      <c r="AG43" s="391"/>
      <c r="AH43" s="539" t="s">
        <v>1153</v>
      </c>
      <c r="AI43" s="539" t="s">
        <v>1314</v>
      </c>
      <c r="AJ43" s="393" t="s">
        <v>1655</v>
      </c>
      <c r="AK43" s="394">
        <v>12.38</v>
      </c>
      <c r="AL43" s="393" t="s">
        <v>1656</v>
      </c>
      <c r="AM43" s="537" t="s">
        <v>509</v>
      </c>
      <c r="AN43" s="1103" t="s">
        <v>510</v>
      </c>
      <c r="AO43" s="391"/>
      <c r="AP43" s="763" t="s">
        <v>1092</v>
      </c>
      <c r="AQ43" s="539" t="s">
        <v>1315</v>
      </c>
      <c r="AR43" s="542" t="s">
        <v>748</v>
      </c>
      <c r="AS43" s="394">
        <v>13.49</v>
      </c>
      <c r="AT43" s="542" t="s">
        <v>752</v>
      </c>
      <c r="AU43" s="537" t="s">
        <v>509</v>
      </c>
      <c r="AV43" s="537" t="s">
        <v>510</v>
      </c>
      <c r="AW43" s="391"/>
      <c r="AX43" s="763" t="s">
        <v>1143</v>
      </c>
      <c r="AY43" s="540" t="s">
        <v>1315</v>
      </c>
      <c r="AZ43" s="332" t="s">
        <v>1388</v>
      </c>
      <c r="BA43" s="388">
        <v>12.1</v>
      </c>
      <c r="BB43" s="332" t="s">
        <v>1391</v>
      </c>
      <c r="BC43" s="537" t="s">
        <v>509</v>
      </c>
      <c r="BD43" s="537" t="s">
        <v>510</v>
      </c>
      <c r="BE43" s="391"/>
      <c r="BF43" s="1410" t="s">
        <v>2444</v>
      </c>
      <c r="BG43" s="540" t="s">
        <v>1426</v>
      </c>
      <c r="BH43" s="393" t="s">
        <v>2488</v>
      </c>
      <c r="BI43" s="394">
        <v>8.34</v>
      </c>
      <c r="BJ43" s="393" t="s">
        <v>2490</v>
      </c>
      <c r="BK43" s="537" t="s">
        <v>509</v>
      </c>
      <c r="BL43" s="537" t="s">
        <v>510</v>
      </c>
    </row>
    <row r="44" spans="1:64" s="252" customFormat="1" ht="10.5" customHeight="1">
      <c r="A44" s="995"/>
      <c r="B44" s="993" t="s">
        <v>1113</v>
      </c>
      <c r="C44" s="837" t="s">
        <v>1312</v>
      </c>
      <c r="D44" s="987" t="s">
        <v>2042</v>
      </c>
      <c r="E44" s="439">
        <v>5.89</v>
      </c>
      <c r="F44" s="987" t="s">
        <v>2068</v>
      </c>
      <c r="G44" s="986" t="s">
        <v>509</v>
      </c>
      <c r="H44" s="986" t="s">
        <v>510</v>
      </c>
      <c r="I44" s="498"/>
      <c r="J44" s="1399" t="s">
        <v>1106</v>
      </c>
      <c r="K44" s="988" t="s">
        <v>1313</v>
      </c>
      <c r="L44" s="987" t="s">
        <v>1017</v>
      </c>
      <c r="M44" s="439">
        <v>8.7899999999999991</v>
      </c>
      <c r="N44" s="987" t="s">
        <v>1018</v>
      </c>
      <c r="O44" s="986" t="s">
        <v>509</v>
      </c>
      <c r="P44" s="986" t="s">
        <v>510</v>
      </c>
      <c r="Q44" s="497"/>
      <c r="R44" s="989" t="s">
        <v>1156</v>
      </c>
      <c r="S44" s="990" t="s">
        <v>1313</v>
      </c>
      <c r="T44" s="1395" t="s">
        <v>2048</v>
      </c>
      <c r="U44" s="479">
        <v>5.95</v>
      </c>
      <c r="V44" s="435" t="s">
        <v>2049</v>
      </c>
      <c r="W44" s="986" t="s">
        <v>509</v>
      </c>
      <c r="X44" s="986" t="s">
        <v>510</v>
      </c>
      <c r="Y44" s="498"/>
      <c r="Z44" s="988" t="s">
        <v>1103</v>
      </c>
      <c r="AA44" s="991" t="s">
        <v>1314</v>
      </c>
      <c r="AB44" s="438" t="s">
        <v>522</v>
      </c>
      <c r="AC44" s="479">
        <v>12.14</v>
      </c>
      <c r="AD44" s="435" t="s">
        <v>530</v>
      </c>
      <c r="AE44" s="986" t="s">
        <v>509</v>
      </c>
      <c r="AF44" s="986" t="s">
        <v>510</v>
      </c>
      <c r="AG44" s="498"/>
      <c r="AH44" s="989" t="s">
        <v>1154</v>
      </c>
      <c r="AI44" s="992" t="s">
        <v>1314</v>
      </c>
      <c r="AJ44" s="438" t="s">
        <v>1668</v>
      </c>
      <c r="AK44" s="439">
        <v>12.4</v>
      </c>
      <c r="AL44" s="438" t="s">
        <v>1669</v>
      </c>
      <c r="AM44" s="986" t="s">
        <v>509</v>
      </c>
      <c r="AN44" s="986" t="s">
        <v>510</v>
      </c>
      <c r="AO44" s="498"/>
      <c r="AP44" s="989" t="s">
        <v>1093</v>
      </c>
      <c r="AQ44" s="992" t="s">
        <v>1315</v>
      </c>
      <c r="AR44" s="987" t="s">
        <v>749</v>
      </c>
      <c r="AS44" s="439">
        <v>13.29</v>
      </c>
      <c r="AT44" s="987" t="s">
        <v>753</v>
      </c>
      <c r="AU44" s="986" t="s">
        <v>509</v>
      </c>
      <c r="AV44" s="986" t="s">
        <v>510</v>
      </c>
      <c r="AW44" s="1395"/>
      <c r="AX44" s="989" t="s">
        <v>1144</v>
      </c>
      <c r="AY44" s="837" t="s">
        <v>1315</v>
      </c>
      <c r="AZ44" s="994" t="s">
        <v>1389</v>
      </c>
      <c r="BA44" s="439">
        <v>11.45</v>
      </c>
      <c r="BB44" s="994" t="s">
        <v>1392</v>
      </c>
      <c r="BC44" s="986" t="s">
        <v>509</v>
      </c>
      <c r="BD44" s="986" t="s">
        <v>510</v>
      </c>
      <c r="BE44" s="498"/>
      <c r="BF44" s="1421" t="s">
        <v>2445</v>
      </c>
      <c r="BG44" s="837" t="s">
        <v>1426</v>
      </c>
      <c r="BH44" s="438" t="s">
        <v>2499</v>
      </c>
      <c r="BI44" s="439">
        <v>8.5399999999999991</v>
      </c>
      <c r="BJ44" s="438" t="s">
        <v>2501</v>
      </c>
      <c r="BK44" s="986" t="s">
        <v>509</v>
      </c>
      <c r="BL44" s="986" t="s">
        <v>510</v>
      </c>
    </row>
    <row r="45" spans="1:64" s="252" customFormat="1" ht="10.5" customHeight="1">
      <c r="A45" s="395"/>
      <c r="B45" s="803" t="s">
        <v>1114</v>
      </c>
      <c r="C45" s="540" t="s">
        <v>1312</v>
      </c>
      <c r="D45" s="542" t="s">
        <v>2065</v>
      </c>
      <c r="E45" s="394">
        <v>5.94</v>
      </c>
      <c r="F45" s="542" t="s">
        <v>2069</v>
      </c>
      <c r="G45" s="537" t="s">
        <v>509</v>
      </c>
      <c r="H45" s="537" t="s">
        <v>510</v>
      </c>
      <c r="I45" s="391"/>
      <c r="J45" s="1102" t="s">
        <v>1107</v>
      </c>
      <c r="K45" s="536" t="s">
        <v>1313</v>
      </c>
      <c r="L45" s="332" t="s">
        <v>1019</v>
      </c>
      <c r="M45" s="388">
        <v>8.82</v>
      </c>
      <c r="N45" s="332" t="s">
        <v>1020</v>
      </c>
      <c r="O45" s="537" t="s">
        <v>509</v>
      </c>
      <c r="P45" s="537" t="s">
        <v>510</v>
      </c>
      <c r="Q45" s="396"/>
      <c r="R45" s="763" t="s">
        <v>1157</v>
      </c>
      <c r="S45" s="538" t="s">
        <v>1313</v>
      </c>
      <c r="T45" s="332" t="s">
        <v>1010</v>
      </c>
      <c r="U45" s="388">
        <v>5.95</v>
      </c>
      <c r="V45" s="706" t="s">
        <v>2070</v>
      </c>
      <c r="W45" s="537" t="s">
        <v>509</v>
      </c>
      <c r="X45" s="537" t="s">
        <v>510</v>
      </c>
      <c r="Y45" s="391"/>
      <c r="Z45" s="536" t="s">
        <v>1104</v>
      </c>
      <c r="AA45" s="704" t="s">
        <v>1314</v>
      </c>
      <c r="AB45" s="393" t="s">
        <v>523</v>
      </c>
      <c r="AC45" s="388">
        <v>12.14</v>
      </c>
      <c r="AD45" s="351" t="s">
        <v>531</v>
      </c>
      <c r="AE45" s="537" t="s">
        <v>509</v>
      </c>
      <c r="AF45" s="537" t="s">
        <v>510</v>
      </c>
      <c r="AG45" s="391"/>
      <c r="AH45" s="763" t="s">
        <v>1155</v>
      </c>
      <c r="AI45" s="539" t="s">
        <v>1314</v>
      </c>
      <c r="AJ45" s="393" t="s">
        <v>1694</v>
      </c>
      <c r="AK45" s="394">
        <v>12.4</v>
      </c>
      <c r="AL45" s="393" t="s">
        <v>1707</v>
      </c>
      <c r="AM45" s="537" t="s">
        <v>509</v>
      </c>
      <c r="AN45" s="537" t="s">
        <v>510</v>
      </c>
      <c r="AO45" s="391"/>
      <c r="AP45" s="763" t="s">
        <v>1094</v>
      </c>
      <c r="AQ45" s="539" t="s">
        <v>1315</v>
      </c>
      <c r="AR45" s="542" t="s">
        <v>53</v>
      </c>
      <c r="AS45" s="394">
        <v>13.19</v>
      </c>
      <c r="AT45" s="542" t="s">
        <v>67</v>
      </c>
      <c r="AU45" s="537" t="s">
        <v>509</v>
      </c>
      <c r="AV45" s="537" t="s">
        <v>510</v>
      </c>
      <c r="AW45" s="391"/>
      <c r="AX45" s="763" t="s">
        <v>1145</v>
      </c>
      <c r="AY45" s="540" t="s">
        <v>1315</v>
      </c>
      <c r="AZ45" s="762" t="s">
        <v>1390</v>
      </c>
      <c r="BA45" s="394">
        <v>12.12</v>
      </c>
      <c r="BB45" s="762" t="s">
        <v>1393</v>
      </c>
      <c r="BC45" s="537" t="s">
        <v>509</v>
      </c>
      <c r="BD45" s="537" t="s">
        <v>510</v>
      </c>
      <c r="BE45" s="391"/>
      <c r="BF45" s="763" t="s">
        <v>2522</v>
      </c>
      <c r="BG45" s="540" t="s">
        <v>1426</v>
      </c>
      <c r="BH45" s="393" t="s">
        <v>2523</v>
      </c>
      <c r="BI45" s="394">
        <v>8.48</v>
      </c>
      <c r="BJ45" s="393" t="s">
        <v>2525</v>
      </c>
      <c r="BK45" s="537" t="s">
        <v>509</v>
      </c>
      <c r="BL45" s="537" t="s">
        <v>510</v>
      </c>
    </row>
    <row r="46" spans="1:64" s="252" customFormat="1" ht="10.5" customHeight="1">
      <c r="A46" s="995"/>
      <c r="B46" s="993" t="s">
        <v>1956</v>
      </c>
      <c r="C46" s="837" t="s">
        <v>1312</v>
      </c>
      <c r="D46" s="987" t="s">
        <v>2080</v>
      </c>
      <c r="E46" s="439">
        <v>6.25</v>
      </c>
      <c r="F46" s="987" t="s">
        <v>2081</v>
      </c>
      <c r="G46" s="986" t="s">
        <v>509</v>
      </c>
      <c r="H46" s="986" t="s">
        <v>510</v>
      </c>
      <c r="I46" s="498"/>
      <c r="J46" s="1399" t="s">
        <v>1108</v>
      </c>
      <c r="K46" s="990" t="s">
        <v>1313</v>
      </c>
      <c r="L46" s="435" t="s">
        <v>1944</v>
      </c>
      <c r="M46" s="433">
        <v>8.85</v>
      </c>
      <c r="N46" s="435" t="s">
        <v>1021</v>
      </c>
      <c r="O46" s="1043" t="s">
        <v>509</v>
      </c>
      <c r="P46" s="986" t="s">
        <v>510</v>
      </c>
      <c r="Q46" s="497"/>
      <c r="R46" s="989" t="s">
        <v>1158</v>
      </c>
      <c r="S46" s="990" t="s">
        <v>1313</v>
      </c>
      <c r="T46" s="1395" t="s">
        <v>1079</v>
      </c>
      <c r="U46" s="479">
        <v>5.95</v>
      </c>
      <c r="V46" s="435" t="s">
        <v>2082</v>
      </c>
      <c r="W46" s="986" t="s">
        <v>509</v>
      </c>
      <c r="X46" s="986" t="s">
        <v>510</v>
      </c>
      <c r="Y46" s="498"/>
      <c r="Z46" s="988" t="s">
        <v>1105</v>
      </c>
      <c r="AA46" s="991" t="s">
        <v>1314</v>
      </c>
      <c r="AB46" s="438" t="s">
        <v>958</v>
      </c>
      <c r="AC46" s="479">
        <v>12.14</v>
      </c>
      <c r="AD46" s="435" t="s">
        <v>959</v>
      </c>
      <c r="AE46" s="986" t="s">
        <v>509</v>
      </c>
      <c r="AF46" s="986" t="s">
        <v>510</v>
      </c>
      <c r="AG46" s="498"/>
      <c r="AH46" s="989" t="s">
        <v>1156</v>
      </c>
      <c r="AI46" s="992" t="s">
        <v>1425</v>
      </c>
      <c r="AJ46" s="438" t="s">
        <v>1706</v>
      </c>
      <c r="AK46" s="439">
        <v>12.4</v>
      </c>
      <c r="AL46" s="438" t="s">
        <v>1708</v>
      </c>
      <c r="AM46" s="986" t="s">
        <v>509</v>
      </c>
      <c r="AN46" s="986" t="s">
        <v>510</v>
      </c>
      <c r="AO46" s="438"/>
      <c r="AP46" s="989" t="s">
        <v>1095</v>
      </c>
      <c r="AQ46" s="992" t="s">
        <v>1315</v>
      </c>
      <c r="AR46" s="987" t="s">
        <v>54</v>
      </c>
      <c r="AS46" s="439">
        <v>13.14</v>
      </c>
      <c r="AT46" s="987" t="s">
        <v>68</v>
      </c>
      <c r="AU46" s="986" t="s">
        <v>509</v>
      </c>
      <c r="AV46" s="986" t="s">
        <v>510</v>
      </c>
      <c r="AW46" s="1395"/>
      <c r="AX46" s="989" t="s">
        <v>1146</v>
      </c>
      <c r="AY46" s="837" t="s">
        <v>1315</v>
      </c>
      <c r="AZ46" s="994" t="s">
        <v>1398</v>
      </c>
      <c r="BA46" s="439">
        <v>12.16</v>
      </c>
      <c r="BB46" s="994" t="s">
        <v>1399</v>
      </c>
      <c r="BC46" s="986" t="s">
        <v>509</v>
      </c>
      <c r="BD46" s="986" t="s">
        <v>510</v>
      </c>
      <c r="BE46" s="602"/>
      <c r="BF46" s="989" t="s">
        <v>2529</v>
      </c>
      <c r="BG46" s="837" t="s">
        <v>1426</v>
      </c>
      <c r="BH46" s="438" t="s">
        <v>2527</v>
      </c>
      <c r="BI46" s="439">
        <v>8</v>
      </c>
      <c r="BJ46" s="438" t="s">
        <v>2530</v>
      </c>
      <c r="BK46" s="986" t="s">
        <v>509</v>
      </c>
      <c r="BL46" s="986" t="s">
        <v>510</v>
      </c>
    </row>
    <row r="47" spans="1:64" s="252" customFormat="1" ht="10.5" customHeight="1">
      <c r="A47" s="395"/>
      <c r="B47" s="803" t="s">
        <v>1116</v>
      </c>
      <c r="C47" s="540" t="s">
        <v>1312</v>
      </c>
      <c r="D47" s="542" t="s">
        <v>2086</v>
      </c>
      <c r="E47" s="394">
        <v>6.24</v>
      </c>
      <c r="F47" s="542" t="s">
        <v>2087</v>
      </c>
      <c r="G47" s="537" t="s">
        <v>509</v>
      </c>
      <c r="H47" s="537" t="s">
        <v>510</v>
      </c>
      <c r="I47" s="332"/>
      <c r="J47" s="803" t="s">
        <v>1109</v>
      </c>
      <c r="K47" s="538" t="s">
        <v>1313</v>
      </c>
      <c r="L47" s="332" t="s">
        <v>1022</v>
      </c>
      <c r="M47" s="388">
        <v>8.85</v>
      </c>
      <c r="N47" s="332" t="s">
        <v>1769</v>
      </c>
      <c r="O47" s="1020" t="s">
        <v>509</v>
      </c>
      <c r="P47" s="537" t="s">
        <v>510</v>
      </c>
      <c r="Q47" s="396"/>
      <c r="R47" s="538" t="s">
        <v>1159</v>
      </c>
      <c r="S47" s="538" t="s">
        <v>1313</v>
      </c>
      <c r="T47" s="332" t="s">
        <v>1539</v>
      </c>
      <c r="U47" s="388">
        <v>7.05</v>
      </c>
      <c r="V47" s="351" t="s">
        <v>2088</v>
      </c>
      <c r="W47" s="537" t="s">
        <v>509</v>
      </c>
      <c r="X47" s="537" t="s">
        <v>510</v>
      </c>
      <c r="Y47" s="393"/>
      <c r="Z47" s="536" t="s">
        <v>1106</v>
      </c>
      <c r="AA47" s="704" t="s">
        <v>1314</v>
      </c>
      <c r="AB47" s="393" t="s">
        <v>960</v>
      </c>
      <c r="AC47" s="388">
        <v>12.14</v>
      </c>
      <c r="AD47" s="351" t="s">
        <v>961</v>
      </c>
      <c r="AE47" s="537" t="s">
        <v>509</v>
      </c>
      <c r="AF47" s="537" t="s">
        <v>510</v>
      </c>
      <c r="AG47" s="391"/>
      <c r="AH47" s="763" t="s">
        <v>1157</v>
      </c>
      <c r="AI47" s="539" t="s">
        <v>1425</v>
      </c>
      <c r="AJ47" s="393" t="s">
        <v>1720</v>
      </c>
      <c r="AK47" s="394">
        <v>12.42</v>
      </c>
      <c r="AL47" s="393" t="s">
        <v>1721</v>
      </c>
      <c r="AM47" s="537" t="s">
        <v>509</v>
      </c>
      <c r="AN47" s="537" t="s">
        <v>510</v>
      </c>
      <c r="AO47" s="391"/>
      <c r="AP47" s="763" t="s">
        <v>1096</v>
      </c>
      <c r="AQ47" s="539" t="s">
        <v>1315</v>
      </c>
      <c r="AR47" s="393" t="s">
        <v>55</v>
      </c>
      <c r="AS47" s="394">
        <v>13.04</v>
      </c>
      <c r="AT47" s="393" t="s">
        <v>69</v>
      </c>
      <c r="AU47" s="537" t="s">
        <v>509</v>
      </c>
      <c r="AV47" s="537" t="s">
        <v>510</v>
      </c>
      <c r="AW47" s="391"/>
      <c r="AX47" s="763" t="s">
        <v>1147</v>
      </c>
      <c r="AY47" s="540" t="s">
        <v>1315</v>
      </c>
      <c r="AZ47" s="762" t="s">
        <v>1427</v>
      </c>
      <c r="BA47" s="394">
        <v>12.16</v>
      </c>
      <c r="BB47" s="762" t="s">
        <v>1428</v>
      </c>
      <c r="BC47" s="537" t="s">
        <v>509</v>
      </c>
      <c r="BD47" s="537" t="s">
        <v>510</v>
      </c>
      <c r="BE47" s="332"/>
      <c r="BF47" s="763" t="s">
        <v>2548</v>
      </c>
      <c r="BG47" s="540" t="s">
        <v>1426</v>
      </c>
      <c r="BH47" s="393" t="s">
        <v>2545</v>
      </c>
      <c r="BI47" s="394">
        <v>8.4</v>
      </c>
      <c r="BJ47" s="393" t="s">
        <v>2547</v>
      </c>
      <c r="BK47" s="537" t="s">
        <v>509</v>
      </c>
      <c r="BL47" s="537" t="s">
        <v>510</v>
      </c>
    </row>
    <row r="48" spans="1:64" s="252" customFormat="1" ht="10.5" customHeight="1">
      <c r="A48" s="995"/>
      <c r="B48" s="993" t="s">
        <v>1117</v>
      </c>
      <c r="C48" s="837" t="s">
        <v>1312</v>
      </c>
      <c r="D48" s="987" t="s">
        <v>2095</v>
      </c>
      <c r="E48" s="439">
        <v>6.6</v>
      </c>
      <c r="F48" s="987" t="s">
        <v>2096</v>
      </c>
      <c r="G48" s="986" t="s">
        <v>509</v>
      </c>
      <c r="H48" s="986" t="s">
        <v>510</v>
      </c>
      <c r="I48" s="498"/>
      <c r="J48" s="993" t="s">
        <v>1110</v>
      </c>
      <c r="K48" s="990" t="s">
        <v>1313</v>
      </c>
      <c r="L48" s="1395" t="s">
        <v>1023</v>
      </c>
      <c r="M48" s="479">
        <v>8.9</v>
      </c>
      <c r="N48" s="1395" t="s">
        <v>1024</v>
      </c>
      <c r="O48" s="986" t="s">
        <v>509</v>
      </c>
      <c r="P48" s="986" t="s">
        <v>510</v>
      </c>
      <c r="Q48" s="497"/>
      <c r="R48" s="990" t="s">
        <v>1160</v>
      </c>
      <c r="S48" s="990" t="s">
        <v>1313</v>
      </c>
      <c r="T48" s="1395" t="s">
        <v>1540</v>
      </c>
      <c r="U48" s="479">
        <v>7.29</v>
      </c>
      <c r="V48" s="435" t="s">
        <v>2100</v>
      </c>
      <c r="W48" s="986" t="s">
        <v>509</v>
      </c>
      <c r="X48" s="986" t="s">
        <v>510</v>
      </c>
      <c r="Y48" s="498"/>
      <c r="Z48" s="988" t="s">
        <v>1107</v>
      </c>
      <c r="AA48" s="991" t="s">
        <v>1314</v>
      </c>
      <c r="AB48" s="1395" t="s">
        <v>962</v>
      </c>
      <c r="AC48" s="479">
        <v>12.14</v>
      </c>
      <c r="AD48" s="435" t="s">
        <v>963</v>
      </c>
      <c r="AE48" s="986" t="s">
        <v>509</v>
      </c>
      <c r="AF48" s="986" t="s">
        <v>510</v>
      </c>
      <c r="AG48" s="498"/>
      <c r="AH48" s="989" t="s">
        <v>1158</v>
      </c>
      <c r="AI48" s="992" t="s">
        <v>1425</v>
      </c>
      <c r="AJ48" s="438" t="s">
        <v>1722</v>
      </c>
      <c r="AK48" s="439">
        <v>12.42</v>
      </c>
      <c r="AL48" s="438" t="s">
        <v>1723</v>
      </c>
      <c r="AM48" s="986" t="s">
        <v>509</v>
      </c>
      <c r="AN48" s="986" t="s">
        <v>510</v>
      </c>
      <c r="AO48" s="498"/>
      <c r="AP48" s="989" t="s">
        <v>1097</v>
      </c>
      <c r="AQ48" s="992" t="s">
        <v>1315</v>
      </c>
      <c r="AR48" s="438" t="s">
        <v>56</v>
      </c>
      <c r="AS48" s="439">
        <v>13.14</v>
      </c>
      <c r="AT48" s="438" t="s">
        <v>70</v>
      </c>
      <c r="AU48" s="986" t="s">
        <v>509</v>
      </c>
      <c r="AV48" s="986" t="s">
        <v>510</v>
      </c>
      <c r="AW48" s="1395"/>
      <c r="AX48" s="989" t="s">
        <v>1148</v>
      </c>
      <c r="AY48" s="837" t="s">
        <v>1315</v>
      </c>
      <c r="AZ48" s="1082" t="s">
        <v>1470</v>
      </c>
      <c r="BA48" s="982">
        <v>12.16</v>
      </c>
      <c r="BB48" s="1082" t="s">
        <v>1471</v>
      </c>
      <c r="BC48" s="986" t="s">
        <v>509</v>
      </c>
      <c r="BD48" s="986" t="s">
        <v>510</v>
      </c>
      <c r="BE48" s="1446"/>
      <c r="BF48" s="989" t="s">
        <v>2573</v>
      </c>
      <c r="BG48" s="837" t="s">
        <v>1426</v>
      </c>
      <c r="BH48" s="438" t="s">
        <v>2571</v>
      </c>
      <c r="BI48" s="439">
        <v>8.9</v>
      </c>
      <c r="BJ48" s="438" t="s">
        <v>2574</v>
      </c>
      <c r="BK48" s="986" t="s">
        <v>509</v>
      </c>
      <c r="BL48" s="986" t="s">
        <v>510</v>
      </c>
    </row>
    <row r="49" spans="1:64" s="252" customFormat="1" ht="10.5" customHeight="1">
      <c r="A49" s="395"/>
      <c r="B49" s="803" t="s">
        <v>1118</v>
      </c>
      <c r="C49" s="540" t="s">
        <v>1312</v>
      </c>
      <c r="D49" s="542" t="s">
        <v>2094</v>
      </c>
      <c r="E49" s="394">
        <v>7.09</v>
      </c>
      <c r="F49" s="542" t="s">
        <v>1282</v>
      </c>
      <c r="G49" s="537" t="s">
        <v>509</v>
      </c>
      <c r="H49" s="537" t="s">
        <v>510</v>
      </c>
      <c r="I49" s="395"/>
      <c r="J49" s="803" t="s">
        <v>1111</v>
      </c>
      <c r="K49" s="538" t="s">
        <v>1313</v>
      </c>
      <c r="L49" s="332" t="s">
        <v>1025</v>
      </c>
      <c r="M49" s="388">
        <v>9.5</v>
      </c>
      <c r="N49" s="332" t="s">
        <v>1026</v>
      </c>
      <c r="O49" s="537" t="s">
        <v>509</v>
      </c>
      <c r="P49" s="537" t="s">
        <v>510</v>
      </c>
      <c r="Q49" s="396"/>
      <c r="R49" s="538" t="s">
        <v>1161</v>
      </c>
      <c r="S49" s="538" t="s">
        <v>1313</v>
      </c>
      <c r="T49" s="332" t="s">
        <v>2098</v>
      </c>
      <c r="U49" s="388">
        <v>7.59</v>
      </c>
      <c r="V49" s="351" t="s">
        <v>2099</v>
      </c>
      <c r="W49" s="537" t="s">
        <v>509</v>
      </c>
      <c r="X49" s="537" t="s">
        <v>510</v>
      </c>
      <c r="Y49" s="391"/>
      <c r="Z49" s="536" t="s">
        <v>1108</v>
      </c>
      <c r="AA49" s="704" t="s">
        <v>1314</v>
      </c>
      <c r="AB49" s="332" t="s">
        <v>964</v>
      </c>
      <c r="AC49" s="388">
        <v>12.14</v>
      </c>
      <c r="AD49" s="351" t="s">
        <v>965</v>
      </c>
      <c r="AE49" s="537" t="s">
        <v>509</v>
      </c>
      <c r="AF49" s="537" t="s">
        <v>510</v>
      </c>
      <c r="AG49" s="391"/>
      <c r="AH49" s="763" t="s">
        <v>1159</v>
      </c>
      <c r="AI49" s="539" t="s">
        <v>1425</v>
      </c>
      <c r="AJ49" s="393" t="s">
        <v>1732</v>
      </c>
      <c r="AK49" s="394">
        <v>12.29</v>
      </c>
      <c r="AL49" s="393" t="s">
        <v>1733</v>
      </c>
      <c r="AM49" s="537" t="s">
        <v>509</v>
      </c>
      <c r="AN49" s="537" t="s">
        <v>510</v>
      </c>
      <c r="AO49" s="391"/>
      <c r="AP49" s="763" t="s">
        <v>1098</v>
      </c>
      <c r="AQ49" s="539" t="s">
        <v>1315</v>
      </c>
      <c r="AR49" s="393" t="s">
        <v>57</v>
      </c>
      <c r="AS49" s="393">
        <v>13.13</v>
      </c>
      <c r="AT49" s="393" t="s">
        <v>71</v>
      </c>
      <c r="AU49" s="537" t="s">
        <v>509</v>
      </c>
      <c r="AV49" s="537" t="s">
        <v>510</v>
      </c>
      <c r="AW49" s="391"/>
      <c r="AX49" s="763" t="s">
        <v>1149</v>
      </c>
      <c r="AY49" s="540" t="s">
        <v>1315</v>
      </c>
      <c r="AZ49" s="393" t="s">
        <v>1472</v>
      </c>
      <c r="BA49" s="394">
        <v>12.18</v>
      </c>
      <c r="BB49" s="393" t="s">
        <v>1473</v>
      </c>
      <c r="BC49" s="537" t="s">
        <v>509</v>
      </c>
      <c r="BD49" s="537" t="s">
        <v>510</v>
      </c>
      <c r="BE49" s="391"/>
      <c r="BF49" s="391" t="s">
        <v>2591</v>
      </c>
      <c r="BG49" s="540" t="s">
        <v>1426</v>
      </c>
      <c r="BH49" s="393" t="s">
        <v>2589</v>
      </c>
      <c r="BI49" s="394">
        <v>8.09</v>
      </c>
      <c r="BJ49" s="393" t="s">
        <v>2592</v>
      </c>
      <c r="BK49" s="537" t="s">
        <v>509</v>
      </c>
      <c r="BL49" s="537" t="s">
        <v>510</v>
      </c>
    </row>
    <row r="50" spans="1:64" s="252" customFormat="1" ht="10.5" customHeight="1">
      <c r="A50" s="498"/>
      <c r="B50" s="993" t="s">
        <v>1119</v>
      </c>
      <c r="C50" s="837" t="s">
        <v>1312</v>
      </c>
      <c r="D50" s="987" t="s">
        <v>2097</v>
      </c>
      <c r="E50" s="439">
        <v>6.54</v>
      </c>
      <c r="F50" s="987" t="s">
        <v>1283</v>
      </c>
      <c r="G50" s="986" t="s">
        <v>509</v>
      </c>
      <c r="H50" s="986" t="s">
        <v>510</v>
      </c>
      <c r="I50" s="498"/>
      <c r="J50" s="993" t="s">
        <v>1112</v>
      </c>
      <c r="K50" s="990" t="s">
        <v>1313</v>
      </c>
      <c r="L50" s="1395" t="s">
        <v>1023</v>
      </c>
      <c r="M50" s="479">
        <v>8.9</v>
      </c>
      <c r="N50" s="1395" t="s">
        <v>1024</v>
      </c>
      <c r="O50" s="986" t="s">
        <v>509</v>
      </c>
      <c r="P50" s="986" t="s">
        <v>510</v>
      </c>
      <c r="Q50" s="497"/>
      <c r="R50" s="990" t="s">
        <v>1162</v>
      </c>
      <c r="S50" s="990" t="s">
        <v>1313</v>
      </c>
      <c r="T50" s="1395" t="s">
        <v>2111</v>
      </c>
      <c r="U50" s="479">
        <v>7.36</v>
      </c>
      <c r="V50" s="435" t="s">
        <v>1623</v>
      </c>
      <c r="W50" s="986" t="s">
        <v>509</v>
      </c>
      <c r="X50" s="986" t="s">
        <v>510</v>
      </c>
      <c r="Y50" s="498"/>
      <c r="Z50" s="988" t="s">
        <v>1109</v>
      </c>
      <c r="AA50" s="1116" t="s">
        <v>1314</v>
      </c>
      <c r="AB50" s="985" t="s">
        <v>966</v>
      </c>
      <c r="AC50" s="479">
        <v>10.6</v>
      </c>
      <c r="AD50" s="996" t="s">
        <v>967</v>
      </c>
      <c r="AE50" s="986" t="s">
        <v>509</v>
      </c>
      <c r="AF50" s="986" t="s">
        <v>510</v>
      </c>
      <c r="AG50" s="498"/>
      <c r="AH50" s="989" t="s">
        <v>1160</v>
      </c>
      <c r="AI50" s="992" t="s">
        <v>1425</v>
      </c>
      <c r="AJ50" s="438" t="s">
        <v>1739</v>
      </c>
      <c r="AK50" s="439">
        <v>12.29</v>
      </c>
      <c r="AL50" s="438" t="s">
        <v>1740</v>
      </c>
      <c r="AM50" s="986" t="s">
        <v>509</v>
      </c>
      <c r="AN50" s="986" t="s">
        <v>510</v>
      </c>
      <c r="AO50" s="498"/>
      <c r="AP50" s="498" t="s">
        <v>1099</v>
      </c>
      <c r="AQ50" s="992" t="s">
        <v>1315</v>
      </c>
      <c r="AR50" s="438" t="s">
        <v>58</v>
      </c>
      <c r="AS50" s="438">
        <v>13.09</v>
      </c>
      <c r="AT50" s="438" t="s">
        <v>72</v>
      </c>
      <c r="AU50" s="986" t="s">
        <v>509</v>
      </c>
      <c r="AV50" s="986" t="s">
        <v>510</v>
      </c>
      <c r="AW50" s="1395"/>
      <c r="AX50" s="989" t="s">
        <v>1150</v>
      </c>
      <c r="AY50" s="837" t="s">
        <v>1315</v>
      </c>
      <c r="AZ50" s="1411" t="s">
        <v>1486</v>
      </c>
      <c r="BA50" s="479">
        <v>12.28</v>
      </c>
      <c r="BB50" s="1411" t="s">
        <v>1487</v>
      </c>
      <c r="BC50" s="986" t="s">
        <v>509</v>
      </c>
      <c r="BD50" s="986" t="s">
        <v>510</v>
      </c>
      <c r="BE50" s="498"/>
      <c r="BF50" s="498" t="s">
        <v>2691</v>
      </c>
      <c r="BG50" s="837" t="s">
        <v>1426</v>
      </c>
      <c r="BH50" s="438" t="s">
        <v>2689</v>
      </c>
      <c r="BI50" s="439">
        <v>7.97</v>
      </c>
      <c r="BJ50" s="438" t="s">
        <v>2692</v>
      </c>
      <c r="BK50" s="986" t="s">
        <v>509</v>
      </c>
      <c r="BL50" s="986" t="s">
        <v>510</v>
      </c>
    </row>
    <row r="51" spans="1:64" s="252" customFormat="1" ht="10.5" customHeight="1">
      <c r="A51" s="391"/>
      <c r="B51" s="803" t="s">
        <v>1120</v>
      </c>
      <c r="C51" s="540" t="s">
        <v>1312</v>
      </c>
      <c r="D51" s="542" t="s">
        <v>2123</v>
      </c>
      <c r="E51" s="394">
        <v>6.14</v>
      </c>
      <c r="F51" s="542" t="s">
        <v>2124</v>
      </c>
      <c r="G51" s="537" t="s">
        <v>509</v>
      </c>
      <c r="H51" s="537" t="s">
        <v>510</v>
      </c>
      <c r="I51" s="396"/>
      <c r="J51" s="803" t="s">
        <v>1113</v>
      </c>
      <c r="K51" s="538" t="s">
        <v>1313</v>
      </c>
      <c r="L51" s="332" t="s">
        <v>1025</v>
      </c>
      <c r="M51" s="388">
        <v>9.5</v>
      </c>
      <c r="N51" s="332" t="s">
        <v>1026</v>
      </c>
      <c r="O51" s="537" t="s">
        <v>509</v>
      </c>
      <c r="P51" s="537" t="s">
        <v>510</v>
      </c>
      <c r="Q51" s="391"/>
      <c r="R51" s="538" t="s">
        <v>1163</v>
      </c>
      <c r="S51" s="538" t="s">
        <v>1313</v>
      </c>
      <c r="T51" s="332" t="s">
        <v>2126</v>
      </c>
      <c r="U51" s="388">
        <v>7.25</v>
      </c>
      <c r="V51" s="351" t="s">
        <v>1625</v>
      </c>
      <c r="W51" s="537" t="s">
        <v>509</v>
      </c>
      <c r="X51" s="537" t="s">
        <v>510</v>
      </c>
      <c r="Y51" s="391"/>
      <c r="Z51" s="536" t="s">
        <v>1110</v>
      </c>
      <c r="AA51" s="1117" t="s">
        <v>1314</v>
      </c>
      <c r="AB51" s="400" t="s">
        <v>968</v>
      </c>
      <c r="AC51" s="388">
        <v>11.09</v>
      </c>
      <c r="AD51" s="706" t="s">
        <v>969</v>
      </c>
      <c r="AE51" s="537" t="s">
        <v>509</v>
      </c>
      <c r="AF51" s="537" t="s">
        <v>510</v>
      </c>
      <c r="AG51" s="391"/>
      <c r="AH51" s="763" t="s">
        <v>1161</v>
      </c>
      <c r="AI51" s="539" t="s">
        <v>1425</v>
      </c>
      <c r="AJ51" s="393" t="s">
        <v>1745</v>
      </c>
      <c r="AK51" s="394">
        <v>12.2</v>
      </c>
      <c r="AL51" s="393" t="s">
        <v>1747</v>
      </c>
      <c r="AM51" s="537" t="s">
        <v>509</v>
      </c>
      <c r="AN51" s="537" t="s">
        <v>510</v>
      </c>
      <c r="AO51" s="391"/>
      <c r="AP51" s="763" t="s">
        <v>1100</v>
      </c>
      <c r="AQ51" s="539" t="s">
        <v>1315</v>
      </c>
      <c r="AR51" s="393" t="s">
        <v>59</v>
      </c>
      <c r="AS51" s="394">
        <v>13.07</v>
      </c>
      <c r="AT51" s="393" t="s">
        <v>73</v>
      </c>
      <c r="AU51" s="537" t="s">
        <v>509</v>
      </c>
      <c r="AV51" s="537" t="s">
        <v>510</v>
      </c>
      <c r="AW51" s="332"/>
      <c r="AX51" s="763" t="s">
        <v>1151</v>
      </c>
      <c r="AY51" s="540" t="s">
        <v>1315</v>
      </c>
      <c r="AZ51" s="1412" t="s">
        <v>1489</v>
      </c>
      <c r="BA51" s="388">
        <v>12.38</v>
      </c>
      <c r="BB51" s="1413" t="s">
        <v>1658</v>
      </c>
      <c r="BC51" s="537" t="s">
        <v>509</v>
      </c>
      <c r="BD51" s="537" t="s">
        <v>510</v>
      </c>
      <c r="BE51" s="1666"/>
      <c r="BF51" s="763" t="s">
        <v>2844</v>
      </c>
      <c r="BG51" s="540" t="s">
        <v>1426</v>
      </c>
      <c r="BH51" s="332" t="s">
        <v>2842</v>
      </c>
      <c r="BI51" s="388">
        <v>8.24</v>
      </c>
      <c r="BJ51" s="332" t="s">
        <v>2845</v>
      </c>
      <c r="BK51" s="537" t="s">
        <v>509</v>
      </c>
      <c r="BL51" s="537" t="s">
        <v>510</v>
      </c>
    </row>
    <row r="52" spans="1:64" s="391" customFormat="1" ht="10.5" customHeight="1">
      <c r="A52" s="1113"/>
      <c r="B52" s="993" t="s">
        <v>1121</v>
      </c>
      <c r="C52" s="837" t="s">
        <v>1312</v>
      </c>
      <c r="D52" s="987" t="s">
        <v>2135</v>
      </c>
      <c r="E52" s="439">
        <v>5.8</v>
      </c>
      <c r="F52" s="987" t="s">
        <v>2136</v>
      </c>
      <c r="G52" s="986" t="s">
        <v>509</v>
      </c>
      <c r="H52" s="986" t="s">
        <v>510</v>
      </c>
      <c r="I52" s="498"/>
      <c r="J52" s="993" t="s">
        <v>1114</v>
      </c>
      <c r="K52" s="990" t="s">
        <v>1313</v>
      </c>
      <c r="L52" s="1395" t="s">
        <v>1027</v>
      </c>
      <c r="M52" s="479">
        <v>9.5299999999999994</v>
      </c>
      <c r="N52" s="1395" t="s">
        <v>1028</v>
      </c>
      <c r="O52" s="986" t="s">
        <v>509</v>
      </c>
      <c r="P52" s="986" t="s">
        <v>510</v>
      </c>
      <c r="Q52" s="498"/>
      <c r="R52" s="990" t="s">
        <v>1225</v>
      </c>
      <c r="S52" s="990" t="s">
        <v>1313</v>
      </c>
      <c r="T52" s="1000" t="s">
        <v>2127</v>
      </c>
      <c r="U52" s="479">
        <v>6.98</v>
      </c>
      <c r="V52" s="1000" t="s">
        <v>1627</v>
      </c>
      <c r="W52" s="986" t="s">
        <v>509</v>
      </c>
      <c r="X52" s="986" t="s">
        <v>510</v>
      </c>
      <c r="Y52" s="498"/>
      <c r="Z52" s="988" t="s">
        <v>1111</v>
      </c>
      <c r="AA52" s="1116" t="s">
        <v>1314</v>
      </c>
      <c r="AB52" s="985" t="s">
        <v>970</v>
      </c>
      <c r="AC52" s="479">
        <v>9.39</v>
      </c>
      <c r="AD52" s="996" t="s">
        <v>971</v>
      </c>
      <c r="AE52" s="986" t="s">
        <v>509</v>
      </c>
      <c r="AF52" s="986" t="s">
        <v>510</v>
      </c>
      <c r="AG52" s="497"/>
      <c r="AH52" s="989" t="s">
        <v>1162</v>
      </c>
      <c r="AI52" s="992" t="s">
        <v>1425</v>
      </c>
      <c r="AJ52" s="438" t="s">
        <v>1748</v>
      </c>
      <c r="AK52" s="439">
        <v>12.1</v>
      </c>
      <c r="AL52" s="438" t="s">
        <v>1750</v>
      </c>
      <c r="AM52" s="986" t="s">
        <v>509</v>
      </c>
      <c r="AN52" s="986" t="s">
        <v>510</v>
      </c>
      <c r="AO52" s="1395"/>
      <c r="AP52" s="989" t="s">
        <v>1101</v>
      </c>
      <c r="AQ52" s="837" t="s">
        <v>1315</v>
      </c>
      <c r="AR52" s="1395" t="s">
        <v>60</v>
      </c>
      <c r="AS52" s="479">
        <v>13.07</v>
      </c>
      <c r="AT52" s="1395" t="s">
        <v>2201</v>
      </c>
      <c r="AU52" s="986" t="s">
        <v>509</v>
      </c>
      <c r="AV52" s="986" t="s">
        <v>510</v>
      </c>
      <c r="AW52" s="1395"/>
      <c r="AX52" s="989" t="s">
        <v>1152</v>
      </c>
      <c r="AY52" s="837" t="s">
        <v>1426</v>
      </c>
      <c r="AZ52" s="994" t="s">
        <v>1535</v>
      </c>
      <c r="BA52" s="438">
        <v>12.48</v>
      </c>
      <c r="BB52" s="994" t="s">
        <v>1659</v>
      </c>
      <c r="BC52" s="986" t="s">
        <v>509</v>
      </c>
      <c r="BD52" s="986" t="s">
        <v>510</v>
      </c>
      <c r="BE52" s="502" t="s">
        <v>540</v>
      </c>
      <c r="BF52" s="989" t="s">
        <v>1090</v>
      </c>
      <c r="BG52" s="837" t="s">
        <v>1331</v>
      </c>
      <c r="BH52" s="1665" t="s">
        <v>1298</v>
      </c>
      <c r="BI52" s="479">
        <v>5</v>
      </c>
      <c r="BJ52" s="1665" t="s">
        <v>536</v>
      </c>
      <c r="BK52" s="986" t="s">
        <v>509</v>
      </c>
      <c r="BL52" s="986" t="s">
        <v>535</v>
      </c>
    </row>
    <row r="53" spans="1:64" s="252" customFormat="1" ht="10.5" customHeight="1" thickBot="1">
      <c r="A53" s="391"/>
      <c r="B53" s="803" t="s">
        <v>1122</v>
      </c>
      <c r="C53" s="540" t="s">
        <v>1312</v>
      </c>
      <c r="D53" s="542" t="s">
        <v>2141</v>
      </c>
      <c r="E53" s="394">
        <v>6</v>
      </c>
      <c r="F53" s="542" t="s">
        <v>1611</v>
      </c>
      <c r="G53" s="537" t="s">
        <v>509</v>
      </c>
      <c r="H53" s="537" t="s">
        <v>510</v>
      </c>
      <c r="I53" s="391"/>
      <c r="J53" s="803" t="s">
        <v>1115</v>
      </c>
      <c r="K53" s="538" t="s">
        <v>1313</v>
      </c>
      <c r="L53" s="332" t="s">
        <v>1033</v>
      </c>
      <c r="M53" s="388" t="s">
        <v>1164</v>
      </c>
      <c r="N53" s="332" t="s">
        <v>1082</v>
      </c>
      <c r="O53" s="537" t="s">
        <v>509</v>
      </c>
      <c r="P53" s="537" t="s">
        <v>80</v>
      </c>
      <c r="Q53" s="391"/>
      <c r="R53" s="538" t="s">
        <v>1226</v>
      </c>
      <c r="S53" s="538" t="s">
        <v>1313</v>
      </c>
      <c r="T53" s="849" t="s">
        <v>2142</v>
      </c>
      <c r="U53" s="388">
        <v>6.89</v>
      </c>
      <c r="V53" s="849" t="s">
        <v>1629</v>
      </c>
      <c r="W53" s="537" t="s">
        <v>509</v>
      </c>
      <c r="X53" s="537" t="s">
        <v>510</v>
      </c>
      <c r="Y53" s="391"/>
      <c r="Z53" s="536" t="s">
        <v>1112</v>
      </c>
      <c r="AA53" s="536" t="s">
        <v>1314</v>
      </c>
      <c r="AB53" s="400" t="s">
        <v>972</v>
      </c>
      <c r="AC53" s="388">
        <v>8.59</v>
      </c>
      <c r="AD53" s="706" t="s">
        <v>973</v>
      </c>
      <c r="AE53" s="537" t="s">
        <v>509</v>
      </c>
      <c r="AF53" s="537" t="s">
        <v>510</v>
      </c>
      <c r="AG53" s="396"/>
      <c r="AH53" s="763" t="s">
        <v>1163</v>
      </c>
      <c r="AI53" s="539" t="s">
        <v>1425</v>
      </c>
      <c r="AJ53" s="393" t="s">
        <v>1759</v>
      </c>
      <c r="AK53" s="394">
        <v>12</v>
      </c>
      <c r="AL53" s="393" t="s">
        <v>1760</v>
      </c>
      <c r="AM53" s="537" t="s">
        <v>509</v>
      </c>
      <c r="AN53" s="537" t="s">
        <v>510</v>
      </c>
      <c r="AO53" s="396"/>
      <c r="AP53" s="763" t="s">
        <v>1102</v>
      </c>
      <c r="AQ53" s="540" t="s">
        <v>1315</v>
      </c>
      <c r="AR53" s="332" t="s">
        <v>61</v>
      </c>
      <c r="AS53" s="388">
        <v>13.07</v>
      </c>
      <c r="AT53" s="332" t="s">
        <v>74</v>
      </c>
      <c r="AU53" s="537" t="s">
        <v>509</v>
      </c>
      <c r="AV53" s="537" t="s">
        <v>510</v>
      </c>
      <c r="AW53" s="391"/>
      <c r="AX53" s="763" t="s">
        <v>1153</v>
      </c>
      <c r="AY53" s="540" t="s">
        <v>1426</v>
      </c>
      <c r="AZ53" s="762" t="s">
        <v>1643</v>
      </c>
      <c r="BA53" s="394">
        <v>12.48</v>
      </c>
      <c r="BB53" s="762" t="s">
        <v>1660</v>
      </c>
      <c r="BC53" s="537" t="s">
        <v>509</v>
      </c>
      <c r="BD53" s="537" t="s">
        <v>510</v>
      </c>
      <c r="BE53" s="756"/>
      <c r="BF53" s="1682" t="s">
        <v>1091</v>
      </c>
      <c r="BG53" s="1564" t="s">
        <v>1331</v>
      </c>
      <c r="BH53" s="684" t="s">
        <v>1299</v>
      </c>
      <c r="BI53" s="1442">
        <v>5</v>
      </c>
      <c r="BJ53" s="684" t="s">
        <v>537</v>
      </c>
      <c r="BK53" s="1683" t="s">
        <v>509</v>
      </c>
      <c r="BL53" s="1684" t="s">
        <v>535</v>
      </c>
    </row>
    <row r="54" spans="1:64" s="252" customFormat="1" ht="10.5" customHeight="1" thickBot="1">
      <c r="A54" s="1106"/>
      <c r="B54" s="1398" t="s">
        <v>1123</v>
      </c>
      <c r="C54" s="1083" t="s">
        <v>1312</v>
      </c>
      <c r="D54" s="1061" t="s">
        <v>2153</v>
      </c>
      <c r="E54" s="717">
        <v>5.84</v>
      </c>
      <c r="F54" s="1061" t="s">
        <v>1613</v>
      </c>
      <c r="G54" s="1011" t="s">
        <v>509</v>
      </c>
      <c r="H54" s="1011" t="s">
        <v>510</v>
      </c>
      <c r="I54" s="1106"/>
      <c r="J54" s="1398" t="s">
        <v>1116</v>
      </c>
      <c r="K54" s="1049" t="s">
        <v>1319</v>
      </c>
      <c r="L54" s="1069" t="s">
        <v>1029</v>
      </c>
      <c r="M54" s="522">
        <v>9.4499999999999993</v>
      </c>
      <c r="N54" s="1069" t="s">
        <v>1030</v>
      </c>
      <c r="O54" s="1011" t="s">
        <v>509</v>
      </c>
      <c r="P54" s="1011" t="s">
        <v>510</v>
      </c>
      <c r="Q54" s="1106"/>
      <c r="R54" s="1049" t="s">
        <v>1227</v>
      </c>
      <c r="S54" s="1049" t="s">
        <v>1313</v>
      </c>
      <c r="T54" s="1397" t="s">
        <v>2154</v>
      </c>
      <c r="U54" s="522">
        <v>6.89</v>
      </c>
      <c r="V54" s="1397" t="s">
        <v>1631</v>
      </c>
      <c r="W54" s="1011" t="s">
        <v>509</v>
      </c>
      <c r="X54" s="1011" t="s">
        <v>510</v>
      </c>
      <c r="Y54" s="1106"/>
      <c r="Z54" s="1118" t="s">
        <v>1113</v>
      </c>
      <c r="AA54" s="1119" t="s">
        <v>1314</v>
      </c>
      <c r="AB54" s="1114" t="s">
        <v>974</v>
      </c>
      <c r="AC54" s="522">
        <v>8.8000000000000007</v>
      </c>
      <c r="AD54" s="1115" t="s">
        <v>975</v>
      </c>
      <c r="AE54" s="1011" t="s">
        <v>509</v>
      </c>
      <c r="AF54" s="1011" t="s">
        <v>510</v>
      </c>
      <c r="AG54" s="1112"/>
      <c r="AH54" s="1068" t="s">
        <v>1225</v>
      </c>
      <c r="AI54" s="1104" t="s">
        <v>1425</v>
      </c>
      <c r="AJ54" s="1061" t="s">
        <v>1761</v>
      </c>
      <c r="AK54" s="717">
        <v>11.97</v>
      </c>
      <c r="AL54" s="1061" t="s">
        <v>1762</v>
      </c>
      <c r="AM54" s="1011" t="s">
        <v>509</v>
      </c>
      <c r="AN54" s="1011" t="s">
        <v>510</v>
      </c>
      <c r="AO54" s="1112"/>
      <c r="AP54" s="1068" t="s">
        <v>1103</v>
      </c>
      <c r="AQ54" s="1083" t="s">
        <v>1315</v>
      </c>
      <c r="AR54" s="1069" t="s">
        <v>62</v>
      </c>
      <c r="AS54" s="522">
        <v>13.07</v>
      </c>
      <c r="AT54" s="1069" t="s">
        <v>75</v>
      </c>
      <c r="AU54" s="1011" t="s">
        <v>509</v>
      </c>
      <c r="AV54" s="1011" t="s">
        <v>510</v>
      </c>
      <c r="AW54" s="1106"/>
      <c r="AX54" s="1068" t="s">
        <v>1154</v>
      </c>
      <c r="AY54" s="1083" t="s">
        <v>1426</v>
      </c>
      <c r="AZ54" s="1120" t="s">
        <v>1650</v>
      </c>
      <c r="BA54" s="717">
        <v>12.48</v>
      </c>
      <c r="BB54" s="1120" t="s">
        <v>1661</v>
      </c>
      <c r="BC54" s="1011" t="s">
        <v>509</v>
      </c>
      <c r="BD54" s="1011" t="s">
        <v>510</v>
      </c>
      <c r="BE54" s="391"/>
      <c r="BF54" s="391"/>
      <c r="BG54" s="391"/>
      <c r="BH54" s="391"/>
      <c r="BI54" s="391"/>
      <c r="BJ54" s="391"/>
      <c r="BK54" s="391"/>
      <c r="BL54" s="391"/>
    </row>
    <row r="55" spans="1:64" s="252" customFormat="1" ht="14.1" customHeight="1">
      <c r="J55" s="402"/>
      <c r="O55" s="418"/>
      <c r="Z55" s="269"/>
      <c r="AA55" s="269"/>
      <c r="AB55" s="39"/>
      <c r="AC55" s="39"/>
      <c r="AD55" s="39"/>
      <c r="AE55" s="269"/>
    </row>
    <row r="56" spans="1:64" s="254" customFormat="1" ht="13.5" customHeight="1">
      <c r="A56" s="2079" t="s">
        <v>32</v>
      </c>
      <c r="B56" s="2079"/>
      <c r="C56" s="740" t="s">
        <v>1394</v>
      </c>
    </row>
    <row r="57" spans="1:64" ht="14.1" customHeight="1">
      <c r="C57" s="402" t="s">
        <v>1332</v>
      </c>
      <c r="BE57" s="252"/>
      <c r="BF57" s="252"/>
      <c r="BG57" s="252"/>
      <c r="BH57" s="252"/>
      <c r="BI57" s="252"/>
      <c r="BJ57" s="252"/>
      <c r="BK57" s="252"/>
      <c r="BL57" s="252"/>
    </row>
    <row r="58" spans="1:64" ht="14.1" customHeight="1">
      <c r="BE58" s="252"/>
      <c r="BF58" s="361"/>
      <c r="BG58" s="252"/>
      <c r="BH58" s="252"/>
      <c r="BI58" s="252"/>
      <c r="BJ58" s="252"/>
      <c r="BK58" s="252"/>
      <c r="BL58" s="252"/>
    </row>
    <row r="59" spans="1:64" ht="12.6" customHeight="1">
      <c r="AW59" s="11"/>
      <c r="AX59" s="252"/>
      <c r="AY59" s="252"/>
      <c r="AZ59" s="252"/>
      <c r="BA59" s="252"/>
      <c r="BB59" s="252"/>
      <c r="BC59" s="252"/>
      <c r="BD59" s="252"/>
    </row>
    <row r="60" spans="1:64" s="252" customFormat="1" ht="12.6" customHeight="1">
      <c r="I60" s="254"/>
      <c r="J60" s="254"/>
      <c r="K60" s="338"/>
      <c r="L60" s="254"/>
      <c r="M60" s="254"/>
      <c r="N60" s="254"/>
      <c r="O60" s="338"/>
      <c r="P60" s="254"/>
      <c r="AO60" s="254"/>
      <c r="AP60" s="254"/>
      <c r="AQ60" s="254"/>
      <c r="AR60" s="254"/>
      <c r="AS60" s="254"/>
      <c r="AT60" s="254"/>
      <c r="AU60" s="254"/>
      <c r="AV60" s="254"/>
      <c r="AW60" s="11"/>
      <c r="AX60" s="11"/>
      <c r="AY60" s="11"/>
      <c r="AZ60" s="11"/>
      <c r="BA60" s="11"/>
      <c r="BB60" s="11"/>
      <c r="BC60" s="11"/>
      <c r="BD60" s="11"/>
      <c r="BE60" s="254"/>
      <c r="BF60" s="405"/>
      <c r="BG60" s="254"/>
      <c r="BH60" s="254"/>
      <c r="BI60" s="254"/>
      <c r="BJ60" s="254"/>
      <c r="BK60" s="254"/>
      <c r="BL60" s="254"/>
    </row>
    <row r="61" spans="1:64" s="11" customFormat="1" ht="12.6" customHeight="1">
      <c r="J61" s="252"/>
      <c r="AO61" s="254"/>
      <c r="AP61" s="405"/>
      <c r="AQ61" s="254"/>
      <c r="AR61" s="254"/>
      <c r="AS61" s="254"/>
      <c r="AT61" s="254"/>
      <c r="AU61" s="254"/>
      <c r="AV61" s="254"/>
      <c r="AW61" s="93"/>
      <c r="BE61" s="254"/>
      <c r="BF61" s="405"/>
      <c r="BG61" s="254"/>
      <c r="BH61" s="254"/>
      <c r="BI61" s="254"/>
      <c r="BJ61" s="254"/>
      <c r="BK61" s="254"/>
      <c r="BL61" s="254"/>
    </row>
    <row r="62" spans="1:64" s="11" customFormat="1" ht="12.6" customHeight="1">
      <c r="J62" s="252"/>
      <c r="AO62" s="254"/>
      <c r="AP62" s="405"/>
      <c r="AQ62" s="254"/>
      <c r="AR62" s="254"/>
      <c r="AS62" s="254"/>
      <c r="AT62" s="254"/>
      <c r="AU62" s="254"/>
      <c r="AV62" s="254"/>
      <c r="AW62" s="93"/>
      <c r="AX62" s="93"/>
      <c r="AY62" s="93"/>
      <c r="AZ62" s="93"/>
      <c r="BA62" s="93"/>
      <c r="BB62" s="93"/>
      <c r="BC62" s="93"/>
      <c r="BD62" s="93"/>
      <c r="BE62" s="254"/>
      <c r="BF62" s="405"/>
      <c r="BG62" s="254"/>
      <c r="BH62" s="254"/>
      <c r="BI62" s="254"/>
      <c r="BJ62" s="254"/>
      <c r="BK62" s="254"/>
      <c r="BL62" s="254"/>
    </row>
    <row r="63" spans="1:64" s="93" customFormat="1" ht="12.6" customHeight="1">
      <c r="J63" s="269"/>
      <c r="AO63" s="254"/>
      <c r="AP63" s="405"/>
      <c r="AQ63" s="254"/>
      <c r="AR63" s="254"/>
      <c r="AS63" s="254"/>
      <c r="AT63" s="254"/>
      <c r="AU63" s="254"/>
      <c r="AV63" s="254"/>
      <c r="AW63" s="254"/>
      <c r="BE63" s="254"/>
      <c r="BF63" s="405"/>
      <c r="BG63" s="254"/>
      <c r="BH63" s="254"/>
      <c r="BI63" s="254"/>
      <c r="BJ63" s="254"/>
      <c r="BK63" s="254"/>
      <c r="BL63" s="254"/>
    </row>
    <row r="64" spans="1:64" s="93" customFormat="1" ht="9.75" customHeight="1">
      <c r="I64" s="269"/>
      <c r="J64" s="402"/>
      <c r="K64" s="269"/>
      <c r="L64" s="269"/>
      <c r="M64" s="269"/>
      <c r="N64" s="269"/>
      <c r="O64" s="269"/>
      <c r="P64" s="269"/>
      <c r="AO64" s="254"/>
      <c r="AP64" s="405"/>
      <c r="AQ64" s="254"/>
      <c r="AR64" s="254"/>
      <c r="AS64" s="254"/>
      <c r="AT64" s="254"/>
      <c r="AU64" s="254"/>
      <c r="AV64" s="254"/>
      <c r="AW64" s="254"/>
      <c r="AX64" s="405"/>
      <c r="AY64" s="254"/>
      <c r="AZ64" s="254"/>
      <c r="BA64" s="254"/>
      <c r="BB64" s="254"/>
      <c r="BC64" s="254"/>
      <c r="BD64" s="254"/>
      <c r="BE64" s="252"/>
      <c r="BF64" s="252"/>
      <c r="BG64" s="252"/>
      <c r="BH64" s="252"/>
      <c r="BI64" s="252"/>
      <c r="BJ64" s="252"/>
      <c r="BK64" s="252"/>
      <c r="BL64" s="252"/>
    </row>
    <row r="65" spans="2:64" ht="12" customHeight="1">
      <c r="BE65" s="395"/>
      <c r="BF65" s="392"/>
      <c r="BG65" s="377"/>
      <c r="BH65" s="332"/>
      <c r="BI65" s="332"/>
      <c r="BJ65" s="332"/>
      <c r="BK65" s="389"/>
      <c r="BL65" s="363"/>
    </row>
    <row r="66" spans="2:64" ht="12" customHeight="1">
      <c r="BE66" s="395"/>
      <c r="BF66" s="392"/>
      <c r="BG66" s="377"/>
      <c r="BH66" s="336"/>
      <c r="BI66" s="39"/>
      <c r="BJ66" s="336"/>
      <c r="BK66" s="383"/>
      <c r="BL66" s="363"/>
    </row>
    <row r="67" spans="2:64" ht="12" customHeight="1">
      <c r="BE67" s="395"/>
      <c r="BF67" s="392"/>
      <c r="BG67" s="377"/>
      <c r="BH67" s="401"/>
      <c r="BI67" s="363"/>
      <c r="BJ67" s="401"/>
      <c r="BK67" s="383"/>
      <c r="BL67" s="363"/>
    </row>
    <row r="68" spans="2:64" ht="12" customHeight="1">
      <c r="BE68" s="395"/>
      <c r="BF68" s="392"/>
      <c r="BG68" s="377"/>
      <c r="BH68" s="401"/>
      <c r="BI68" s="20"/>
      <c r="BJ68" s="401"/>
      <c r="BK68" s="383"/>
      <c r="BL68" s="363"/>
    </row>
    <row r="69" spans="2:64" ht="12" customHeight="1">
      <c r="BE69" s="395"/>
      <c r="BF69" s="392"/>
      <c r="BG69" s="377"/>
      <c r="BH69" s="401"/>
      <c r="BI69" s="363"/>
      <c r="BJ69" s="401"/>
      <c r="BK69" s="383"/>
      <c r="BL69" s="363"/>
    </row>
    <row r="70" spans="2:64" s="254" customFormat="1" ht="12" customHeight="1">
      <c r="B70" s="404"/>
      <c r="G70" s="404"/>
      <c r="J70" s="403"/>
      <c r="O70" s="404"/>
      <c r="R70" s="403"/>
      <c r="W70" s="404"/>
      <c r="Z70" s="405"/>
      <c r="AH70" s="405"/>
      <c r="AP70" s="405"/>
      <c r="AX70" s="405"/>
      <c r="BE70" s="363"/>
      <c r="BF70" s="392"/>
      <c r="BG70" s="377"/>
      <c r="BH70" s="336"/>
      <c r="BI70" s="39"/>
      <c r="BJ70" s="336"/>
      <c r="BK70" s="383"/>
      <c r="BL70" s="363"/>
    </row>
    <row r="71" spans="2:64" s="254" customFormat="1" ht="12" customHeight="1">
      <c r="B71" s="404"/>
      <c r="G71" s="404"/>
      <c r="J71" s="403"/>
      <c r="O71" s="404"/>
      <c r="R71" s="403"/>
      <c r="W71" s="404"/>
      <c r="Z71" s="405"/>
      <c r="AH71" s="405"/>
      <c r="AP71" s="405"/>
      <c r="AX71" s="405"/>
      <c r="BE71" s="363"/>
      <c r="BF71" s="392"/>
      <c r="BG71" s="377"/>
      <c r="BH71" s="336"/>
      <c r="BI71" s="40"/>
      <c r="BJ71" s="336"/>
      <c r="BK71" s="383"/>
      <c r="BL71" s="363"/>
    </row>
    <row r="72" spans="2:64" s="254" customFormat="1" ht="12" customHeight="1">
      <c r="B72" s="404"/>
      <c r="G72" s="404"/>
      <c r="J72" s="403"/>
      <c r="O72" s="404"/>
      <c r="R72" s="403"/>
      <c r="W72" s="404"/>
      <c r="Z72" s="405"/>
      <c r="AH72" s="405"/>
      <c r="AP72" s="405"/>
      <c r="AX72" s="405"/>
      <c r="BE72" s="363"/>
      <c r="BF72" s="392"/>
      <c r="BG72" s="377"/>
      <c r="BH72" s="336"/>
      <c r="BI72" s="40"/>
      <c r="BJ72" s="336"/>
      <c r="BK72" s="383"/>
      <c r="BL72" s="363"/>
    </row>
    <row r="73" spans="2:64" s="254" customFormat="1" ht="12" customHeight="1">
      <c r="B73" s="404"/>
      <c r="G73" s="404"/>
      <c r="J73" s="403"/>
      <c r="O73" s="404"/>
      <c r="R73" s="403"/>
      <c r="W73" s="404"/>
      <c r="Z73" s="405"/>
      <c r="AH73" s="405"/>
      <c r="AP73" s="405"/>
      <c r="AX73" s="405"/>
      <c r="BE73" s="363"/>
      <c r="BF73" s="392"/>
      <c r="BG73" s="377"/>
      <c r="BH73" s="336"/>
      <c r="BI73" s="40"/>
      <c r="BJ73" s="336"/>
      <c r="BK73" s="383"/>
      <c r="BL73" s="363"/>
    </row>
    <row r="74" spans="2:64" s="254" customFormat="1" ht="12" customHeight="1">
      <c r="B74" s="404"/>
      <c r="G74" s="404"/>
      <c r="J74" s="403"/>
      <c r="O74" s="404"/>
      <c r="R74" s="403"/>
      <c r="W74" s="404"/>
      <c r="Z74" s="405"/>
      <c r="AH74" s="405"/>
      <c r="AP74" s="405"/>
      <c r="BE74" s="363"/>
      <c r="BF74" s="392"/>
      <c r="BG74" s="377"/>
      <c r="BH74" s="336"/>
      <c r="BI74" s="40"/>
      <c r="BJ74" s="336"/>
      <c r="BK74" s="383"/>
      <c r="BL74" s="363"/>
    </row>
    <row r="75" spans="2:64" s="254" customFormat="1" ht="12" customHeight="1">
      <c r="B75" s="404"/>
      <c r="G75" s="404"/>
      <c r="J75" s="403"/>
      <c r="O75" s="404"/>
      <c r="R75" s="403"/>
      <c r="W75" s="404"/>
      <c r="Z75" s="405"/>
      <c r="AH75" s="405"/>
      <c r="AX75" s="405"/>
      <c r="BE75" s="363"/>
      <c r="BF75" s="392"/>
      <c r="BG75" s="377"/>
      <c r="BH75" s="336"/>
      <c r="BI75" s="40"/>
      <c r="BJ75" s="336"/>
      <c r="BK75" s="383"/>
      <c r="BL75" s="363"/>
    </row>
    <row r="76" spans="2:64" s="254" customFormat="1" ht="12" customHeight="1">
      <c r="B76" s="404"/>
      <c r="G76" s="404"/>
      <c r="J76" s="403"/>
      <c r="O76" s="404"/>
      <c r="R76" s="403"/>
      <c r="W76" s="404"/>
      <c r="Z76" s="405"/>
      <c r="AH76" s="405"/>
      <c r="AP76" s="405"/>
      <c r="AX76" s="405"/>
      <c r="BF76" s="392"/>
      <c r="BG76" s="377"/>
      <c r="BH76" s="336"/>
      <c r="BI76" s="40"/>
      <c r="BJ76" s="336"/>
      <c r="BK76" s="383"/>
      <c r="BL76" s="363"/>
    </row>
    <row r="77" spans="2:64" s="254" customFormat="1" ht="12" customHeight="1">
      <c r="B77" s="404"/>
      <c r="G77" s="404"/>
      <c r="J77" s="403"/>
      <c r="O77" s="404"/>
      <c r="R77" s="403"/>
      <c r="W77" s="404"/>
      <c r="Z77" s="405"/>
      <c r="AH77" s="405"/>
      <c r="AP77" s="405"/>
      <c r="AX77" s="405"/>
      <c r="BF77" s="392"/>
      <c r="BG77" s="377"/>
      <c r="BH77" s="336"/>
      <c r="BI77" s="40"/>
      <c r="BJ77" s="336"/>
      <c r="BK77" s="383"/>
      <c r="BL77" s="363"/>
    </row>
    <row r="78" spans="2:64" s="254" customFormat="1" ht="12" customHeight="1">
      <c r="B78" s="404"/>
      <c r="G78" s="404"/>
      <c r="J78" s="403"/>
      <c r="O78" s="404"/>
      <c r="R78" s="403"/>
      <c r="W78" s="404"/>
      <c r="Z78" s="405"/>
      <c r="AH78" s="405"/>
      <c r="AP78" s="405"/>
      <c r="AW78" s="387"/>
      <c r="AX78" s="405"/>
      <c r="BF78" s="392"/>
      <c r="BG78" s="377"/>
      <c r="BH78" s="336"/>
      <c r="BI78" s="40"/>
      <c r="BJ78" s="336"/>
      <c r="BK78" s="383"/>
      <c r="BL78" s="363"/>
    </row>
    <row r="79" spans="2:64" ht="12" customHeight="1">
      <c r="AW79" s="387"/>
      <c r="AY79" s="387"/>
      <c r="AZ79" s="387"/>
      <c r="BA79" s="387"/>
      <c r="BB79" s="387"/>
      <c r="BC79" s="387"/>
      <c r="BD79" s="387"/>
      <c r="BF79" s="392"/>
      <c r="BG79" s="377"/>
      <c r="BH79" s="336"/>
      <c r="BI79" s="40"/>
      <c r="BJ79" s="336"/>
      <c r="BK79" s="383"/>
      <c r="BL79" s="363"/>
    </row>
    <row r="80" spans="2:64" s="143" customFormat="1" ht="12" customHeight="1">
      <c r="I80" s="387"/>
      <c r="J80" s="405"/>
      <c r="K80" s="387"/>
      <c r="L80" s="387"/>
      <c r="M80" s="387"/>
      <c r="N80" s="387"/>
      <c r="O80" s="387"/>
      <c r="P80" s="387"/>
      <c r="Q80" s="387"/>
      <c r="R80" s="405"/>
      <c r="S80" s="387"/>
      <c r="T80" s="387"/>
      <c r="U80" s="387"/>
      <c r="V80" s="387"/>
      <c r="W80" s="387"/>
      <c r="X80" s="387"/>
      <c r="AO80" s="387"/>
      <c r="AP80" s="405"/>
      <c r="AQ80" s="387"/>
      <c r="AR80" s="387"/>
      <c r="AS80" s="387"/>
      <c r="AT80" s="387"/>
      <c r="AU80" s="387"/>
      <c r="AV80" s="387"/>
      <c r="AW80" s="387"/>
      <c r="AX80" s="405"/>
      <c r="AY80" s="387"/>
      <c r="AZ80" s="387"/>
      <c r="BA80" s="387"/>
      <c r="BB80" s="387"/>
      <c r="BC80" s="387"/>
      <c r="BD80" s="387"/>
      <c r="BE80" s="254"/>
      <c r="BF80" s="405"/>
      <c r="BG80" s="254"/>
      <c r="BH80" s="254"/>
      <c r="BI80" s="254"/>
      <c r="BJ80" s="254"/>
      <c r="BK80" s="254"/>
      <c r="BL80" s="254"/>
    </row>
    <row r="81" spans="9:64" s="143" customFormat="1" ht="12" customHeight="1">
      <c r="I81" s="387"/>
      <c r="J81" s="405"/>
      <c r="K81" s="387"/>
      <c r="L81" s="387"/>
      <c r="M81" s="387"/>
      <c r="N81" s="387"/>
      <c r="O81" s="387"/>
      <c r="P81" s="387"/>
      <c r="Q81" s="387"/>
      <c r="R81" s="405"/>
      <c r="S81" s="387"/>
      <c r="T81" s="387"/>
      <c r="U81" s="387"/>
      <c r="V81" s="387"/>
      <c r="W81" s="387"/>
      <c r="X81" s="387"/>
      <c r="Y81" s="387"/>
      <c r="Z81" s="405"/>
      <c r="AA81" s="387"/>
      <c r="AB81" s="387"/>
      <c r="AC81" s="387"/>
      <c r="AD81" s="387"/>
      <c r="AE81" s="387"/>
      <c r="AF81" s="387"/>
      <c r="AO81" s="387"/>
      <c r="AP81" s="405"/>
      <c r="AQ81" s="387"/>
      <c r="AR81" s="387"/>
      <c r="AS81" s="387"/>
      <c r="AT81" s="387"/>
      <c r="AU81" s="387"/>
      <c r="AV81" s="387"/>
      <c r="AW81" s="387"/>
      <c r="AX81" s="405"/>
      <c r="AY81" s="387"/>
      <c r="AZ81" s="387"/>
      <c r="BA81" s="387"/>
      <c r="BB81" s="387"/>
      <c r="BC81" s="387"/>
      <c r="BD81" s="387"/>
      <c r="BE81" s="254"/>
      <c r="BF81" s="405"/>
      <c r="BG81" s="254"/>
      <c r="BH81" s="254"/>
      <c r="BI81" s="254"/>
      <c r="BJ81" s="254"/>
      <c r="BK81" s="254"/>
      <c r="BL81" s="254"/>
    </row>
    <row r="82" spans="9:64" s="143" customFormat="1" ht="12" customHeight="1">
      <c r="I82" s="387"/>
      <c r="J82" s="405"/>
      <c r="K82" s="387"/>
      <c r="L82" s="387"/>
      <c r="M82" s="387"/>
      <c r="N82" s="387"/>
      <c r="O82" s="387"/>
      <c r="P82" s="387"/>
      <c r="Q82" s="387"/>
      <c r="R82" s="405"/>
      <c r="S82" s="387"/>
      <c r="T82" s="387"/>
      <c r="U82" s="387"/>
      <c r="V82" s="387"/>
      <c r="W82" s="387"/>
      <c r="X82" s="387"/>
      <c r="Y82" s="387"/>
      <c r="Z82" s="405"/>
      <c r="AA82" s="387"/>
      <c r="AB82" s="387"/>
      <c r="AC82" s="387"/>
      <c r="AD82" s="387"/>
      <c r="AE82" s="387"/>
      <c r="AF82" s="387"/>
      <c r="AO82" s="387"/>
      <c r="AP82" s="405"/>
      <c r="AQ82" s="387"/>
      <c r="AR82" s="387"/>
      <c r="AS82" s="387"/>
      <c r="AT82" s="387"/>
      <c r="AU82" s="387"/>
      <c r="AV82" s="387"/>
      <c r="AW82" s="387"/>
      <c r="AX82" s="405"/>
      <c r="AY82" s="387"/>
      <c r="AZ82" s="387"/>
      <c r="BA82" s="387"/>
      <c r="BB82" s="387"/>
      <c r="BC82" s="387"/>
      <c r="BD82" s="387"/>
      <c r="BE82" s="254"/>
      <c r="BF82" s="405"/>
      <c r="BG82" s="254"/>
      <c r="BH82" s="254"/>
      <c r="BI82" s="254"/>
      <c r="BJ82" s="254"/>
      <c r="BK82" s="254"/>
      <c r="BL82" s="254"/>
    </row>
    <row r="83" spans="9:64" s="143" customFormat="1" ht="12" customHeight="1">
      <c r="I83" s="387"/>
      <c r="J83" s="405"/>
      <c r="K83" s="387"/>
      <c r="L83" s="387"/>
      <c r="M83" s="387"/>
      <c r="N83" s="387"/>
      <c r="O83" s="387"/>
      <c r="P83" s="387"/>
      <c r="Q83" s="387"/>
      <c r="R83" s="405"/>
      <c r="S83" s="387"/>
      <c r="T83" s="387"/>
      <c r="U83" s="387"/>
      <c r="V83" s="387"/>
      <c r="W83" s="387"/>
      <c r="X83" s="387"/>
      <c r="Y83" s="387"/>
      <c r="Z83" s="405"/>
      <c r="AA83" s="387"/>
      <c r="AB83" s="387"/>
      <c r="AC83" s="387"/>
      <c r="AD83" s="387"/>
      <c r="AE83" s="387"/>
      <c r="AF83" s="387"/>
      <c r="AG83" s="387"/>
      <c r="AH83" s="405"/>
      <c r="AI83" s="387"/>
      <c r="AJ83" s="387"/>
      <c r="AK83" s="387"/>
      <c r="AL83" s="387"/>
      <c r="AM83" s="387"/>
      <c r="AN83" s="387"/>
      <c r="AO83" s="363"/>
      <c r="AP83" s="405"/>
      <c r="AQ83" s="387"/>
      <c r="AR83" s="387"/>
      <c r="AS83" s="387"/>
      <c r="AT83" s="387"/>
      <c r="AU83" s="406"/>
      <c r="AV83" s="387"/>
      <c r="AW83" s="387"/>
      <c r="AX83" s="405"/>
      <c r="AY83" s="387"/>
      <c r="AZ83" s="387"/>
      <c r="BA83" s="387"/>
      <c r="BB83" s="387"/>
      <c r="BC83" s="387"/>
      <c r="BD83" s="387"/>
      <c r="BE83" s="254"/>
      <c r="BF83" s="405"/>
      <c r="BG83" s="254"/>
      <c r="BH83" s="254"/>
      <c r="BI83" s="254"/>
      <c r="BJ83" s="254"/>
      <c r="BK83" s="254"/>
      <c r="BL83" s="254"/>
    </row>
    <row r="84" spans="9:64" s="143" customFormat="1" ht="12" customHeight="1">
      <c r="I84" s="387"/>
      <c r="J84" s="405"/>
      <c r="K84" s="387"/>
      <c r="L84" s="387"/>
      <c r="M84" s="387"/>
      <c r="N84" s="387"/>
      <c r="O84" s="387"/>
      <c r="P84" s="387"/>
      <c r="Q84" s="387"/>
      <c r="R84" s="405"/>
      <c r="S84" s="387"/>
      <c r="T84" s="387"/>
      <c r="U84" s="387"/>
      <c r="V84" s="387"/>
      <c r="W84" s="387"/>
      <c r="X84" s="387"/>
      <c r="Y84" s="387"/>
      <c r="Z84" s="405"/>
      <c r="AA84" s="387"/>
      <c r="AB84" s="387"/>
      <c r="AC84" s="387"/>
      <c r="AD84" s="387"/>
      <c r="AE84" s="387"/>
      <c r="AF84" s="387"/>
      <c r="AO84" s="363"/>
      <c r="AP84" s="405"/>
      <c r="AQ84" s="387"/>
      <c r="AR84" s="387"/>
      <c r="AS84" s="387"/>
      <c r="AT84" s="387"/>
      <c r="AU84" s="406"/>
      <c r="AV84" s="387"/>
      <c r="AW84" s="387"/>
      <c r="AX84" s="405"/>
      <c r="AY84" s="387"/>
      <c r="AZ84" s="387"/>
      <c r="BA84" s="387"/>
      <c r="BB84" s="387"/>
      <c r="BC84" s="387"/>
      <c r="BD84" s="387"/>
      <c r="BE84" s="387"/>
      <c r="BF84" s="405"/>
      <c r="BG84" s="387"/>
      <c r="BH84" s="387"/>
      <c r="BI84" s="387"/>
      <c r="BJ84" s="387"/>
      <c r="BK84" s="387"/>
      <c r="BL84" s="387"/>
    </row>
    <row r="85" spans="9:64" s="143" customFormat="1" ht="12" customHeight="1">
      <c r="I85" s="387"/>
      <c r="J85" s="405"/>
      <c r="K85" s="387"/>
      <c r="L85" s="387"/>
      <c r="M85" s="387"/>
      <c r="N85" s="387"/>
      <c r="O85" s="387"/>
      <c r="P85" s="387"/>
      <c r="Q85" s="387"/>
      <c r="R85" s="405"/>
      <c r="S85" s="387"/>
      <c r="T85" s="387"/>
      <c r="U85" s="387"/>
      <c r="V85" s="387"/>
      <c r="W85" s="387"/>
      <c r="X85" s="387"/>
      <c r="Y85" s="387"/>
      <c r="Z85" s="405"/>
      <c r="AA85" s="387"/>
      <c r="AB85" s="387"/>
      <c r="AC85" s="387"/>
      <c r="AD85" s="387"/>
      <c r="AE85" s="387"/>
      <c r="AF85" s="387"/>
      <c r="AO85" s="363"/>
      <c r="AP85" s="405"/>
      <c r="AQ85" s="387"/>
      <c r="AR85" s="387"/>
      <c r="AS85" s="387"/>
      <c r="AT85" s="387"/>
      <c r="AU85" s="406"/>
      <c r="AV85" s="387"/>
      <c r="AW85" s="387"/>
      <c r="AX85" s="405"/>
      <c r="AY85" s="387"/>
      <c r="AZ85" s="387"/>
      <c r="BA85" s="387"/>
      <c r="BB85" s="387"/>
      <c r="BC85" s="387"/>
      <c r="BD85" s="387"/>
      <c r="BE85" s="387"/>
      <c r="BF85" s="405"/>
      <c r="BG85" s="387"/>
      <c r="BH85" s="387"/>
      <c r="BI85" s="387"/>
      <c r="BJ85" s="387"/>
      <c r="BK85" s="387"/>
      <c r="BL85" s="387"/>
    </row>
    <row r="86" spans="9:64" s="143" customFormat="1" ht="12" customHeight="1">
      <c r="I86" s="387"/>
      <c r="J86" s="405"/>
      <c r="K86" s="387"/>
      <c r="L86" s="387"/>
      <c r="M86" s="387"/>
      <c r="N86" s="387"/>
      <c r="O86" s="387"/>
      <c r="P86" s="387"/>
      <c r="Q86" s="387"/>
      <c r="R86" s="405"/>
      <c r="S86" s="387"/>
      <c r="T86" s="387"/>
      <c r="U86" s="387"/>
      <c r="V86" s="387"/>
      <c r="W86" s="387"/>
      <c r="X86" s="387"/>
      <c r="Y86" s="387"/>
      <c r="Z86" s="405"/>
      <c r="AA86" s="387"/>
      <c r="AB86" s="387"/>
      <c r="AC86" s="387"/>
      <c r="AD86" s="387"/>
      <c r="AE86" s="387"/>
      <c r="AF86" s="387"/>
      <c r="AO86" s="387"/>
      <c r="AP86" s="405"/>
      <c r="AQ86" s="387"/>
      <c r="AR86" s="387"/>
      <c r="AS86" s="387"/>
      <c r="AT86" s="387"/>
      <c r="AU86" s="387"/>
      <c r="AV86" s="387"/>
      <c r="AW86" s="387"/>
      <c r="AX86" s="405"/>
      <c r="AY86" s="387"/>
      <c r="AZ86" s="387"/>
      <c r="BA86" s="387"/>
      <c r="BB86" s="387"/>
      <c r="BC86" s="387"/>
      <c r="BD86" s="387"/>
      <c r="BE86" s="387"/>
      <c r="BF86" s="405"/>
      <c r="BG86" s="387"/>
      <c r="BH86" s="387"/>
      <c r="BI86" s="387"/>
      <c r="BJ86" s="387"/>
      <c r="BK86" s="387"/>
      <c r="BL86" s="387"/>
    </row>
    <row r="87" spans="9:64" s="143" customFormat="1" ht="12" customHeight="1">
      <c r="I87" s="387"/>
      <c r="J87" s="405"/>
      <c r="K87" s="387"/>
      <c r="L87" s="387"/>
      <c r="M87" s="387"/>
      <c r="N87" s="387"/>
      <c r="O87" s="387"/>
      <c r="P87" s="387"/>
      <c r="Q87" s="387"/>
      <c r="R87" s="405"/>
      <c r="S87" s="387"/>
      <c r="T87" s="387"/>
      <c r="U87" s="387"/>
      <c r="V87" s="387"/>
      <c r="W87" s="387"/>
      <c r="X87" s="387"/>
      <c r="Y87" s="387"/>
      <c r="Z87" s="405"/>
      <c r="AA87" s="387"/>
      <c r="AB87" s="387"/>
      <c r="AC87" s="387"/>
      <c r="AD87" s="387"/>
      <c r="AE87" s="387"/>
      <c r="AF87" s="387"/>
      <c r="AO87" s="387"/>
      <c r="AP87" s="405"/>
      <c r="AQ87" s="387"/>
      <c r="AR87" s="387"/>
      <c r="AS87" s="387"/>
      <c r="AT87" s="387"/>
      <c r="AU87" s="387"/>
      <c r="AV87" s="387"/>
      <c r="AW87" s="387"/>
      <c r="AX87" s="405"/>
      <c r="AY87" s="387"/>
      <c r="AZ87" s="387"/>
      <c r="BA87" s="387"/>
      <c r="BB87" s="387"/>
      <c r="BC87" s="387"/>
      <c r="BD87" s="387"/>
      <c r="BE87" s="363"/>
      <c r="BF87" s="405"/>
      <c r="BG87" s="387"/>
      <c r="BH87" s="387"/>
      <c r="BI87" s="387"/>
      <c r="BJ87" s="387"/>
      <c r="BK87" s="406"/>
      <c r="BL87" s="387"/>
    </row>
    <row r="88" spans="9:64" s="143" customFormat="1" ht="12" customHeight="1">
      <c r="I88" s="387"/>
      <c r="J88" s="405"/>
      <c r="K88" s="387"/>
      <c r="L88" s="387"/>
      <c r="M88" s="387"/>
      <c r="N88" s="387"/>
      <c r="O88" s="387"/>
      <c r="P88" s="387"/>
      <c r="Q88" s="387"/>
      <c r="R88" s="405"/>
      <c r="S88" s="387"/>
      <c r="T88" s="387"/>
      <c r="U88" s="387"/>
      <c r="V88" s="387"/>
      <c r="W88" s="387"/>
      <c r="X88" s="387"/>
      <c r="Y88" s="387"/>
      <c r="Z88" s="405"/>
      <c r="AA88" s="387"/>
      <c r="AB88" s="387"/>
      <c r="AC88" s="387"/>
      <c r="AD88" s="387"/>
      <c r="AE88" s="387"/>
      <c r="AF88" s="387"/>
      <c r="AO88" s="387"/>
      <c r="AP88" s="405"/>
      <c r="AQ88" s="387"/>
      <c r="AR88" s="387"/>
      <c r="AS88" s="387"/>
      <c r="AT88" s="387"/>
      <c r="AU88" s="387"/>
      <c r="AV88" s="387"/>
      <c r="AW88" s="387"/>
      <c r="AX88" s="405"/>
      <c r="AY88" s="387"/>
      <c r="AZ88" s="387"/>
      <c r="BA88" s="387"/>
      <c r="BB88" s="387"/>
      <c r="BC88" s="387"/>
      <c r="BD88" s="387"/>
      <c r="BE88" s="363"/>
      <c r="BF88" s="405"/>
      <c r="BG88" s="387"/>
      <c r="BH88" s="387"/>
      <c r="BI88" s="387"/>
      <c r="BJ88" s="387"/>
      <c r="BK88" s="406"/>
      <c r="BL88" s="387"/>
    </row>
    <row r="89" spans="9:64" s="143" customFormat="1" ht="12" customHeight="1">
      <c r="I89" s="387"/>
      <c r="J89" s="405"/>
      <c r="K89" s="387"/>
      <c r="L89" s="387"/>
      <c r="M89" s="387"/>
      <c r="N89" s="387"/>
      <c r="O89" s="387"/>
      <c r="P89" s="387"/>
      <c r="Q89" s="387"/>
      <c r="R89" s="405"/>
      <c r="S89" s="387"/>
      <c r="T89" s="387"/>
      <c r="U89" s="387"/>
      <c r="V89" s="387"/>
      <c r="W89" s="387"/>
      <c r="X89" s="387"/>
      <c r="Y89" s="387"/>
      <c r="Z89" s="405"/>
      <c r="AA89" s="387"/>
      <c r="AB89" s="387"/>
      <c r="AC89" s="387"/>
      <c r="AD89" s="387"/>
      <c r="AE89" s="387"/>
      <c r="AF89" s="387"/>
      <c r="AO89" s="387"/>
      <c r="AP89" s="405"/>
      <c r="AQ89" s="387"/>
      <c r="AR89" s="387"/>
      <c r="AS89" s="387"/>
      <c r="AT89" s="387"/>
      <c r="AU89" s="387"/>
      <c r="AV89" s="387"/>
      <c r="AW89" s="387"/>
      <c r="AX89" s="405"/>
      <c r="AY89" s="387"/>
      <c r="AZ89" s="387"/>
      <c r="BA89" s="387"/>
      <c r="BB89" s="387"/>
      <c r="BC89" s="387"/>
      <c r="BD89" s="387"/>
      <c r="BE89" s="363"/>
      <c r="BF89" s="405"/>
      <c r="BG89" s="387"/>
      <c r="BH89" s="387"/>
      <c r="BI89" s="387"/>
      <c r="BJ89" s="387"/>
      <c r="BK89" s="406"/>
      <c r="BL89" s="387"/>
    </row>
    <row r="90" spans="9:64" s="143" customFormat="1" ht="12" customHeight="1">
      <c r="I90" s="387"/>
      <c r="J90" s="405"/>
      <c r="K90" s="387"/>
      <c r="L90" s="387"/>
      <c r="M90" s="387"/>
      <c r="N90" s="387"/>
      <c r="O90" s="387"/>
      <c r="P90" s="387"/>
      <c r="Q90" s="387"/>
      <c r="R90" s="405"/>
      <c r="S90" s="387"/>
      <c r="T90" s="387"/>
      <c r="U90" s="387"/>
      <c r="V90" s="387"/>
      <c r="W90" s="387"/>
      <c r="X90" s="387"/>
      <c r="Y90" s="387"/>
      <c r="Z90" s="405"/>
      <c r="AA90" s="387"/>
      <c r="AB90" s="387"/>
      <c r="AC90" s="387"/>
      <c r="AD90" s="387"/>
      <c r="AE90" s="387"/>
      <c r="AF90" s="387"/>
      <c r="AO90" s="387"/>
      <c r="AP90" s="405"/>
      <c r="AQ90" s="387"/>
      <c r="AR90" s="387"/>
      <c r="AS90" s="387"/>
      <c r="AT90" s="387"/>
      <c r="AU90" s="387"/>
      <c r="AV90" s="387"/>
      <c r="AW90" s="387"/>
      <c r="AX90" s="405"/>
      <c r="AY90" s="387"/>
      <c r="AZ90" s="387"/>
      <c r="BA90" s="387"/>
      <c r="BB90" s="387"/>
      <c r="BC90" s="387"/>
      <c r="BD90" s="387"/>
      <c r="BE90" s="387"/>
      <c r="BF90" s="405"/>
      <c r="BG90" s="387"/>
      <c r="BH90" s="387"/>
      <c r="BI90" s="387"/>
      <c r="BJ90" s="387"/>
      <c r="BK90" s="387"/>
      <c r="BL90" s="387"/>
    </row>
    <row r="91" spans="9:64" s="143" customFormat="1" ht="12" customHeight="1">
      <c r="I91" s="387"/>
      <c r="J91" s="405"/>
      <c r="K91" s="387"/>
      <c r="L91" s="387"/>
      <c r="M91" s="387"/>
      <c r="N91" s="387"/>
      <c r="O91" s="387"/>
      <c r="P91" s="387"/>
      <c r="Q91" s="387"/>
      <c r="R91" s="405"/>
      <c r="S91" s="387"/>
      <c r="T91" s="387"/>
      <c r="U91" s="387"/>
      <c r="V91" s="387"/>
      <c r="W91" s="387"/>
      <c r="X91" s="387"/>
      <c r="Y91" s="387"/>
      <c r="Z91" s="405"/>
      <c r="AA91" s="387"/>
      <c r="AB91" s="387"/>
      <c r="AC91" s="387"/>
      <c r="AD91" s="387"/>
      <c r="AE91" s="387"/>
      <c r="AF91" s="387"/>
      <c r="AO91" s="387"/>
      <c r="AP91" s="405"/>
      <c r="AQ91" s="387"/>
      <c r="AR91" s="387"/>
      <c r="AS91" s="387"/>
      <c r="AT91" s="387"/>
      <c r="AU91" s="387"/>
      <c r="AV91" s="387"/>
      <c r="AW91" s="387"/>
      <c r="AX91" s="405"/>
      <c r="AY91" s="387"/>
      <c r="AZ91" s="387"/>
      <c r="BA91" s="387"/>
      <c r="BB91" s="387"/>
      <c r="BC91" s="387"/>
      <c r="BD91" s="387"/>
      <c r="BE91" s="387"/>
      <c r="BF91" s="405"/>
      <c r="BG91" s="387"/>
      <c r="BH91" s="387"/>
      <c r="BI91" s="387"/>
      <c r="BJ91" s="387"/>
      <c r="BK91" s="387"/>
      <c r="BL91" s="387"/>
    </row>
    <row r="92" spans="9:64" s="143" customFormat="1" ht="12" customHeight="1">
      <c r="I92" s="387"/>
      <c r="J92" s="405"/>
      <c r="K92" s="387"/>
      <c r="L92" s="387"/>
      <c r="M92" s="387"/>
      <c r="N92" s="387"/>
      <c r="O92" s="387"/>
      <c r="P92" s="387"/>
      <c r="Q92" s="387"/>
      <c r="R92" s="405"/>
      <c r="S92" s="387"/>
      <c r="T92" s="387"/>
      <c r="U92" s="387"/>
      <c r="V92" s="387"/>
      <c r="W92" s="387"/>
      <c r="X92" s="387"/>
      <c r="Y92" s="387"/>
      <c r="Z92" s="405"/>
      <c r="AA92" s="387"/>
      <c r="AB92" s="387"/>
      <c r="AC92" s="387"/>
      <c r="AD92" s="387"/>
      <c r="AE92" s="387"/>
      <c r="AF92" s="387"/>
      <c r="AG92" s="387"/>
      <c r="AH92" s="405"/>
      <c r="AI92" s="387"/>
      <c r="AJ92" s="387"/>
      <c r="AK92" s="387"/>
      <c r="AL92" s="387"/>
      <c r="AM92" s="387"/>
      <c r="AN92" s="387"/>
      <c r="AO92" s="387"/>
      <c r="AP92" s="405"/>
      <c r="AQ92" s="387"/>
      <c r="AR92" s="387"/>
      <c r="AS92" s="387"/>
      <c r="AT92" s="387"/>
      <c r="AU92" s="387"/>
      <c r="AV92" s="387"/>
      <c r="AW92" s="387"/>
      <c r="AX92" s="405"/>
      <c r="AY92" s="387"/>
      <c r="AZ92" s="387"/>
      <c r="BA92" s="387"/>
      <c r="BB92" s="387"/>
      <c r="BC92" s="387"/>
      <c r="BD92" s="387"/>
      <c r="BE92" s="387"/>
      <c r="BF92" s="405"/>
      <c r="BG92" s="387"/>
      <c r="BH92" s="387"/>
      <c r="BI92" s="387"/>
      <c r="BJ92" s="387"/>
      <c r="BK92" s="387"/>
      <c r="BL92" s="387"/>
    </row>
    <row r="93" spans="9:64" s="143" customFormat="1" ht="12" customHeight="1">
      <c r="I93" s="387"/>
      <c r="J93" s="405"/>
      <c r="K93" s="387"/>
      <c r="L93" s="387"/>
      <c r="M93" s="387"/>
      <c r="N93" s="387"/>
      <c r="O93" s="387"/>
      <c r="P93" s="387"/>
      <c r="Q93" s="387"/>
      <c r="R93" s="405"/>
      <c r="S93" s="387"/>
      <c r="T93" s="387"/>
      <c r="U93" s="387"/>
      <c r="V93" s="387"/>
      <c r="W93" s="387"/>
      <c r="X93" s="387"/>
      <c r="Y93" s="387"/>
      <c r="Z93" s="405"/>
      <c r="AA93" s="387"/>
      <c r="AB93" s="387"/>
      <c r="AC93" s="387"/>
      <c r="AD93" s="387"/>
      <c r="AE93" s="387"/>
      <c r="AF93" s="387"/>
      <c r="AG93" s="387"/>
      <c r="AH93" s="405"/>
      <c r="AI93" s="387"/>
      <c r="AJ93" s="387"/>
      <c r="AK93" s="387"/>
      <c r="AL93" s="387"/>
      <c r="AM93" s="387"/>
      <c r="AN93" s="387"/>
      <c r="AO93" s="387"/>
      <c r="AP93" s="405"/>
      <c r="AQ93" s="387"/>
      <c r="AR93" s="387"/>
      <c r="AS93" s="387"/>
      <c r="AT93" s="387"/>
      <c r="AU93" s="387"/>
      <c r="AV93" s="387"/>
      <c r="AW93" s="387"/>
      <c r="AX93" s="405"/>
      <c r="AY93" s="387"/>
      <c r="AZ93" s="387"/>
      <c r="BA93" s="387"/>
      <c r="BB93" s="387"/>
      <c r="BC93" s="387"/>
      <c r="BD93" s="387"/>
      <c r="BE93" s="387"/>
      <c r="BF93" s="405"/>
      <c r="BG93" s="387"/>
      <c r="BH93" s="387"/>
      <c r="BI93" s="387"/>
      <c r="BJ93" s="387"/>
      <c r="BK93" s="387"/>
      <c r="BL93" s="387"/>
    </row>
    <row r="94" spans="9:64" s="143" customFormat="1" ht="12" customHeight="1">
      <c r="I94" s="387"/>
      <c r="J94" s="405"/>
      <c r="K94" s="387"/>
      <c r="L94" s="387"/>
      <c r="M94" s="387"/>
      <c r="N94" s="387"/>
      <c r="O94" s="387"/>
      <c r="P94" s="387"/>
      <c r="Q94" s="387"/>
      <c r="R94" s="405"/>
      <c r="S94" s="387"/>
      <c r="T94" s="387"/>
      <c r="U94" s="387"/>
      <c r="V94" s="387"/>
      <c r="W94" s="387"/>
      <c r="X94" s="387"/>
      <c r="Y94" s="387"/>
      <c r="Z94" s="405"/>
      <c r="AA94" s="387"/>
      <c r="AB94" s="387"/>
      <c r="AC94" s="387"/>
      <c r="AD94" s="387"/>
      <c r="AE94" s="387"/>
      <c r="AF94" s="387"/>
      <c r="AG94" s="387"/>
      <c r="AH94" s="405"/>
      <c r="AI94" s="387"/>
      <c r="AJ94" s="387"/>
      <c r="AK94" s="387"/>
      <c r="AL94" s="387"/>
      <c r="AM94" s="387"/>
      <c r="AN94" s="387"/>
      <c r="AO94" s="387"/>
      <c r="AP94" s="405"/>
      <c r="AQ94" s="387"/>
      <c r="AR94" s="387"/>
      <c r="AS94" s="387"/>
      <c r="AT94" s="387"/>
      <c r="AU94" s="387"/>
      <c r="AV94" s="387"/>
      <c r="AW94" s="387"/>
      <c r="AX94" s="405"/>
      <c r="AY94" s="387"/>
      <c r="AZ94" s="387"/>
      <c r="BA94" s="387"/>
      <c r="BB94" s="387"/>
      <c r="BC94" s="387"/>
      <c r="BD94" s="387"/>
      <c r="BE94" s="387"/>
      <c r="BF94" s="405"/>
      <c r="BG94" s="387"/>
      <c r="BH94" s="387"/>
      <c r="BI94" s="387"/>
      <c r="BJ94" s="387"/>
      <c r="BK94" s="387"/>
      <c r="BL94" s="387"/>
    </row>
    <row r="95" spans="9:64" s="143" customFormat="1" ht="12" customHeight="1">
      <c r="I95" s="387"/>
      <c r="J95" s="405"/>
      <c r="K95" s="387"/>
      <c r="L95" s="387"/>
      <c r="M95" s="387"/>
      <c r="N95" s="387"/>
      <c r="O95" s="387"/>
      <c r="P95" s="387"/>
      <c r="Q95" s="387"/>
      <c r="R95" s="405"/>
      <c r="S95" s="387"/>
      <c r="T95" s="387"/>
      <c r="U95" s="387"/>
      <c r="V95" s="387"/>
      <c r="W95" s="387"/>
      <c r="X95" s="387"/>
      <c r="Y95" s="387"/>
      <c r="Z95" s="405"/>
      <c r="AA95" s="387"/>
      <c r="AB95" s="387"/>
      <c r="AC95" s="387"/>
      <c r="AD95" s="387"/>
      <c r="AE95" s="387"/>
      <c r="AF95" s="387"/>
      <c r="AG95" s="387"/>
      <c r="AH95" s="405"/>
      <c r="AI95" s="387"/>
      <c r="AJ95" s="387"/>
      <c r="AK95" s="387"/>
      <c r="AL95" s="387"/>
      <c r="AM95" s="387"/>
      <c r="AN95" s="387"/>
      <c r="AO95" s="387"/>
      <c r="AP95" s="405"/>
      <c r="AQ95" s="387"/>
      <c r="AR95" s="387"/>
      <c r="AS95" s="387"/>
      <c r="AT95" s="387"/>
      <c r="AU95" s="387"/>
      <c r="AV95" s="387"/>
      <c r="AW95" s="387"/>
      <c r="AX95" s="405"/>
      <c r="AY95" s="387"/>
      <c r="AZ95" s="387"/>
      <c r="BA95" s="387"/>
      <c r="BB95" s="387"/>
      <c r="BC95" s="387"/>
      <c r="BD95" s="387"/>
      <c r="BE95" s="387"/>
      <c r="BF95" s="405"/>
      <c r="BG95" s="387"/>
      <c r="BH95" s="387"/>
      <c r="BI95" s="387"/>
      <c r="BJ95" s="387"/>
      <c r="BK95" s="387"/>
      <c r="BL95" s="387"/>
    </row>
    <row r="96" spans="9:64" s="143" customFormat="1" ht="12" customHeight="1">
      <c r="I96" s="387"/>
      <c r="J96" s="405"/>
      <c r="K96" s="387"/>
      <c r="L96" s="387"/>
      <c r="M96" s="387"/>
      <c r="N96" s="387"/>
      <c r="O96" s="387"/>
      <c r="P96" s="387"/>
      <c r="Q96" s="387"/>
      <c r="R96" s="405"/>
      <c r="S96" s="387"/>
      <c r="T96" s="387"/>
      <c r="U96" s="387"/>
      <c r="V96" s="387"/>
      <c r="W96" s="387"/>
      <c r="X96" s="387"/>
      <c r="Y96" s="387"/>
      <c r="Z96" s="405"/>
      <c r="AA96" s="387"/>
      <c r="AB96" s="387"/>
      <c r="AC96" s="387"/>
      <c r="AD96" s="387"/>
      <c r="AE96" s="387"/>
      <c r="AF96" s="387"/>
      <c r="AG96" s="387"/>
      <c r="AH96" s="405"/>
      <c r="AI96" s="387"/>
      <c r="AJ96" s="387"/>
      <c r="AK96" s="387"/>
      <c r="AL96" s="387"/>
      <c r="AM96" s="387"/>
      <c r="AN96" s="387"/>
      <c r="AO96" s="387"/>
      <c r="AP96" s="405"/>
      <c r="AQ96" s="387"/>
      <c r="AR96" s="387"/>
      <c r="AS96" s="387"/>
      <c r="AT96" s="387"/>
      <c r="AU96" s="387"/>
      <c r="AV96" s="387"/>
      <c r="AW96" s="387"/>
      <c r="AX96" s="405"/>
      <c r="AY96" s="387"/>
      <c r="AZ96" s="387"/>
      <c r="BA96" s="387"/>
      <c r="BB96" s="387"/>
      <c r="BC96" s="387"/>
      <c r="BD96" s="387"/>
      <c r="BE96" s="387"/>
      <c r="BF96" s="405"/>
      <c r="BG96" s="387"/>
      <c r="BH96" s="387"/>
      <c r="BI96" s="387"/>
      <c r="BJ96" s="387"/>
      <c r="BK96" s="387"/>
      <c r="BL96" s="387"/>
    </row>
    <row r="97" spans="9:64" s="143" customFormat="1" ht="12" customHeight="1">
      <c r="I97" s="387"/>
      <c r="J97" s="405"/>
      <c r="K97" s="387"/>
      <c r="L97" s="387"/>
      <c r="M97" s="387"/>
      <c r="N97" s="387"/>
      <c r="O97" s="387"/>
      <c r="P97" s="387"/>
      <c r="Q97" s="387"/>
      <c r="R97" s="405"/>
      <c r="S97" s="387"/>
      <c r="T97" s="387"/>
      <c r="U97" s="387"/>
      <c r="V97" s="387"/>
      <c r="W97" s="387"/>
      <c r="X97" s="387"/>
      <c r="Y97" s="387"/>
      <c r="Z97" s="405"/>
      <c r="AA97" s="387"/>
      <c r="AB97" s="387"/>
      <c r="AC97" s="387"/>
      <c r="AD97" s="387"/>
      <c r="AE97" s="387"/>
      <c r="AF97" s="387"/>
      <c r="AG97" s="387"/>
      <c r="AH97" s="405"/>
      <c r="AI97" s="387"/>
      <c r="AJ97" s="387"/>
      <c r="AK97" s="387"/>
      <c r="AL97" s="387"/>
      <c r="AM97" s="387"/>
      <c r="AN97" s="387"/>
      <c r="AO97" s="387"/>
      <c r="AP97" s="405"/>
      <c r="AQ97" s="387"/>
      <c r="AR97" s="387"/>
      <c r="AS97" s="387"/>
      <c r="AT97" s="387"/>
      <c r="AU97" s="387"/>
      <c r="AV97" s="387"/>
      <c r="AW97" s="387"/>
      <c r="AX97" s="405"/>
      <c r="AY97" s="387"/>
      <c r="AZ97" s="387"/>
      <c r="BA97" s="387"/>
      <c r="BB97" s="387"/>
      <c r="BC97" s="387"/>
      <c r="BD97" s="387"/>
      <c r="BE97" s="387"/>
      <c r="BF97" s="405"/>
      <c r="BG97" s="387"/>
      <c r="BH97" s="387"/>
      <c r="BI97" s="387"/>
      <c r="BJ97" s="387"/>
      <c r="BK97" s="387"/>
      <c r="BL97" s="387"/>
    </row>
    <row r="98" spans="9:64" s="143" customFormat="1" ht="12" customHeight="1">
      <c r="I98" s="387"/>
      <c r="J98" s="405"/>
      <c r="K98" s="387"/>
      <c r="L98" s="387"/>
      <c r="M98" s="387"/>
      <c r="N98" s="387"/>
      <c r="O98" s="387"/>
      <c r="P98" s="387"/>
      <c r="Q98" s="387"/>
      <c r="R98" s="405"/>
      <c r="S98" s="387"/>
      <c r="T98" s="387"/>
      <c r="U98" s="387"/>
      <c r="V98" s="387"/>
      <c r="W98" s="387"/>
      <c r="X98" s="387"/>
      <c r="Y98" s="387"/>
      <c r="Z98" s="405"/>
      <c r="AA98" s="387"/>
      <c r="AB98" s="387"/>
      <c r="AC98" s="387"/>
      <c r="AD98" s="387"/>
      <c r="AE98" s="387"/>
      <c r="AF98" s="387"/>
      <c r="AG98" s="387"/>
      <c r="AH98" s="405"/>
      <c r="AI98" s="387"/>
      <c r="AJ98" s="387"/>
      <c r="AK98" s="387"/>
      <c r="AL98" s="387"/>
      <c r="AM98" s="387"/>
      <c r="AN98" s="387"/>
      <c r="AO98" s="387"/>
      <c r="AP98" s="405"/>
      <c r="AQ98" s="387"/>
      <c r="AR98" s="387"/>
      <c r="AS98" s="387"/>
      <c r="AT98" s="387"/>
      <c r="AU98" s="387"/>
      <c r="AV98" s="387"/>
      <c r="AW98" s="387"/>
      <c r="AX98" s="405"/>
      <c r="AY98" s="387"/>
      <c r="AZ98" s="387"/>
      <c r="BA98" s="387"/>
      <c r="BB98" s="387"/>
      <c r="BC98" s="387"/>
      <c r="BD98" s="387"/>
      <c r="BE98" s="387"/>
      <c r="BF98" s="405"/>
      <c r="BG98" s="387"/>
      <c r="BH98" s="387"/>
      <c r="BI98" s="387"/>
      <c r="BJ98" s="387"/>
      <c r="BK98" s="387"/>
      <c r="BL98" s="387"/>
    </row>
    <row r="99" spans="9:64" s="143" customFormat="1" ht="12" customHeight="1">
      <c r="I99" s="387"/>
      <c r="J99" s="405"/>
      <c r="K99" s="387"/>
      <c r="L99" s="387"/>
      <c r="M99" s="387"/>
      <c r="N99" s="387"/>
      <c r="O99" s="387"/>
      <c r="P99" s="387"/>
      <c r="Q99" s="387"/>
      <c r="R99" s="405"/>
      <c r="S99" s="387"/>
      <c r="T99" s="387"/>
      <c r="U99" s="387"/>
      <c r="V99" s="387"/>
      <c r="W99" s="387"/>
      <c r="X99" s="387"/>
      <c r="Y99" s="387"/>
      <c r="Z99" s="405"/>
      <c r="AA99" s="387"/>
      <c r="AB99" s="387"/>
      <c r="AC99" s="387"/>
      <c r="AD99" s="387"/>
      <c r="AE99" s="387"/>
      <c r="AF99" s="387"/>
      <c r="AG99" s="387"/>
      <c r="AH99" s="405"/>
      <c r="AI99" s="387"/>
      <c r="AJ99" s="387"/>
      <c r="AK99" s="387"/>
      <c r="AL99" s="387"/>
      <c r="AM99" s="387"/>
      <c r="AN99" s="387"/>
      <c r="AO99" s="387"/>
      <c r="AP99" s="405"/>
      <c r="AQ99" s="387"/>
      <c r="AR99" s="387"/>
      <c r="AS99" s="387"/>
      <c r="AT99" s="387"/>
      <c r="AU99" s="387"/>
      <c r="AV99" s="387"/>
      <c r="AW99" s="387"/>
      <c r="AX99" s="405"/>
      <c r="AY99" s="387"/>
      <c r="AZ99" s="387"/>
      <c r="BA99" s="387"/>
      <c r="BB99" s="387"/>
      <c r="BC99" s="387"/>
      <c r="BD99" s="387"/>
      <c r="BE99" s="387"/>
      <c r="BF99" s="405"/>
      <c r="BG99" s="387"/>
      <c r="BH99" s="387"/>
      <c r="BI99" s="387"/>
      <c r="BJ99" s="387"/>
      <c r="BK99" s="387"/>
      <c r="BL99" s="387"/>
    </row>
    <row r="100" spans="9:64" s="143" customFormat="1" ht="12" customHeight="1">
      <c r="I100" s="387"/>
      <c r="J100" s="405"/>
      <c r="K100" s="387"/>
      <c r="L100" s="387"/>
      <c r="M100" s="387"/>
      <c r="N100" s="387"/>
      <c r="O100" s="387"/>
      <c r="P100" s="387"/>
      <c r="Q100" s="387"/>
      <c r="R100" s="405"/>
      <c r="S100" s="387"/>
      <c r="T100" s="387"/>
      <c r="U100" s="387"/>
      <c r="V100" s="387"/>
      <c r="W100" s="387"/>
      <c r="X100" s="387"/>
      <c r="Y100" s="387"/>
      <c r="Z100" s="405"/>
      <c r="AA100" s="387"/>
      <c r="AB100" s="387"/>
      <c r="AC100" s="387"/>
      <c r="AD100" s="387"/>
      <c r="AE100" s="387"/>
      <c r="AF100" s="387"/>
      <c r="AG100" s="387"/>
      <c r="AH100" s="405"/>
      <c r="AI100" s="387"/>
      <c r="AJ100" s="387"/>
      <c r="AK100" s="387"/>
      <c r="AL100" s="387"/>
      <c r="AM100" s="387"/>
      <c r="AN100" s="387"/>
      <c r="AO100" s="387"/>
      <c r="AP100" s="405"/>
      <c r="AQ100" s="387"/>
      <c r="AR100" s="387"/>
      <c r="AS100" s="387"/>
      <c r="AT100" s="387"/>
      <c r="AU100" s="387"/>
      <c r="AV100" s="387"/>
      <c r="AW100" s="387"/>
      <c r="AX100" s="405"/>
      <c r="AY100" s="387"/>
      <c r="AZ100" s="387"/>
      <c r="BA100" s="387"/>
      <c r="BB100" s="387"/>
      <c r="BC100" s="387"/>
      <c r="BD100" s="387"/>
      <c r="BE100" s="387"/>
      <c r="BF100" s="405"/>
      <c r="BG100" s="387"/>
      <c r="BH100" s="387"/>
      <c r="BI100" s="387"/>
      <c r="BJ100" s="387"/>
      <c r="BK100" s="387"/>
      <c r="BL100" s="387"/>
    </row>
    <row r="101" spans="9:64" s="143" customFormat="1" ht="12" customHeight="1">
      <c r="I101" s="387"/>
      <c r="J101" s="405"/>
      <c r="K101" s="387"/>
      <c r="L101" s="387"/>
      <c r="M101" s="387"/>
      <c r="N101" s="387"/>
      <c r="O101" s="387"/>
      <c r="P101" s="387"/>
      <c r="Q101" s="387"/>
      <c r="R101" s="405"/>
      <c r="S101" s="387"/>
      <c r="T101" s="387"/>
      <c r="U101" s="387"/>
      <c r="V101" s="387"/>
      <c r="W101" s="387"/>
      <c r="X101" s="387"/>
      <c r="Y101" s="387"/>
      <c r="Z101" s="405"/>
      <c r="AA101" s="387"/>
      <c r="AB101" s="387"/>
      <c r="AC101" s="387"/>
      <c r="AD101" s="387"/>
      <c r="AE101" s="387"/>
      <c r="AF101" s="387"/>
      <c r="AG101" s="387"/>
      <c r="AH101" s="405"/>
      <c r="AI101" s="387"/>
      <c r="AJ101" s="387"/>
      <c r="AK101" s="387"/>
      <c r="AL101" s="387"/>
      <c r="AM101" s="387"/>
      <c r="AN101" s="387"/>
      <c r="AO101" s="387"/>
      <c r="AP101" s="405"/>
      <c r="AQ101" s="387"/>
      <c r="AR101" s="387"/>
      <c r="AS101" s="387"/>
      <c r="AT101" s="387"/>
      <c r="AU101" s="387"/>
      <c r="AV101" s="387"/>
      <c r="AW101" s="387"/>
      <c r="AX101" s="405"/>
      <c r="AY101" s="387"/>
      <c r="AZ101" s="387"/>
      <c r="BA101" s="387"/>
      <c r="BB101" s="387"/>
      <c r="BC101" s="387"/>
      <c r="BD101" s="387"/>
      <c r="BE101" s="387"/>
      <c r="BF101" s="405"/>
      <c r="BG101" s="387"/>
      <c r="BH101" s="387"/>
      <c r="BI101" s="387"/>
      <c r="BJ101" s="387"/>
      <c r="BK101" s="387"/>
      <c r="BL101" s="387"/>
    </row>
    <row r="102" spans="9:64" s="143" customFormat="1" ht="12" customHeight="1">
      <c r="I102" s="387"/>
      <c r="J102" s="405"/>
      <c r="K102" s="387"/>
      <c r="L102" s="387"/>
      <c r="M102" s="387"/>
      <c r="N102" s="387"/>
      <c r="O102" s="387"/>
      <c r="P102" s="387"/>
      <c r="Q102" s="387"/>
      <c r="R102" s="405"/>
      <c r="S102" s="387"/>
      <c r="T102" s="387"/>
      <c r="U102" s="387"/>
      <c r="V102" s="387"/>
      <c r="W102" s="387"/>
      <c r="X102" s="387"/>
      <c r="Y102" s="387"/>
      <c r="Z102" s="405"/>
      <c r="AA102" s="387"/>
      <c r="AB102" s="387"/>
      <c r="AC102" s="387"/>
      <c r="AD102" s="387"/>
      <c r="AE102" s="387"/>
      <c r="AF102" s="387"/>
      <c r="AG102" s="387"/>
      <c r="AH102" s="405"/>
      <c r="AI102" s="387"/>
      <c r="AJ102" s="387"/>
      <c r="AK102" s="387"/>
      <c r="AL102" s="387"/>
      <c r="AM102" s="387"/>
      <c r="AN102" s="387"/>
      <c r="AO102" s="387"/>
      <c r="AP102" s="405"/>
      <c r="AQ102" s="387"/>
      <c r="AR102" s="387"/>
      <c r="AS102" s="387"/>
      <c r="AT102" s="387"/>
      <c r="AU102" s="387"/>
      <c r="AV102" s="387"/>
      <c r="AW102" s="387"/>
      <c r="AX102" s="405"/>
      <c r="AY102" s="387"/>
      <c r="AZ102" s="387"/>
      <c r="BA102" s="387"/>
      <c r="BB102" s="387"/>
      <c r="BC102" s="387"/>
      <c r="BD102" s="387"/>
      <c r="BE102" s="387"/>
      <c r="BF102" s="405"/>
      <c r="BG102" s="387"/>
      <c r="BH102" s="387"/>
      <c r="BI102" s="387"/>
      <c r="BJ102" s="387"/>
      <c r="BK102" s="387"/>
      <c r="BL102" s="387"/>
    </row>
    <row r="103" spans="9:64" s="143" customFormat="1" ht="12" customHeight="1">
      <c r="I103" s="387"/>
      <c r="J103" s="405"/>
      <c r="K103" s="387"/>
      <c r="L103" s="387"/>
      <c r="M103" s="387"/>
      <c r="N103" s="387"/>
      <c r="O103" s="387"/>
      <c r="P103" s="387"/>
      <c r="Q103" s="387"/>
      <c r="R103" s="405"/>
      <c r="S103" s="387"/>
      <c r="T103" s="387"/>
      <c r="U103" s="387"/>
      <c r="V103" s="387"/>
      <c r="W103" s="387"/>
      <c r="X103" s="387"/>
      <c r="Y103" s="387"/>
      <c r="Z103" s="405"/>
      <c r="AA103" s="387"/>
      <c r="AB103" s="387"/>
      <c r="AC103" s="387"/>
      <c r="AD103" s="387"/>
      <c r="AE103" s="387"/>
      <c r="AF103" s="387"/>
      <c r="AG103" s="387"/>
      <c r="AH103" s="405"/>
      <c r="AI103" s="387"/>
      <c r="AJ103" s="387"/>
      <c r="AK103" s="387"/>
      <c r="AL103" s="387"/>
      <c r="AM103" s="387"/>
      <c r="AN103" s="387"/>
      <c r="AO103" s="387"/>
      <c r="AP103" s="405"/>
      <c r="AQ103" s="387"/>
      <c r="AR103" s="387"/>
      <c r="AS103" s="387"/>
      <c r="AT103" s="387"/>
      <c r="AU103" s="387"/>
      <c r="AV103" s="387"/>
      <c r="AW103" s="387"/>
      <c r="AX103" s="405"/>
      <c r="AY103" s="387"/>
      <c r="AZ103" s="387"/>
      <c r="BA103" s="387"/>
      <c r="BB103" s="387"/>
      <c r="BC103" s="387"/>
      <c r="BD103" s="387"/>
      <c r="BE103" s="387"/>
      <c r="BF103" s="405"/>
      <c r="BG103" s="387"/>
      <c r="BH103" s="387"/>
      <c r="BI103" s="387"/>
      <c r="BJ103" s="387"/>
      <c r="BK103" s="387"/>
      <c r="BL103" s="387"/>
    </row>
    <row r="104" spans="9:64" s="143" customFormat="1" ht="12" customHeight="1">
      <c r="I104" s="387"/>
      <c r="J104" s="405"/>
      <c r="K104" s="387"/>
      <c r="L104" s="387"/>
      <c r="M104" s="387"/>
      <c r="N104" s="387"/>
      <c r="O104" s="387"/>
      <c r="P104" s="387"/>
      <c r="Q104" s="387"/>
      <c r="R104" s="405"/>
      <c r="S104" s="387"/>
      <c r="T104" s="387"/>
      <c r="U104" s="387"/>
      <c r="V104" s="387"/>
      <c r="W104" s="387"/>
      <c r="X104" s="387"/>
      <c r="Y104" s="387"/>
      <c r="Z104" s="405"/>
      <c r="AA104" s="387"/>
      <c r="AB104" s="387"/>
      <c r="AC104" s="387"/>
      <c r="AD104" s="387"/>
      <c r="AE104" s="387"/>
      <c r="AF104" s="387"/>
      <c r="AG104" s="387"/>
      <c r="AH104" s="405"/>
      <c r="AI104" s="387"/>
      <c r="AJ104" s="387"/>
      <c r="AK104" s="387"/>
      <c r="AL104" s="387"/>
      <c r="AM104" s="387"/>
      <c r="AN104" s="387"/>
      <c r="AO104" s="387"/>
      <c r="AP104" s="405"/>
      <c r="AQ104" s="387"/>
      <c r="AR104" s="387"/>
      <c r="AS104" s="387"/>
      <c r="AT104" s="387"/>
      <c r="AU104" s="387"/>
      <c r="AV104" s="387"/>
      <c r="AW104" s="387"/>
      <c r="AX104" s="405"/>
      <c r="AY104" s="387"/>
      <c r="AZ104" s="387"/>
      <c r="BA104" s="387"/>
      <c r="BB104" s="387"/>
      <c r="BC104" s="387"/>
      <c r="BD104" s="387"/>
      <c r="BE104" s="387"/>
      <c r="BF104" s="405"/>
      <c r="BG104" s="387"/>
      <c r="BH104" s="387"/>
      <c r="BI104" s="387"/>
      <c r="BJ104" s="387"/>
      <c r="BK104" s="387"/>
      <c r="BL104" s="387"/>
    </row>
    <row r="105" spans="9:64" s="143" customFormat="1" ht="12" customHeight="1">
      <c r="I105" s="387"/>
      <c r="J105" s="405"/>
      <c r="K105" s="387"/>
      <c r="L105" s="387"/>
      <c r="M105" s="387"/>
      <c r="N105" s="387"/>
      <c r="O105" s="387"/>
      <c r="P105" s="387"/>
      <c r="Q105" s="387"/>
      <c r="R105" s="405"/>
      <c r="S105" s="387"/>
      <c r="T105" s="387"/>
      <c r="U105" s="387"/>
      <c r="V105" s="387"/>
      <c r="W105" s="387"/>
      <c r="X105" s="387"/>
      <c r="Y105" s="387"/>
      <c r="Z105" s="405"/>
      <c r="AA105" s="387"/>
      <c r="AB105" s="387"/>
      <c r="AC105" s="387"/>
      <c r="AD105" s="387"/>
      <c r="AE105" s="387"/>
      <c r="AF105" s="387"/>
      <c r="AG105" s="387"/>
      <c r="AH105" s="405"/>
      <c r="AI105" s="387"/>
      <c r="AJ105" s="387"/>
      <c r="AK105" s="387"/>
      <c r="AL105" s="387"/>
      <c r="AM105" s="387"/>
      <c r="AN105" s="387"/>
      <c r="AO105" s="387"/>
      <c r="AP105" s="405"/>
      <c r="AQ105" s="387"/>
      <c r="AR105" s="387"/>
      <c r="AS105" s="387"/>
      <c r="AT105" s="387"/>
      <c r="AU105" s="387"/>
      <c r="AV105" s="387"/>
      <c r="AW105" s="387"/>
      <c r="AX105" s="405"/>
      <c r="AY105" s="387"/>
      <c r="AZ105" s="387"/>
      <c r="BA105" s="387"/>
      <c r="BB105" s="387"/>
      <c r="BC105" s="387"/>
      <c r="BD105" s="387"/>
      <c r="BE105" s="387"/>
      <c r="BF105" s="405"/>
      <c r="BG105" s="387"/>
      <c r="BH105" s="387"/>
      <c r="BI105" s="387"/>
      <c r="BJ105" s="387"/>
      <c r="BK105" s="387"/>
      <c r="BL105" s="387"/>
    </row>
    <row r="106" spans="9:64" s="143" customFormat="1" ht="12" customHeight="1">
      <c r="I106" s="387"/>
      <c r="J106" s="405"/>
      <c r="K106" s="387"/>
      <c r="L106" s="387"/>
      <c r="M106" s="387"/>
      <c r="N106" s="387"/>
      <c r="O106" s="387"/>
      <c r="P106" s="387"/>
      <c r="Q106" s="387"/>
      <c r="R106" s="405"/>
      <c r="S106" s="387"/>
      <c r="T106" s="387"/>
      <c r="U106" s="387"/>
      <c r="V106" s="387"/>
      <c r="W106" s="387"/>
      <c r="X106" s="387"/>
      <c r="Y106" s="387"/>
      <c r="Z106" s="405"/>
      <c r="AA106" s="387"/>
      <c r="AB106" s="387"/>
      <c r="AC106" s="387"/>
      <c r="AD106" s="387"/>
      <c r="AE106" s="387"/>
      <c r="AF106" s="387"/>
      <c r="AG106" s="387"/>
      <c r="AH106" s="405"/>
      <c r="AI106" s="387"/>
      <c r="AJ106" s="387"/>
      <c r="AK106" s="387"/>
      <c r="AL106" s="387"/>
      <c r="AM106" s="387"/>
      <c r="AN106" s="387"/>
      <c r="AO106" s="387"/>
      <c r="AP106" s="405"/>
      <c r="AQ106" s="387"/>
      <c r="AR106" s="387"/>
      <c r="AS106" s="387"/>
      <c r="AT106" s="387"/>
      <c r="AU106" s="387"/>
      <c r="AV106" s="387"/>
      <c r="AW106" s="387"/>
      <c r="AX106" s="405"/>
      <c r="AY106" s="387"/>
      <c r="AZ106" s="387"/>
      <c r="BA106" s="387"/>
      <c r="BB106" s="387"/>
      <c r="BC106" s="387"/>
      <c r="BD106" s="387"/>
      <c r="BE106" s="387"/>
      <c r="BF106" s="405"/>
      <c r="BG106" s="387"/>
      <c r="BH106" s="387"/>
      <c r="BI106" s="387"/>
      <c r="BJ106" s="387"/>
      <c r="BK106" s="387"/>
      <c r="BL106" s="387"/>
    </row>
    <row r="107" spans="9:64" s="143" customFormat="1" ht="12" customHeight="1">
      <c r="I107" s="387"/>
      <c r="J107" s="405"/>
      <c r="K107" s="387"/>
      <c r="L107" s="387"/>
      <c r="M107" s="387"/>
      <c r="N107" s="387"/>
      <c r="O107" s="387"/>
      <c r="P107" s="387"/>
      <c r="Q107" s="387"/>
      <c r="R107" s="405"/>
      <c r="S107" s="387"/>
      <c r="T107" s="387"/>
      <c r="U107" s="387"/>
      <c r="V107" s="387"/>
      <c r="W107" s="387"/>
      <c r="X107" s="387"/>
      <c r="Y107" s="387"/>
      <c r="Z107" s="405"/>
      <c r="AA107" s="387"/>
      <c r="AB107" s="387"/>
      <c r="AC107" s="387"/>
      <c r="AD107" s="387"/>
      <c r="AE107" s="387"/>
      <c r="AF107" s="387"/>
      <c r="AG107" s="387"/>
      <c r="AH107" s="405"/>
      <c r="AI107" s="387"/>
      <c r="AJ107" s="387"/>
      <c r="AK107" s="387"/>
      <c r="AL107" s="387"/>
      <c r="AM107" s="387"/>
      <c r="AN107" s="387"/>
      <c r="AO107" s="387"/>
      <c r="AP107" s="405"/>
      <c r="AQ107" s="387"/>
      <c r="AR107" s="387"/>
      <c r="AS107" s="387"/>
      <c r="AT107" s="387"/>
      <c r="AU107" s="387"/>
      <c r="AV107" s="387"/>
      <c r="AW107" s="387"/>
      <c r="AX107" s="405"/>
      <c r="AY107" s="387"/>
      <c r="AZ107" s="387"/>
      <c r="BA107" s="387"/>
      <c r="BB107" s="387"/>
      <c r="BC107" s="387"/>
      <c r="BD107" s="387"/>
      <c r="BE107" s="387"/>
      <c r="BF107" s="405"/>
      <c r="BG107" s="387"/>
      <c r="BH107" s="387"/>
      <c r="BI107" s="387"/>
      <c r="BJ107" s="387"/>
      <c r="BK107" s="387"/>
      <c r="BL107" s="387"/>
    </row>
    <row r="108" spans="9:64" s="143" customFormat="1" ht="12" customHeight="1">
      <c r="I108" s="387"/>
      <c r="J108" s="405"/>
      <c r="K108" s="387"/>
      <c r="L108" s="387"/>
      <c r="M108" s="387"/>
      <c r="N108" s="387"/>
      <c r="O108" s="387"/>
      <c r="P108" s="387"/>
      <c r="Q108" s="387"/>
      <c r="R108" s="405"/>
      <c r="S108" s="387"/>
      <c r="T108" s="387"/>
      <c r="U108" s="387"/>
      <c r="V108" s="387"/>
      <c r="W108" s="387"/>
      <c r="X108" s="387"/>
      <c r="Y108" s="387"/>
      <c r="Z108" s="405"/>
      <c r="AA108" s="387"/>
      <c r="AB108" s="387"/>
      <c r="AC108" s="387"/>
      <c r="AD108" s="387"/>
      <c r="AE108" s="387"/>
      <c r="AF108" s="387"/>
      <c r="AG108" s="387"/>
      <c r="AH108" s="405"/>
      <c r="AI108" s="387"/>
      <c r="AJ108" s="387"/>
      <c r="AK108" s="387"/>
      <c r="AL108" s="387"/>
      <c r="AM108" s="387"/>
      <c r="AN108" s="387"/>
      <c r="AO108" s="387"/>
      <c r="AP108" s="405"/>
      <c r="AQ108" s="387"/>
      <c r="AR108" s="387"/>
      <c r="AS108" s="387"/>
      <c r="AT108" s="387"/>
      <c r="AU108" s="387"/>
      <c r="AV108" s="387"/>
      <c r="AW108" s="387"/>
      <c r="AX108" s="405"/>
      <c r="AY108" s="387"/>
      <c r="AZ108" s="387"/>
      <c r="BA108" s="387"/>
      <c r="BB108" s="387"/>
      <c r="BC108" s="387"/>
      <c r="BD108" s="387"/>
      <c r="BE108" s="387"/>
      <c r="BF108" s="405"/>
      <c r="BG108" s="387"/>
      <c r="BH108" s="387"/>
      <c r="BI108" s="387"/>
      <c r="BJ108" s="387"/>
      <c r="BK108" s="387"/>
      <c r="BL108" s="387"/>
    </row>
    <row r="109" spans="9:64" s="143" customFormat="1" ht="12" customHeight="1">
      <c r="I109" s="387"/>
      <c r="J109" s="405"/>
      <c r="K109" s="387"/>
      <c r="L109" s="387"/>
      <c r="M109" s="387"/>
      <c r="N109" s="387"/>
      <c r="O109" s="387"/>
      <c r="P109" s="387"/>
      <c r="Q109" s="387"/>
      <c r="R109" s="405"/>
      <c r="S109" s="387"/>
      <c r="T109" s="387"/>
      <c r="U109" s="387"/>
      <c r="V109" s="387"/>
      <c r="W109" s="387"/>
      <c r="X109" s="387"/>
      <c r="Y109" s="387"/>
      <c r="Z109" s="405"/>
      <c r="AA109" s="387"/>
      <c r="AB109" s="387"/>
      <c r="AC109" s="387"/>
      <c r="AD109" s="387"/>
      <c r="AE109" s="387"/>
      <c r="AF109" s="387"/>
      <c r="AG109" s="387"/>
      <c r="AH109" s="405"/>
      <c r="AI109" s="387"/>
      <c r="AJ109" s="387"/>
      <c r="AK109" s="387"/>
      <c r="AL109" s="387"/>
      <c r="AM109" s="387"/>
      <c r="AN109" s="387"/>
      <c r="AO109" s="387"/>
      <c r="AP109" s="405"/>
      <c r="AQ109" s="387"/>
      <c r="AR109" s="387"/>
      <c r="AS109" s="387"/>
      <c r="AT109" s="387"/>
      <c r="AU109" s="387"/>
      <c r="AV109" s="387"/>
      <c r="AW109" s="387"/>
      <c r="AX109" s="405"/>
      <c r="AY109" s="387"/>
      <c r="AZ109" s="387"/>
      <c r="BA109" s="387"/>
      <c r="BB109" s="387"/>
      <c r="BC109" s="387"/>
      <c r="BD109" s="387"/>
      <c r="BE109" s="387"/>
      <c r="BF109" s="405"/>
      <c r="BG109" s="387"/>
      <c r="BH109" s="387"/>
      <c r="BI109" s="387"/>
      <c r="BJ109" s="387"/>
      <c r="BK109" s="387"/>
      <c r="BL109" s="387"/>
    </row>
    <row r="110" spans="9:64" s="143" customFormat="1" ht="12" customHeight="1">
      <c r="I110" s="387"/>
      <c r="J110" s="405"/>
      <c r="K110" s="387"/>
      <c r="L110" s="387"/>
      <c r="M110" s="387"/>
      <c r="N110" s="387"/>
      <c r="O110" s="387"/>
      <c r="P110" s="387"/>
      <c r="Q110" s="387"/>
      <c r="R110" s="405"/>
      <c r="S110" s="387"/>
      <c r="T110" s="387"/>
      <c r="U110" s="387"/>
      <c r="V110" s="387"/>
      <c r="W110" s="387"/>
      <c r="X110" s="387"/>
      <c r="Y110" s="387"/>
      <c r="Z110" s="405"/>
      <c r="AA110" s="387"/>
      <c r="AB110" s="387"/>
      <c r="AC110" s="387"/>
      <c r="AD110" s="387"/>
      <c r="AE110" s="387"/>
      <c r="AF110" s="387"/>
      <c r="AG110" s="387"/>
      <c r="AH110" s="405"/>
      <c r="AI110" s="387"/>
      <c r="AJ110" s="387"/>
      <c r="AK110" s="387"/>
      <c r="AL110" s="387"/>
      <c r="AM110" s="387"/>
      <c r="AN110" s="387"/>
      <c r="AO110" s="387"/>
      <c r="AP110" s="405"/>
      <c r="AQ110" s="387"/>
      <c r="AR110" s="387"/>
      <c r="AS110" s="387"/>
      <c r="AT110" s="387"/>
      <c r="AU110" s="387"/>
      <c r="AV110" s="387"/>
      <c r="AW110" s="387"/>
      <c r="AX110" s="405"/>
      <c r="AY110" s="387"/>
      <c r="AZ110" s="387"/>
      <c r="BA110" s="387"/>
      <c r="BB110" s="387"/>
      <c r="BC110" s="387"/>
      <c r="BD110" s="387"/>
      <c r="BE110" s="387"/>
      <c r="BF110" s="405"/>
      <c r="BG110" s="387"/>
      <c r="BH110" s="387"/>
      <c r="BI110" s="387"/>
      <c r="BJ110" s="387"/>
      <c r="BK110" s="387"/>
      <c r="BL110" s="387"/>
    </row>
    <row r="111" spans="9:64" s="143" customFormat="1" ht="12" customHeight="1">
      <c r="I111" s="387"/>
      <c r="J111" s="405"/>
      <c r="K111" s="387"/>
      <c r="L111" s="387"/>
      <c r="M111" s="387"/>
      <c r="N111" s="387"/>
      <c r="O111" s="387"/>
      <c r="P111" s="387"/>
      <c r="Q111" s="387"/>
      <c r="R111" s="405"/>
      <c r="S111" s="387"/>
      <c r="T111" s="387"/>
      <c r="U111" s="387"/>
      <c r="V111" s="387"/>
      <c r="W111" s="387"/>
      <c r="X111" s="387"/>
      <c r="Y111" s="387"/>
      <c r="Z111" s="405"/>
      <c r="AA111" s="387"/>
      <c r="AB111" s="387"/>
      <c r="AC111" s="387"/>
      <c r="AD111" s="387"/>
      <c r="AE111" s="387"/>
      <c r="AF111" s="387"/>
      <c r="AG111" s="387"/>
      <c r="AH111" s="405"/>
      <c r="AI111" s="387"/>
      <c r="AJ111" s="387"/>
      <c r="AK111" s="387"/>
      <c r="AL111" s="387"/>
      <c r="AM111" s="387"/>
      <c r="AN111" s="387"/>
      <c r="AO111" s="387"/>
      <c r="AP111" s="405"/>
      <c r="AQ111" s="387"/>
      <c r="AR111" s="387"/>
      <c r="AS111" s="387"/>
      <c r="AT111" s="387"/>
      <c r="AU111" s="387"/>
      <c r="AV111" s="387"/>
      <c r="AW111" s="387"/>
      <c r="AX111" s="405"/>
      <c r="AY111" s="387"/>
      <c r="AZ111" s="387"/>
      <c r="BA111" s="387"/>
      <c r="BB111" s="387"/>
      <c r="BC111" s="387"/>
      <c r="BD111" s="387"/>
      <c r="BE111" s="387"/>
      <c r="BF111" s="405"/>
      <c r="BG111" s="387"/>
      <c r="BH111" s="387"/>
      <c r="BI111" s="387"/>
      <c r="BJ111" s="387"/>
      <c r="BK111" s="387"/>
      <c r="BL111" s="387"/>
    </row>
    <row r="112" spans="9:64" s="143" customFormat="1" ht="12" customHeight="1">
      <c r="I112" s="387"/>
      <c r="J112" s="405"/>
      <c r="K112" s="387"/>
      <c r="L112" s="387"/>
      <c r="M112" s="387"/>
      <c r="N112" s="387"/>
      <c r="O112" s="387"/>
      <c r="P112" s="387"/>
      <c r="Q112" s="387"/>
      <c r="R112" s="405"/>
      <c r="S112" s="387"/>
      <c r="T112" s="387"/>
      <c r="U112" s="387"/>
      <c r="V112" s="387"/>
      <c r="W112" s="387"/>
      <c r="X112" s="387"/>
      <c r="Y112" s="387"/>
      <c r="Z112" s="405"/>
      <c r="AA112" s="387"/>
      <c r="AB112" s="387"/>
      <c r="AC112" s="387"/>
      <c r="AD112" s="387"/>
      <c r="AE112" s="387"/>
      <c r="AF112" s="387"/>
      <c r="AG112" s="387"/>
      <c r="AH112" s="405"/>
      <c r="AI112" s="387"/>
      <c r="AJ112" s="387"/>
      <c r="AK112" s="387"/>
      <c r="AL112" s="387"/>
      <c r="AM112" s="387"/>
      <c r="AN112" s="387"/>
      <c r="AO112" s="387"/>
      <c r="AP112" s="405"/>
      <c r="AQ112" s="387"/>
      <c r="AR112" s="387"/>
      <c r="AS112" s="387"/>
      <c r="AT112" s="387"/>
      <c r="AU112" s="387"/>
      <c r="AV112" s="387"/>
      <c r="AW112" s="387"/>
      <c r="AX112" s="405"/>
      <c r="AY112" s="387"/>
      <c r="AZ112" s="387"/>
      <c r="BA112" s="387"/>
      <c r="BB112" s="387"/>
      <c r="BC112" s="387"/>
      <c r="BD112" s="387"/>
      <c r="BE112" s="387"/>
      <c r="BF112" s="405"/>
      <c r="BG112" s="387"/>
      <c r="BH112" s="387"/>
      <c r="BI112" s="387"/>
      <c r="BJ112" s="387"/>
      <c r="BK112" s="387"/>
      <c r="BL112" s="387"/>
    </row>
    <row r="113" spans="2:64" s="143" customFormat="1" ht="12" customHeight="1">
      <c r="I113" s="387"/>
      <c r="J113" s="405"/>
      <c r="K113" s="387"/>
      <c r="L113" s="387"/>
      <c r="M113" s="387"/>
      <c r="N113" s="387"/>
      <c r="O113" s="387"/>
      <c r="P113" s="387"/>
      <c r="Q113" s="387"/>
      <c r="R113" s="405"/>
      <c r="S113" s="387"/>
      <c r="T113" s="387"/>
      <c r="U113" s="387"/>
      <c r="V113" s="387"/>
      <c r="W113" s="387"/>
      <c r="X113" s="387"/>
      <c r="Y113" s="387"/>
      <c r="Z113" s="405"/>
      <c r="AA113" s="387"/>
      <c r="AB113" s="387"/>
      <c r="AC113" s="387"/>
      <c r="AD113" s="387"/>
      <c r="AE113" s="387"/>
      <c r="AF113" s="387"/>
      <c r="AG113" s="387"/>
      <c r="AH113" s="405"/>
      <c r="AI113" s="387"/>
      <c r="AJ113" s="387"/>
      <c r="AK113" s="387"/>
      <c r="AL113" s="387"/>
      <c r="AM113" s="387"/>
      <c r="AN113" s="387"/>
      <c r="AO113" s="387"/>
      <c r="AP113" s="405"/>
      <c r="AQ113" s="387"/>
      <c r="AR113" s="387"/>
      <c r="AS113" s="387"/>
      <c r="AT113" s="387"/>
      <c r="AU113" s="387"/>
      <c r="AV113" s="387"/>
      <c r="AW113" s="387"/>
      <c r="AX113" s="405"/>
      <c r="AY113" s="387"/>
      <c r="AZ113" s="387"/>
      <c r="BA113" s="387"/>
      <c r="BB113" s="387"/>
      <c r="BC113" s="387"/>
      <c r="BD113" s="387"/>
      <c r="BE113" s="387"/>
      <c r="BF113" s="405"/>
      <c r="BG113" s="387"/>
      <c r="BH113" s="387"/>
      <c r="BI113" s="387"/>
      <c r="BJ113" s="387"/>
      <c r="BK113" s="387"/>
      <c r="BL113" s="387"/>
    </row>
    <row r="114" spans="2:64" s="143" customFormat="1" ht="12" customHeight="1">
      <c r="E114" s="10"/>
      <c r="F114" s="10"/>
      <c r="G114" s="52"/>
      <c r="H114" s="10"/>
      <c r="I114" s="387"/>
      <c r="J114" s="405"/>
      <c r="K114" s="387"/>
      <c r="L114" s="387"/>
      <c r="M114" s="387"/>
      <c r="N114" s="387"/>
      <c r="O114" s="387"/>
      <c r="P114" s="387"/>
      <c r="Q114" s="387"/>
      <c r="R114" s="405"/>
      <c r="S114" s="387"/>
      <c r="T114" s="387"/>
      <c r="U114" s="387"/>
      <c r="V114" s="387"/>
      <c r="W114" s="387"/>
      <c r="X114" s="387"/>
      <c r="Y114" s="387"/>
      <c r="Z114" s="405"/>
      <c r="AA114" s="387"/>
      <c r="AB114" s="387"/>
      <c r="AC114" s="387"/>
      <c r="AD114" s="387"/>
      <c r="AE114" s="387"/>
      <c r="AF114" s="387"/>
      <c r="AG114" s="387"/>
      <c r="AH114" s="405"/>
      <c r="AI114" s="387"/>
      <c r="AJ114" s="387"/>
      <c r="AK114" s="387"/>
      <c r="AL114" s="387"/>
      <c r="AM114" s="387"/>
      <c r="AN114" s="387"/>
      <c r="AO114" s="387"/>
      <c r="AP114" s="405"/>
      <c r="AQ114" s="387"/>
      <c r="AR114" s="387"/>
      <c r="AS114" s="387"/>
      <c r="AT114" s="387"/>
      <c r="AU114" s="387"/>
      <c r="AV114" s="387"/>
      <c r="AW114" s="254"/>
      <c r="AX114" s="403"/>
      <c r="AY114" s="387"/>
      <c r="AZ114" s="387"/>
      <c r="BA114" s="387"/>
      <c r="BB114" s="387"/>
      <c r="BC114" s="406"/>
      <c r="BD114" s="387"/>
      <c r="BE114" s="387"/>
      <c r="BF114" s="405"/>
      <c r="BG114" s="387"/>
      <c r="BH114" s="387"/>
      <c r="BI114" s="387"/>
      <c r="BJ114" s="387"/>
      <c r="BK114" s="387"/>
      <c r="BL114" s="387"/>
    </row>
    <row r="115" spans="2:64" s="143" customFormat="1" ht="12" customHeight="1">
      <c r="B115" s="305"/>
      <c r="G115" s="305"/>
      <c r="I115" s="387"/>
      <c r="J115" s="405"/>
      <c r="K115" s="387"/>
      <c r="L115" s="387"/>
      <c r="M115" s="387"/>
      <c r="N115" s="387"/>
      <c r="O115" s="387"/>
      <c r="P115" s="387"/>
      <c r="Q115" s="387"/>
      <c r="R115" s="405"/>
      <c r="S115" s="387"/>
      <c r="T115" s="387"/>
      <c r="U115" s="387"/>
      <c r="V115" s="387"/>
      <c r="W115" s="387"/>
      <c r="X115" s="387"/>
      <c r="Y115" s="387"/>
      <c r="Z115" s="405"/>
      <c r="AA115" s="387"/>
      <c r="AB115" s="387"/>
      <c r="AC115" s="387"/>
      <c r="AD115" s="387"/>
      <c r="AE115" s="387"/>
      <c r="AF115" s="387"/>
      <c r="AG115" s="387"/>
      <c r="AH115" s="403"/>
      <c r="AI115" s="387"/>
      <c r="AJ115" s="387"/>
      <c r="AK115" s="387"/>
      <c r="AL115" s="387"/>
      <c r="AM115" s="406"/>
      <c r="AN115" s="387"/>
      <c r="AO115" s="387"/>
      <c r="AP115" s="405"/>
      <c r="AQ115" s="387"/>
      <c r="AR115" s="387"/>
      <c r="AS115" s="387"/>
      <c r="AT115" s="387"/>
      <c r="AU115" s="387"/>
      <c r="AV115" s="387"/>
      <c r="AW115" s="407"/>
      <c r="AX115" s="405"/>
      <c r="AY115" s="254"/>
      <c r="AZ115" s="254"/>
      <c r="BA115" s="254"/>
      <c r="BB115" s="254"/>
      <c r="BC115" s="254"/>
      <c r="BD115" s="254"/>
      <c r="BE115" s="387"/>
      <c r="BF115" s="405"/>
      <c r="BG115" s="387"/>
      <c r="BH115" s="387"/>
      <c r="BI115" s="387"/>
      <c r="BJ115" s="387"/>
      <c r="BK115" s="387"/>
      <c r="BL115" s="387"/>
    </row>
    <row r="116" spans="2:64" ht="12" customHeight="1">
      <c r="AW116" s="407"/>
      <c r="AX116" s="408"/>
      <c r="AY116" s="407"/>
      <c r="AZ116" s="407"/>
      <c r="BA116" s="407"/>
      <c r="BB116" s="407"/>
      <c r="BC116" s="407"/>
      <c r="BD116" s="407"/>
      <c r="BE116" s="387"/>
      <c r="BG116" s="387"/>
      <c r="BH116" s="387"/>
      <c r="BI116" s="387"/>
      <c r="BJ116" s="387"/>
      <c r="BK116" s="387"/>
      <c r="BL116" s="387"/>
    </row>
    <row r="117" spans="2:64" s="303" customFormat="1" ht="6.95" customHeight="1">
      <c r="B117" s="52"/>
      <c r="G117" s="52"/>
      <c r="I117" s="407"/>
      <c r="J117" s="408"/>
      <c r="K117" s="407"/>
      <c r="L117" s="407"/>
      <c r="M117" s="407"/>
      <c r="N117" s="407"/>
      <c r="O117" s="407"/>
      <c r="P117" s="407"/>
      <c r="Q117" s="407"/>
      <c r="R117" s="408"/>
      <c r="S117" s="407"/>
      <c r="T117" s="407"/>
      <c r="U117" s="407"/>
      <c r="V117" s="407"/>
      <c r="W117" s="407"/>
      <c r="X117" s="407"/>
      <c r="Y117" s="407"/>
      <c r="Z117" s="408"/>
      <c r="AA117" s="407"/>
      <c r="AB117" s="407"/>
      <c r="AC117" s="407"/>
      <c r="AD117" s="407"/>
      <c r="AE117" s="407"/>
      <c r="AF117" s="407"/>
      <c r="AG117" s="407"/>
      <c r="AH117" s="408"/>
      <c r="AI117" s="407"/>
      <c r="AJ117" s="407"/>
      <c r="AK117" s="407"/>
      <c r="AL117" s="407"/>
      <c r="AM117" s="407"/>
      <c r="AN117" s="407"/>
      <c r="AO117" s="407"/>
      <c r="AP117" s="408"/>
      <c r="AQ117" s="407"/>
      <c r="AR117" s="407"/>
      <c r="AS117" s="407"/>
      <c r="AT117" s="407"/>
      <c r="AU117" s="407"/>
      <c r="AV117" s="407"/>
      <c r="AW117" s="404"/>
      <c r="AX117" s="408"/>
      <c r="AY117" s="407"/>
      <c r="AZ117" s="407"/>
      <c r="BA117" s="407"/>
      <c r="BB117" s="407"/>
      <c r="BC117" s="407"/>
      <c r="BD117" s="407"/>
      <c r="BE117" s="387"/>
      <c r="BF117" s="405"/>
      <c r="BG117" s="387"/>
      <c r="BH117" s="387"/>
      <c r="BI117" s="387"/>
      <c r="BJ117" s="387"/>
      <c r="BK117" s="387"/>
      <c r="BL117" s="387"/>
    </row>
    <row r="118" spans="2:64" s="303" customFormat="1" ht="6.95" customHeight="1">
      <c r="B118" s="52"/>
      <c r="D118" s="314"/>
      <c r="E118" s="314"/>
      <c r="F118" s="314"/>
      <c r="G118" s="305"/>
      <c r="H118" s="314"/>
      <c r="I118" s="407"/>
      <c r="J118" s="408"/>
      <c r="K118" s="407"/>
      <c r="L118" s="407"/>
      <c r="M118" s="407"/>
      <c r="N118" s="407"/>
      <c r="O118" s="407"/>
      <c r="P118" s="407"/>
      <c r="Q118" s="407"/>
      <c r="R118" s="408"/>
      <c r="S118" s="407"/>
      <c r="T118" s="407"/>
      <c r="U118" s="407"/>
      <c r="V118" s="407"/>
      <c r="W118" s="407"/>
      <c r="X118" s="407"/>
      <c r="Y118" s="407"/>
      <c r="Z118" s="408"/>
      <c r="AA118" s="407"/>
      <c r="AB118" s="407"/>
      <c r="AC118" s="407"/>
      <c r="AD118" s="407"/>
      <c r="AE118" s="407"/>
      <c r="AF118" s="407"/>
      <c r="AG118" s="407"/>
      <c r="AH118" s="408"/>
      <c r="AI118" s="407"/>
      <c r="AJ118" s="407"/>
      <c r="AK118" s="407"/>
      <c r="AL118" s="407"/>
      <c r="AM118" s="407"/>
      <c r="AN118" s="407"/>
      <c r="AO118" s="407"/>
      <c r="AP118" s="408"/>
      <c r="AQ118" s="407"/>
      <c r="AR118" s="407"/>
      <c r="AS118" s="407"/>
      <c r="AT118" s="407"/>
      <c r="AU118" s="407"/>
      <c r="AV118" s="407"/>
      <c r="AW118" s="404"/>
      <c r="AX118" s="409"/>
      <c r="AY118" s="404"/>
      <c r="AZ118" s="404"/>
      <c r="BA118" s="404"/>
      <c r="BB118" s="404"/>
      <c r="BC118" s="404"/>
      <c r="BD118" s="404"/>
      <c r="BE118" s="387"/>
      <c r="BF118" s="405"/>
      <c r="BG118" s="387"/>
      <c r="BH118" s="387"/>
      <c r="BI118" s="387"/>
      <c r="BJ118" s="387"/>
      <c r="BK118" s="387"/>
      <c r="BL118" s="387"/>
    </row>
    <row r="119" spans="2:64" s="52" customFormat="1" ht="7.5" customHeight="1">
      <c r="I119" s="404"/>
      <c r="J119" s="409"/>
      <c r="K119" s="404"/>
      <c r="L119" s="404"/>
      <c r="M119" s="404"/>
      <c r="N119" s="404"/>
      <c r="O119" s="404"/>
      <c r="P119" s="404"/>
      <c r="Q119" s="404"/>
      <c r="R119" s="409"/>
      <c r="S119" s="404"/>
      <c r="T119" s="404"/>
      <c r="U119" s="404"/>
      <c r="V119" s="404"/>
      <c r="W119" s="404"/>
      <c r="X119" s="404"/>
      <c r="Y119" s="404"/>
      <c r="Z119" s="409"/>
      <c r="AA119" s="404"/>
      <c r="AB119" s="404"/>
      <c r="AC119" s="404"/>
      <c r="AD119" s="404"/>
      <c r="AE119" s="404"/>
      <c r="AF119" s="404"/>
      <c r="AG119" s="404"/>
      <c r="AH119" s="409"/>
      <c r="AI119" s="404"/>
      <c r="AJ119" s="404"/>
      <c r="AK119" s="404"/>
      <c r="AL119" s="404"/>
      <c r="AM119" s="404"/>
      <c r="AN119" s="404"/>
      <c r="AO119" s="404"/>
      <c r="AP119" s="409"/>
      <c r="AQ119" s="404"/>
      <c r="AR119" s="404"/>
      <c r="AS119" s="404"/>
      <c r="AT119" s="404"/>
      <c r="AU119" s="404"/>
      <c r="AV119" s="404"/>
      <c r="AW119" s="404"/>
      <c r="AX119" s="409"/>
      <c r="AY119" s="404"/>
      <c r="AZ119" s="404"/>
      <c r="BA119" s="404"/>
      <c r="BB119" s="404"/>
      <c r="BC119" s="404"/>
      <c r="BD119" s="404"/>
      <c r="BE119" s="387"/>
      <c r="BF119" s="405"/>
      <c r="BG119" s="387"/>
      <c r="BH119" s="387"/>
      <c r="BI119" s="387"/>
      <c r="BJ119" s="387"/>
      <c r="BK119" s="387"/>
      <c r="BL119" s="387"/>
    </row>
    <row r="120" spans="2:64" s="52" customFormat="1" ht="7.5" customHeight="1">
      <c r="I120" s="404"/>
      <c r="J120" s="409"/>
      <c r="K120" s="404"/>
      <c r="L120" s="404"/>
      <c r="M120" s="404"/>
      <c r="N120" s="404"/>
      <c r="O120" s="404"/>
      <c r="P120" s="404"/>
      <c r="Q120" s="404"/>
      <c r="R120" s="409"/>
      <c r="S120" s="404"/>
      <c r="T120" s="404"/>
      <c r="U120" s="404"/>
      <c r="V120" s="404"/>
      <c r="W120" s="404"/>
      <c r="X120" s="404"/>
      <c r="Y120" s="404"/>
      <c r="Z120" s="409"/>
      <c r="AA120" s="404"/>
      <c r="AB120" s="404"/>
      <c r="AC120" s="404"/>
      <c r="AD120" s="404"/>
      <c r="AE120" s="404"/>
      <c r="AF120" s="404"/>
      <c r="AG120" s="404"/>
      <c r="AH120" s="409"/>
      <c r="AI120" s="404"/>
      <c r="AJ120" s="404"/>
      <c r="AK120" s="404"/>
      <c r="AL120" s="404"/>
      <c r="AM120" s="404"/>
      <c r="AN120" s="404"/>
      <c r="AO120" s="404"/>
      <c r="AP120" s="409"/>
      <c r="AQ120" s="404"/>
      <c r="AR120" s="404"/>
      <c r="AS120" s="404"/>
      <c r="AT120" s="404"/>
      <c r="AU120" s="404"/>
      <c r="AV120" s="404"/>
      <c r="AW120" s="404"/>
      <c r="AX120" s="409"/>
      <c r="AY120" s="404"/>
      <c r="AZ120" s="404"/>
      <c r="BA120" s="404"/>
      <c r="BB120" s="404"/>
      <c r="BC120" s="404"/>
      <c r="BD120" s="404"/>
      <c r="BE120" s="254"/>
      <c r="BF120" s="405"/>
      <c r="BG120" s="254"/>
      <c r="BH120" s="254"/>
      <c r="BI120" s="254"/>
      <c r="BJ120" s="254"/>
      <c r="BK120" s="254"/>
      <c r="BL120" s="254"/>
    </row>
    <row r="121" spans="2:64" s="52" customFormat="1" ht="7.5" customHeight="1">
      <c r="I121" s="404"/>
      <c r="J121" s="409"/>
      <c r="K121" s="404"/>
      <c r="L121" s="404"/>
      <c r="M121" s="404"/>
      <c r="N121" s="404"/>
      <c r="O121" s="404"/>
      <c r="P121" s="404"/>
      <c r="Q121" s="404"/>
      <c r="R121" s="409"/>
      <c r="S121" s="404"/>
      <c r="T121" s="404"/>
      <c r="U121" s="404"/>
      <c r="V121" s="404"/>
      <c r="W121" s="404"/>
      <c r="X121" s="404"/>
      <c r="Y121" s="404"/>
      <c r="Z121" s="409"/>
      <c r="AA121" s="404"/>
      <c r="AB121" s="404"/>
      <c r="AC121" s="404"/>
      <c r="AD121" s="404"/>
      <c r="AE121" s="404"/>
      <c r="AF121" s="404"/>
      <c r="AG121" s="404"/>
      <c r="AH121" s="409"/>
      <c r="AI121" s="404"/>
      <c r="AJ121" s="404"/>
      <c r="AK121" s="404"/>
      <c r="AL121" s="404"/>
      <c r="AM121" s="404"/>
      <c r="AN121" s="404"/>
      <c r="AO121" s="404"/>
      <c r="AP121" s="409"/>
      <c r="AQ121" s="404"/>
      <c r="AR121" s="404"/>
      <c r="AS121" s="404"/>
      <c r="AT121" s="404"/>
      <c r="AU121" s="404"/>
      <c r="AV121" s="404"/>
      <c r="AW121" s="404"/>
      <c r="AX121" s="409"/>
      <c r="AY121" s="404"/>
      <c r="AZ121" s="404"/>
      <c r="BA121" s="404"/>
      <c r="BB121" s="404"/>
      <c r="BC121" s="404"/>
      <c r="BD121" s="404"/>
      <c r="BE121" s="407"/>
      <c r="BF121" s="408"/>
      <c r="BG121" s="407"/>
      <c r="BH121" s="407"/>
      <c r="BI121" s="407"/>
      <c r="BJ121" s="407"/>
      <c r="BK121" s="407"/>
      <c r="BL121" s="407"/>
    </row>
    <row r="122" spans="2:64" s="52" customFormat="1" ht="7.5" customHeight="1">
      <c r="I122" s="404"/>
      <c r="J122" s="409"/>
      <c r="K122" s="404"/>
      <c r="L122" s="404"/>
      <c r="M122" s="404"/>
      <c r="N122" s="404"/>
      <c r="O122" s="404"/>
      <c r="P122" s="404"/>
      <c r="Q122" s="404"/>
      <c r="R122" s="409"/>
      <c r="S122" s="404"/>
      <c r="T122" s="404"/>
      <c r="U122" s="404"/>
      <c r="V122" s="404"/>
      <c r="W122" s="404"/>
      <c r="X122" s="404"/>
      <c r="Y122" s="404"/>
      <c r="Z122" s="409"/>
      <c r="AA122" s="404"/>
      <c r="AB122" s="404"/>
      <c r="AC122" s="404"/>
      <c r="AD122" s="404"/>
      <c r="AE122" s="404"/>
      <c r="AF122" s="404"/>
      <c r="AG122" s="404"/>
      <c r="AH122" s="409"/>
      <c r="AI122" s="404"/>
      <c r="AJ122" s="404"/>
      <c r="AK122" s="404"/>
      <c r="AL122" s="404"/>
      <c r="AM122" s="404"/>
      <c r="AN122" s="404"/>
      <c r="AO122" s="404"/>
      <c r="AP122" s="409"/>
      <c r="AQ122" s="404"/>
      <c r="AR122" s="404"/>
      <c r="AS122" s="404"/>
      <c r="AT122" s="404"/>
      <c r="AU122" s="404"/>
      <c r="AV122" s="404"/>
      <c r="AW122" s="404"/>
      <c r="AX122" s="409"/>
      <c r="AY122" s="404"/>
      <c r="AZ122" s="404"/>
      <c r="BA122" s="404"/>
      <c r="BB122" s="404"/>
      <c r="BC122" s="404"/>
      <c r="BD122" s="404"/>
      <c r="BE122" s="407"/>
      <c r="BF122" s="408"/>
      <c r="BG122" s="407"/>
      <c r="BH122" s="407"/>
      <c r="BI122" s="407"/>
      <c r="BJ122" s="407"/>
      <c r="BK122" s="407"/>
      <c r="BL122" s="407"/>
    </row>
    <row r="123" spans="2:64" s="52" customFormat="1" ht="7.5" customHeight="1">
      <c r="I123" s="404"/>
      <c r="J123" s="409"/>
      <c r="K123" s="404"/>
      <c r="L123" s="404"/>
      <c r="M123" s="404"/>
      <c r="N123" s="404"/>
      <c r="O123" s="404"/>
      <c r="P123" s="404"/>
      <c r="Q123" s="404"/>
      <c r="R123" s="409"/>
      <c r="S123" s="404"/>
      <c r="T123" s="404"/>
      <c r="U123" s="404"/>
      <c r="V123" s="404"/>
      <c r="W123" s="404"/>
      <c r="X123" s="404"/>
      <c r="Y123" s="404"/>
      <c r="Z123" s="409"/>
      <c r="AA123" s="404"/>
      <c r="AB123" s="404"/>
      <c r="AC123" s="404"/>
      <c r="AD123" s="404"/>
      <c r="AE123" s="404"/>
      <c r="AF123" s="404"/>
      <c r="AG123" s="404"/>
      <c r="AH123" s="409"/>
      <c r="AI123" s="404"/>
      <c r="AJ123" s="404"/>
      <c r="AK123" s="404"/>
      <c r="AL123" s="404"/>
      <c r="AM123" s="404"/>
      <c r="AN123" s="404"/>
      <c r="AO123" s="404"/>
      <c r="AP123" s="409"/>
      <c r="AQ123" s="404"/>
      <c r="AR123" s="404"/>
      <c r="AS123" s="404"/>
      <c r="AT123" s="404"/>
      <c r="AU123" s="404"/>
      <c r="AV123" s="404"/>
      <c r="AW123" s="406"/>
      <c r="AX123" s="409"/>
      <c r="AY123" s="404"/>
      <c r="AZ123" s="404"/>
      <c r="BA123" s="404"/>
      <c r="BB123" s="404"/>
      <c r="BC123" s="404"/>
      <c r="BD123" s="404"/>
      <c r="BE123" s="404"/>
      <c r="BF123" s="409"/>
      <c r="BG123" s="404"/>
      <c r="BH123" s="404"/>
      <c r="BI123" s="404"/>
      <c r="BJ123" s="404"/>
      <c r="BK123" s="404"/>
      <c r="BL123" s="404"/>
    </row>
    <row r="124" spans="2:64" s="52" customFormat="1" ht="7.5" customHeight="1">
      <c r="I124" s="404"/>
      <c r="J124" s="409"/>
      <c r="K124" s="404"/>
      <c r="L124" s="404"/>
      <c r="M124" s="404"/>
      <c r="N124" s="404"/>
      <c r="O124" s="404"/>
      <c r="P124" s="404"/>
      <c r="Q124" s="404"/>
      <c r="R124" s="409"/>
      <c r="S124" s="404"/>
      <c r="T124" s="404"/>
      <c r="U124" s="404"/>
      <c r="V124" s="404"/>
      <c r="W124" s="404"/>
      <c r="X124" s="404"/>
      <c r="Y124" s="404"/>
      <c r="Z124" s="409"/>
      <c r="AA124" s="404"/>
      <c r="AB124" s="404"/>
      <c r="AC124" s="404"/>
      <c r="AD124" s="404"/>
      <c r="AE124" s="404"/>
      <c r="AF124" s="404"/>
      <c r="AG124" s="404"/>
      <c r="AH124" s="409"/>
      <c r="AI124" s="404"/>
      <c r="AJ124" s="404"/>
      <c r="AK124" s="404"/>
      <c r="AL124" s="404"/>
      <c r="AM124" s="404"/>
      <c r="AN124" s="404"/>
      <c r="AO124" s="404"/>
      <c r="AP124" s="409"/>
      <c r="AQ124" s="404"/>
      <c r="AR124" s="404"/>
      <c r="AS124" s="404"/>
      <c r="AT124" s="404"/>
      <c r="AU124" s="404"/>
      <c r="AV124" s="404"/>
      <c r="AW124" s="406"/>
      <c r="AX124" s="409"/>
      <c r="AY124" s="406"/>
      <c r="AZ124" s="406"/>
      <c r="BA124" s="406"/>
      <c r="BB124" s="406"/>
      <c r="BC124" s="406"/>
      <c r="BD124" s="406"/>
      <c r="BE124" s="404"/>
      <c r="BF124" s="409"/>
      <c r="BG124" s="404"/>
      <c r="BH124" s="404"/>
      <c r="BI124" s="404"/>
      <c r="BJ124" s="404"/>
      <c r="BK124" s="404"/>
      <c r="BL124" s="404"/>
    </row>
    <row r="125" spans="2:64" s="305" customFormat="1" ht="7.5" customHeight="1">
      <c r="I125" s="406"/>
      <c r="J125" s="409"/>
      <c r="K125" s="406"/>
      <c r="L125" s="406"/>
      <c r="M125" s="406"/>
      <c r="N125" s="406"/>
      <c r="O125" s="406"/>
      <c r="P125" s="406"/>
      <c r="Q125" s="406"/>
      <c r="R125" s="409"/>
      <c r="S125" s="406"/>
      <c r="T125" s="406"/>
      <c r="U125" s="406"/>
      <c r="V125" s="406"/>
      <c r="W125" s="406"/>
      <c r="X125" s="406"/>
      <c r="Y125" s="406"/>
      <c r="Z125" s="409"/>
      <c r="AA125" s="406"/>
      <c r="AB125" s="406"/>
      <c r="AC125" s="406"/>
      <c r="AD125" s="406"/>
      <c r="AE125" s="406"/>
      <c r="AF125" s="406"/>
      <c r="AG125" s="406"/>
      <c r="AH125" s="409"/>
      <c r="AI125" s="406"/>
      <c r="AJ125" s="406"/>
      <c r="AK125" s="406"/>
      <c r="AL125" s="406"/>
      <c r="AM125" s="406"/>
      <c r="AN125" s="406"/>
      <c r="AO125" s="406"/>
      <c r="AP125" s="409"/>
      <c r="AQ125" s="406"/>
      <c r="AR125" s="406"/>
      <c r="AS125" s="406"/>
      <c r="AT125" s="406"/>
      <c r="AU125" s="406"/>
      <c r="AV125" s="406"/>
      <c r="AW125" s="406"/>
      <c r="AX125" s="409"/>
      <c r="AY125" s="406"/>
      <c r="AZ125" s="406"/>
      <c r="BA125" s="406"/>
      <c r="BB125" s="406"/>
      <c r="BC125" s="406"/>
      <c r="BD125" s="406"/>
      <c r="BE125" s="404"/>
      <c r="BF125" s="409"/>
      <c r="BG125" s="404"/>
      <c r="BH125" s="404"/>
      <c r="BI125" s="404"/>
      <c r="BJ125" s="404"/>
      <c r="BK125" s="404"/>
      <c r="BL125" s="404"/>
    </row>
    <row r="126" spans="2:64" s="305" customFormat="1" ht="7.5" customHeight="1">
      <c r="I126" s="406"/>
      <c r="J126" s="409"/>
      <c r="K126" s="406"/>
      <c r="L126" s="406"/>
      <c r="M126" s="406"/>
      <c r="N126" s="406"/>
      <c r="O126" s="406"/>
      <c r="P126" s="406"/>
      <c r="Q126" s="406"/>
      <c r="R126" s="403"/>
      <c r="S126" s="406"/>
      <c r="T126" s="406"/>
      <c r="U126" s="406"/>
      <c r="V126" s="406"/>
      <c r="W126" s="406"/>
      <c r="X126" s="406"/>
      <c r="Y126" s="406"/>
      <c r="Z126" s="409"/>
      <c r="AA126" s="406"/>
      <c r="AB126" s="406"/>
      <c r="AC126" s="406"/>
      <c r="AD126" s="406"/>
      <c r="AE126" s="406"/>
      <c r="AF126" s="406"/>
      <c r="AG126" s="406"/>
      <c r="AH126" s="409"/>
      <c r="AI126" s="406"/>
      <c r="AJ126" s="406"/>
      <c r="AK126" s="406"/>
      <c r="AL126" s="406"/>
      <c r="AM126" s="406"/>
      <c r="AN126" s="406"/>
      <c r="AO126" s="406"/>
      <c r="AP126" s="409"/>
      <c r="AQ126" s="406"/>
      <c r="AR126" s="406"/>
      <c r="AS126" s="406"/>
      <c r="AT126" s="406"/>
      <c r="AU126" s="406"/>
      <c r="AV126" s="406"/>
      <c r="AW126" s="406"/>
      <c r="AX126" s="409"/>
      <c r="AY126" s="406"/>
      <c r="AZ126" s="406"/>
      <c r="BA126" s="406"/>
      <c r="BB126" s="406"/>
      <c r="BC126" s="406"/>
      <c r="BD126" s="406"/>
      <c r="BE126" s="404"/>
      <c r="BF126" s="409"/>
      <c r="BG126" s="404"/>
      <c r="BH126" s="404"/>
      <c r="BI126" s="404"/>
      <c r="BJ126" s="404"/>
      <c r="BK126" s="404"/>
      <c r="BL126" s="404"/>
    </row>
    <row r="127" spans="2:64" s="305" customFormat="1" ht="7.5" customHeight="1">
      <c r="I127" s="406"/>
      <c r="J127" s="409"/>
      <c r="K127" s="406"/>
      <c r="L127" s="406"/>
      <c r="M127" s="406"/>
      <c r="N127" s="406"/>
      <c r="O127" s="406"/>
      <c r="P127" s="406"/>
      <c r="Q127" s="406"/>
      <c r="R127" s="403"/>
      <c r="S127" s="406"/>
      <c r="T127" s="406"/>
      <c r="U127" s="406"/>
      <c r="V127" s="406"/>
      <c r="W127" s="406"/>
      <c r="X127" s="406"/>
      <c r="Y127" s="406"/>
      <c r="Z127" s="409"/>
      <c r="AA127" s="406"/>
      <c r="AB127" s="406"/>
      <c r="AC127" s="406"/>
      <c r="AD127" s="406"/>
      <c r="AE127" s="406"/>
      <c r="AF127" s="406"/>
      <c r="AG127" s="406"/>
      <c r="AH127" s="409"/>
      <c r="AI127" s="406"/>
      <c r="AJ127" s="406"/>
      <c r="AK127" s="406"/>
      <c r="AL127" s="406"/>
      <c r="AM127" s="406"/>
      <c r="AN127" s="406"/>
      <c r="AO127" s="406"/>
      <c r="AP127" s="409"/>
      <c r="AQ127" s="406"/>
      <c r="AR127" s="406"/>
      <c r="AS127" s="406"/>
      <c r="AT127" s="406"/>
      <c r="AU127" s="406"/>
      <c r="AV127" s="406"/>
      <c r="AW127" s="410"/>
      <c r="AX127" s="409"/>
      <c r="AY127" s="406"/>
      <c r="AZ127" s="406"/>
      <c r="BA127" s="406"/>
      <c r="BB127" s="406"/>
      <c r="BC127" s="406"/>
      <c r="BD127" s="406"/>
      <c r="BE127" s="404"/>
      <c r="BF127" s="409"/>
      <c r="BG127" s="404"/>
      <c r="BH127" s="404"/>
      <c r="BI127" s="404"/>
      <c r="BJ127" s="404"/>
      <c r="BK127" s="404"/>
      <c r="BL127" s="404"/>
    </row>
    <row r="128" spans="2:64" s="305" customFormat="1" ht="7.5" customHeight="1">
      <c r="I128" s="406"/>
      <c r="J128" s="409"/>
      <c r="K128" s="406"/>
      <c r="L128" s="406"/>
      <c r="M128" s="406"/>
      <c r="N128" s="406"/>
      <c r="O128" s="406"/>
      <c r="P128" s="406"/>
      <c r="Q128" s="406"/>
      <c r="R128" s="403"/>
      <c r="S128" s="406"/>
      <c r="T128" s="406"/>
      <c r="U128" s="406"/>
      <c r="V128" s="406"/>
      <c r="W128" s="406"/>
      <c r="X128" s="406"/>
      <c r="Y128" s="406"/>
      <c r="Z128" s="409"/>
      <c r="AA128" s="406"/>
      <c r="AB128" s="406"/>
      <c r="AC128" s="406"/>
      <c r="AD128" s="406"/>
      <c r="AE128" s="406"/>
      <c r="AF128" s="406"/>
      <c r="AG128" s="406"/>
      <c r="AH128" s="409"/>
      <c r="AI128" s="406"/>
      <c r="AJ128" s="406"/>
      <c r="AK128" s="406"/>
      <c r="AL128" s="406"/>
      <c r="AM128" s="406"/>
      <c r="AN128" s="406"/>
      <c r="AO128" s="406"/>
      <c r="AP128" s="409"/>
      <c r="AQ128" s="406"/>
      <c r="AR128" s="406"/>
      <c r="AS128" s="406"/>
      <c r="AT128" s="406"/>
      <c r="AU128" s="406"/>
      <c r="AV128" s="406"/>
      <c r="AW128" s="406"/>
      <c r="AX128" s="411"/>
      <c r="AY128" s="410"/>
      <c r="AZ128" s="410"/>
      <c r="BA128" s="410"/>
      <c r="BB128" s="410"/>
      <c r="BC128" s="410"/>
      <c r="BD128" s="410"/>
      <c r="BE128" s="404"/>
      <c r="BF128" s="409"/>
      <c r="BG128" s="404"/>
      <c r="BH128" s="404"/>
      <c r="BI128" s="404"/>
      <c r="BJ128" s="404"/>
      <c r="BK128" s="404"/>
      <c r="BL128" s="404"/>
    </row>
    <row r="129" spans="1:64" s="306" customFormat="1" ht="7.5" customHeight="1">
      <c r="I129" s="410"/>
      <c r="J129" s="411"/>
      <c r="K129" s="410"/>
      <c r="L129" s="410"/>
      <c r="M129" s="410"/>
      <c r="N129" s="410"/>
      <c r="O129" s="410"/>
      <c r="P129" s="410"/>
      <c r="Q129" s="410"/>
      <c r="R129" s="402"/>
      <c r="S129" s="410"/>
      <c r="T129" s="410"/>
      <c r="U129" s="410"/>
      <c r="V129" s="410"/>
      <c r="W129" s="410"/>
      <c r="X129" s="410"/>
      <c r="Y129" s="410"/>
      <c r="Z129" s="411"/>
      <c r="AA129" s="410"/>
      <c r="AB129" s="410"/>
      <c r="AC129" s="410"/>
      <c r="AD129" s="410"/>
      <c r="AE129" s="410"/>
      <c r="AF129" s="410"/>
      <c r="AG129" s="410"/>
      <c r="AH129" s="411"/>
      <c r="AI129" s="410"/>
      <c r="AJ129" s="410"/>
      <c r="AK129" s="410"/>
      <c r="AL129" s="410"/>
      <c r="AM129" s="410"/>
      <c r="AN129" s="410"/>
      <c r="AO129" s="410"/>
      <c r="AP129" s="411"/>
      <c r="AQ129" s="410"/>
      <c r="AR129" s="410"/>
      <c r="AS129" s="410"/>
      <c r="AT129" s="410"/>
      <c r="AU129" s="410"/>
      <c r="AV129" s="410"/>
      <c r="AW129" s="407"/>
      <c r="AX129" s="409"/>
      <c r="AY129" s="406"/>
      <c r="AZ129" s="406"/>
      <c r="BA129" s="406"/>
      <c r="BB129" s="406"/>
      <c r="BC129" s="406"/>
      <c r="BD129" s="406"/>
      <c r="BE129" s="406"/>
      <c r="BF129" s="409"/>
      <c r="BG129" s="406"/>
      <c r="BH129" s="406"/>
      <c r="BI129" s="406"/>
      <c r="BJ129" s="406"/>
      <c r="BK129" s="406"/>
      <c r="BL129" s="406"/>
    </row>
    <row r="130" spans="1:64" s="305" customFormat="1" ht="7.5" customHeight="1">
      <c r="I130" s="406"/>
      <c r="J130" s="409"/>
      <c r="K130" s="406"/>
      <c r="L130" s="406"/>
      <c r="M130" s="406"/>
      <c r="N130" s="406"/>
      <c r="O130" s="406"/>
      <c r="P130" s="406"/>
      <c r="Q130" s="406"/>
      <c r="R130" s="403"/>
      <c r="S130" s="406"/>
      <c r="T130" s="406"/>
      <c r="U130" s="406"/>
      <c r="V130" s="406"/>
      <c r="W130" s="406"/>
      <c r="X130" s="406"/>
      <c r="Y130" s="406"/>
      <c r="Z130" s="409"/>
      <c r="AA130" s="406"/>
      <c r="AB130" s="406"/>
      <c r="AC130" s="406"/>
      <c r="AD130" s="406"/>
      <c r="AE130" s="406"/>
      <c r="AF130" s="406"/>
      <c r="AG130" s="406"/>
      <c r="AH130" s="409"/>
      <c r="AI130" s="406"/>
      <c r="AJ130" s="406"/>
      <c r="AK130" s="406"/>
      <c r="AL130" s="406"/>
      <c r="AM130" s="406"/>
      <c r="AN130" s="406"/>
      <c r="AO130" s="406"/>
      <c r="AP130" s="409"/>
      <c r="AQ130" s="406"/>
      <c r="AR130" s="406"/>
      <c r="AS130" s="406"/>
      <c r="AT130" s="406"/>
      <c r="AU130" s="406"/>
      <c r="AV130" s="406"/>
      <c r="AW130" s="407"/>
      <c r="AX130" s="408"/>
      <c r="AY130" s="407"/>
      <c r="AZ130" s="407"/>
      <c r="BA130" s="407"/>
      <c r="BB130" s="407"/>
      <c r="BC130" s="407"/>
      <c r="BD130" s="407"/>
      <c r="BE130" s="406"/>
      <c r="BF130" s="409"/>
      <c r="BG130" s="406"/>
      <c r="BH130" s="406"/>
      <c r="BI130" s="406"/>
      <c r="BJ130" s="406"/>
      <c r="BK130" s="406"/>
      <c r="BL130" s="406"/>
    </row>
    <row r="131" spans="1:64" s="303" customFormat="1" ht="6.95" customHeight="1">
      <c r="B131" s="52"/>
      <c r="G131" s="52"/>
      <c r="I131" s="407"/>
      <c r="J131" s="408"/>
      <c r="K131" s="407"/>
      <c r="L131" s="407"/>
      <c r="M131" s="407"/>
      <c r="N131" s="407"/>
      <c r="O131" s="407"/>
      <c r="P131" s="407"/>
      <c r="Q131" s="407"/>
      <c r="R131" s="403"/>
      <c r="S131" s="407"/>
      <c r="T131" s="407"/>
      <c r="U131" s="407"/>
      <c r="V131" s="407"/>
      <c r="W131" s="404"/>
      <c r="X131" s="407"/>
      <c r="Y131" s="407"/>
      <c r="Z131" s="408"/>
      <c r="AA131" s="407"/>
      <c r="AB131" s="407"/>
      <c r="AC131" s="407"/>
      <c r="AD131" s="407"/>
      <c r="AE131" s="407"/>
      <c r="AF131" s="407"/>
      <c r="AG131" s="407"/>
      <c r="AH131" s="408"/>
      <c r="AI131" s="407"/>
      <c r="AJ131" s="407"/>
      <c r="AK131" s="407"/>
      <c r="AL131" s="407"/>
      <c r="AM131" s="407"/>
      <c r="AN131" s="407"/>
      <c r="AO131" s="407"/>
      <c r="AP131" s="408"/>
      <c r="AQ131" s="407"/>
      <c r="AR131" s="407"/>
      <c r="AS131" s="407"/>
      <c r="AT131" s="407"/>
      <c r="AU131" s="407"/>
      <c r="AV131" s="407"/>
      <c r="AW131" s="407"/>
      <c r="AX131" s="408"/>
      <c r="AY131" s="407"/>
      <c r="AZ131" s="407"/>
      <c r="BA131" s="407"/>
      <c r="BB131" s="407"/>
      <c r="BC131" s="407"/>
      <c r="BD131" s="407"/>
      <c r="BE131" s="406"/>
      <c r="BF131" s="409"/>
      <c r="BG131" s="406"/>
      <c r="BH131" s="406"/>
      <c r="BI131" s="406"/>
      <c r="BJ131" s="406"/>
      <c r="BK131" s="406"/>
      <c r="BL131" s="406"/>
    </row>
    <row r="132" spans="1:64" s="303" customFormat="1" ht="6.95" customHeight="1">
      <c r="B132" s="52"/>
      <c r="G132" s="52"/>
      <c r="I132" s="407"/>
      <c r="J132" s="408"/>
      <c r="K132" s="407"/>
      <c r="L132" s="407"/>
      <c r="M132" s="407"/>
      <c r="N132" s="407"/>
      <c r="O132" s="407"/>
      <c r="P132" s="407"/>
      <c r="Q132" s="412"/>
      <c r="R132" s="392"/>
      <c r="S132" s="413"/>
      <c r="T132" s="407"/>
      <c r="U132" s="407"/>
      <c r="V132" s="407"/>
      <c r="W132" s="404"/>
      <c r="X132" s="407"/>
      <c r="Y132" s="407"/>
      <c r="Z132" s="408"/>
      <c r="AA132" s="407"/>
      <c r="AB132" s="407"/>
      <c r="AC132" s="407"/>
      <c r="AD132" s="407"/>
      <c r="AE132" s="407"/>
      <c r="AF132" s="407"/>
      <c r="AG132" s="407"/>
      <c r="AH132" s="408"/>
      <c r="AI132" s="407"/>
      <c r="AJ132" s="407"/>
      <c r="AK132" s="407"/>
      <c r="AL132" s="407"/>
      <c r="AM132" s="407"/>
      <c r="AN132" s="407"/>
      <c r="AO132" s="407"/>
      <c r="AP132" s="408"/>
      <c r="AQ132" s="407"/>
      <c r="AR132" s="407"/>
      <c r="AS132" s="407"/>
      <c r="AT132" s="407"/>
      <c r="AU132" s="407"/>
      <c r="AV132" s="407"/>
      <c r="AW132" s="407"/>
      <c r="AX132" s="408"/>
      <c r="AY132" s="407"/>
      <c r="AZ132" s="407"/>
      <c r="BA132" s="407"/>
      <c r="BB132" s="407"/>
      <c r="BC132" s="407"/>
      <c r="BD132" s="407"/>
      <c r="BE132" s="406"/>
      <c r="BF132" s="409"/>
      <c r="BG132" s="406"/>
      <c r="BH132" s="406"/>
      <c r="BI132" s="406"/>
      <c r="BJ132" s="406"/>
      <c r="BK132" s="406"/>
      <c r="BL132" s="406"/>
    </row>
    <row r="133" spans="1:64" s="303" customFormat="1" ht="6.95" customHeight="1">
      <c r="B133" s="52"/>
      <c r="G133" s="52"/>
      <c r="I133" s="407"/>
      <c r="J133" s="408"/>
      <c r="K133" s="407"/>
      <c r="L133" s="407"/>
      <c r="M133" s="407"/>
      <c r="N133" s="407"/>
      <c r="O133" s="407"/>
      <c r="P133" s="407"/>
      <c r="Q133" s="412"/>
      <c r="R133" s="392"/>
      <c r="S133" s="413"/>
      <c r="T133" s="407"/>
      <c r="U133" s="407"/>
      <c r="V133" s="407"/>
      <c r="W133" s="404"/>
      <c r="X133" s="407"/>
      <c r="Y133" s="407"/>
      <c r="Z133" s="408"/>
      <c r="AA133" s="407"/>
      <c r="AB133" s="407"/>
      <c r="AC133" s="407"/>
      <c r="AD133" s="407"/>
      <c r="AE133" s="407"/>
      <c r="AF133" s="407"/>
      <c r="AG133" s="407"/>
      <c r="AH133" s="408"/>
      <c r="AI133" s="407"/>
      <c r="AJ133" s="407"/>
      <c r="AK133" s="407"/>
      <c r="AL133" s="407"/>
      <c r="AM133" s="407"/>
      <c r="AN133" s="407"/>
      <c r="AO133" s="407"/>
      <c r="AP133" s="408"/>
      <c r="AQ133" s="407"/>
      <c r="AR133" s="407"/>
      <c r="AS133" s="407"/>
      <c r="AT133" s="407"/>
      <c r="AU133" s="407"/>
      <c r="AV133" s="407"/>
      <c r="AW133" s="407"/>
      <c r="AX133" s="408"/>
      <c r="AY133" s="407"/>
      <c r="AZ133" s="407"/>
      <c r="BA133" s="407"/>
      <c r="BB133" s="407"/>
      <c r="BC133" s="407"/>
      <c r="BD133" s="407"/>
      <c r="BE133" s="410"/>
      <c r="BF133" s="411"/>
      <c r="BG133" s="410"/>
      <c r="BH133" s="410"/>
      <c r="BI133" s="410"/>
      <c r="BJ133" s="410"/>
      <c r="BK133" s="410"/>
      <c r="BL133" s="410"/>
    </row>
    <row r="134" spans="1:64" s="303" customFormat="1" ht="6.95" customHeight="1">
      <c r="B134" s="52"/>
      <c r="G134" s="52"/>
      <c r="I134" s="407"/>
      <c r="J134" s="408"/>
      <c r="K134" s="407"/>
      <c r="L134" s="407"/>
      <c r="M134" s="407"/>
      <c r="N134" s="407"/>
      <c r="O134" s="407"/>
      <c r="P134" s="407"/>
      <c r="Q134" s="412"/>
      <c r="R134" s="392"/>
      <c r="S134" s="413"/>
      <c r="T134" s="407"/>
      <c r="U134" s="407"/>
      <c r="V134" s="407"/>
      <c r="W134" s="404"/>
      <c r="X134" s="407"/>
      <c r="Y134" s="407"/>
      <c r="Z134" s="408"/>
      <c r="AA134" s="407"/>
      <c r="AB134" s="407"/>
      <c r="AC134" s="407"/>
      <c r="AD134" s="407"/>
      <c r="AE134" s="407"/>
      <c r="AF134" s="407"/>
      <c r="AG134" s="407"/>
      <c r="AH134" s="408"/>
      <c r="AI134" s="407"/>
      <c r="AJ134" s="407"/>
      <c r="AK134" s="407"/>
      <c r="AL134" s="407"/>
      <c r="AM134" s="407"/>
      <c r="AN134" s="407"/>
      <c r="AO134" s="407"/>
      <c r="AP134" s="408"/>
      <c r="AQ134" s="407"/>
      <c r="AR134" s="407"/>
      <c r="AS134" s="407"/>
      <c r="AT134" s="407"/>
      <c r="AU134" s="407"/>
      <c r="AV134" s="407"/>
      <c r="AW134" s="407"/>
      <c r="AX134" s="408"/>
      <c r="AY134" s="407"/>
      <c r="AZ134" s="407"/>
      <c r="BA134" s="407"/>
      <c r="BB134" s="407"/>
      <c r="BC134" s="407"/>
      <c r="BD134" s="407"/>
      <c r="BE134" s="406"/>
      <c r="BF134" s="409"/>
      <c r="BG134" s="406"/>
      <c r="BH134" s="406"/>
      <c r="BI134" s="406"/>
      <c r="BJ134" s="406"/>
      <c r="BK134" s="406"/>
      <c r="BL134" s="406"/>
    </row>
    <row r="135" spans="1:64" s="303" customFormat="1" ht="6.95" customHeight="1">
      <c r="B135" s="52"/>
      <c r="G135" s="52"/>
      <c r="I135" s="407"/>
      <c r="J135" s="408"/>
      <c r="K135" s="407"/>
      <c r="L135" s="407"/>
      <c r="M135" s="407"/>
      <c r="N135" s="407"/>
      <c r="O135" s="407"/>
      <c r="P135" s="407"/>
      <c r="Q135" s="412"/>
      <c r="R135" s="392"/>
      <c r="S135" s="413"/>
      <c r="T135" s="412"/>
      <c r="U135" s="412"/>
      <c r="V135" s="412"/>
      <c r="W135" s="383"/>
      <c r="X135" s="412"/>
      <c r="Y135" s="407"/>
      <c r="Z135" s="408"/>
      <c r="AA135" s="407"/>
      <c r="AB135" s="407"/>
      <c r="AC135" s="407"/>
      <c r="AD135" s="407"/>
      <c r="AE135" s="407"/>
      <c r="AF135" s="407"/>
      <c r="AG135" s="407"/>
      <c r="AH135" s="408"/>
      <c r="AI135" s="407"/>
      <c r="AJ135" s="407"/>
      <c r="AK135" s="407"/>
      <c r="AL135" s="407"/>
      <c r="AM135" s="407"/>
      <c r="AN135" s="407"/>
      <c r="AO135" s="407"/>
      <c r="AP135" s="408"/>
      <c r="AQ135" s="407"/>
      <c r="AR135" s="407"/>
      <c r="AS135" s="407"/>
      <c r="AT135" s="407"/>
      <c r="AU135" s="407"/>
      <c r="AV135" s="407"/>
      <c r="AW135" s="407"/>
      <c r="AX135" s="408"/>
      <c r="AY135" s="407"/>
      <c r="AZ135" s="407"/>
      <c r="BA135" s="407"/>
      <c r="BB135" s="407"/>
      <c r="BC135" s="407"/>
      <c r="BD135" s="407"/>
      <c r="BE135" s="407"/>
      <c r="BF135" s="408"/>
      <c r="BG135" s="407"/>
      <c r="BH135" s="407"/>
      <c r="BI135" s="407"/>
      <c r="BJ135" s="407"/>
      <c r="BK135" s="407"/>
      <c r="BL135" s="407"/>
    </row>
    <row r="136" spans="1:64" s="303" customFormat="1" ht="6.95" customHeight="1">
      <c r="B136" s="52"/>
      <c r="G136" s="52"/>
      <c r="I136" s="407"/>
      <c r="J136" s="408"/>
      <c r="K136" s="407"/>
      <c r="L136" s="407"/>
      <c r="M136" s="407"/>
      <c r="N136" s="407"/>
      <c r="O136" s="407"/>
      <c r="P136" s="407"/>
      <c r="Q136" s="407"/>
      <c r="R136" s="403"/>
      <c r="S136" s="407"/>
      <c r="T136" s="407"/>
      <c r="U136" s="407"/>
      <c r="V136" s="407"/>
      <c r="W136" s="404"/>
      <c r="X136" s="407"/>
      <c r="Y136" s="407"/>
      <c r="Z136" s="408"/>
      <c r="AA136" s="407"/>
      <c r="AB136" s="407"/>
      <c r="AC136" s="407"/>
      <c r="AD136" s="407"/>
      <c r="AE136" s="407"/>
      <c r="AF136" s="407"/>
      <c r="AG136" s="407"/>
      <c r="AH136" s="408"/>
      <c r="AI136" s="407"/>
      <c r="AJ136" s="407"/>
      <c r="AK136" s="407"/>
      <c r="AL136" s="407"/>
      <c r="AM136" s="407"/>
      <c r="AN136" s="407"/>
      <c r="AO136" s="407"/>
      <c r="AP136" s="408"/>
      <c r="AQ136" s="407"/>
      <c r="AR136" s="407"/>
      <c r="AS136" s="407"/>
      <c r="AT136" s="407"/>
      <c r="AU136" s="407"/>
      <c r="AV136" s="407"/>
      <c r="AW136" s="407"/>
      <c r="AX136" s="408"/>
      <c r="AY136" s="407"/>
      <c r="AZ136" s="407"/>
      <c r="BA136" s="407"/>
      <c r="BB136" s="407"/>
      <c r="BC136" s="407"/>
      <c r="BD136" s="407"/>
      <c r="BE136" s="407"/>
      <c r="BF136" s="408"/>
      <c r="BG136" s="407"/>
      <c r="BH136" s="407"/>
      <c r="BI136" s="407"/>
      <c r="BJ136" s="407"/>
      <c r="BK136" s="407"/>
      <c r="BL136" s="407"/>
    </row>
    <row r="137" spans="1:64" s="303" customFormat="1" ht="6.95" customHeight="1">
      <c r="A137" s="304"/>
      <c r="B137" s="52"/>
      <c r="G137" s="52"/>
      <c r="I137" s="407"/>
      <c r="J137" s="408"/>
      <c r="K137" s="407"/>
      <c r="L137" s="407"/>
      <c r="M137" s="407"/>
      <c r="N137" s="407"/>
      <c r="O137" s="407"/>
      <c r="P137" s="407"/>
      <c r="Q137" s="407"/>
      <c r="R137" s="403"/>
      <c r="S137" s="407"/>
      <c r="T137" s="407"/>
      <c r="U137" s="407"/>
      <c r="V137" s="407"/>
      <c r="W137" s="404"/>
      <c r="X137" s="407"/>
      <c r="Y137" s="407"/>
      <c r="Z137" s="408"/>
      <c r="AA137" s="407"/>
      <c r="AB137" s="407"/>
      <c r="AC137" s="407"/>
      <c r="AD137" s="407"/>
      <c r="AE137" s="407"/>
      <c r="AF137" s="407"/>
      <c r="AG137" s="407"/>
      <c r="AH137" s="408"/>
      <c r="AI137" s="407"/>
      <c r="AJ137" s="407"/>
      <c r="AK137" s="407"/>
      <c r="AL137" s="407"/>
      <c r="AM137" s="407"/>
      <c r="AN137" s="407"/>
      <c r="AO137" s="407"/>
      <c r="AP137" s="408"/>
      <c r="AQ137" s="407"/>
      <c r="AR137" s="407"/>
      <c r="AS137" s="407"/>
      <c r="AT137" s="407"/>
      <c r="AU137" s="407"/>
      <c r="AV137" s="407"/>
      <c r="AW137" s="407"/>
      <c r="AX137" s="408"/>
      <c r="AY137" s="407"/>
      <c r="AZ137" s="407"/>
      <c r="BA137" s="407"/>
      <c r="BB137" s="407"/>
      <c r="BC137" s="407"/>
      <c r="BD137" s="407"/>
      <c r="BE137" s="407"/>
      <c r="BF137" s="408"/>
      <c r="BG137" s="407"/>
      <c r="BH137" s="407"/>
      <c r="BI137" s="407"/>
      <c r="BJ137" s="407"/>
      <c r="BK137" s="407"/>
      <c r="BL137" s="407"/>
    </row>
    <row r="138" spans="1:64" s="303" customFormat="1" ht="6.95" customHeight="1">
      <c r="B138" s="52"/>
      <c r="G138" s="52"/>
      <c r="I138" s="407"/>
      <c r="J138" s="408"/>
      <c r="K138" s="407"/>
      <c r="L138" s="407"/>
      <c r="M138" s="407"/>
      <c r="N138" s="407"/>
      <c r="O138" s="407"/>
      <c r="P138" s="407"/>
      <c r="Q138" s="407"/>
      <c r="R138" s="403"/>
      <c r="S138" s="407"/>
      <c r="T138" s="407"/>
      <c r="U138" s="407"/>
      <c r="V138" s="407"/>
      <c r="W138" s="404"/>
      <c r="X138" s="407"/>
      <c r="Y138" s="407"/>
      <c r="Z138" s="408"/>
      <c r="AA138" s="407"/>
      <c r="AB138" s="407"/>
      <c r="AC138" s="407"/>
      <c r="AD138" s="407"/>
      <c r="AE138" s="407"/>
      <c r="AF138" s="407"/>
      <c r="AG138" s="407"/>
      <c r="AH138" s="408"/>
      <c r="AI138" s="407"/>
      <c r="AJ138" s="407"/>
      <c r="AK138" s="407"/>
      <c r="AL138" s="407"/>
      <c r="AM138" s="407"/>
      <c r="AN138" s="407"/>
      <c r="AO138" s="407"/>
      <c r="AP138" s="408"/>
      <c r="AQ138" s="407"/>
      <c r="AR138" s="407"/>
      <c r="AS138" s="407"/>
      <c r="AT138" s="407"/>
      <c r="AU138" s="407"/>
      <c r="AV138" s="407"/>
      <c r="AW138" s="404"/>
      <c r="AX138" s="408"/>
      <c r="AY138" s="407"/>
      <c r="AZ138" s="407"/>
      <c r="BA138" s="407"/>
      <c r="BB138" s="407"/>
      <c r="BC138" s="407"/>
      <c r="BD138" s="407"/>
      <c r="BE138" s="407"/>
      <c r="BF138" s="408"/>
      <c r="BG138" s="407"/>
      <c r="BH138" s="407"/>
      <c r="BI138" s="407"/>
      <c r="BJ138" s="407"/>
      <c r="BK138" s="407"/>
      <c r="BL138" s="407"/>
    </row>
    <row r="139" spans="1:64" s="303" customFormat="1" ht="9" customHeight="1">
      <c r="B139" s="52"/>
      <c r="G139" s="52"/>
      <c r="I139" s="407"/>
      <c r="J139" s="408"/>
      <c r="K139" s="407"/>
      <c r="L139" s="407"/>
      <c r="M139" s="407"/>
      <c r="N139" s="407"/>
      <c r="O139" s="407"/>
      <c r="P139" s="407"/>
      <c r="Q139" s="407"/>
      <c r="R139" s="403"/>
      <c r="S139" s="407"/>
      <c r="T139" s="407"/>
      <c r="U139" s="407"/>
      <c r="V139" s="407"/>
      <c r="W139" s="404"/>
      <c r="X139" s="407"/>
      <c r="Y139" s="407"/>
      <c r="Z139" s="408"/>
      <c r="AA139" s="407"/>
      <c r="AB139" s="407"/>
      <c r="AC139" s="407"/>
      <c r="AD139" s="407"/>
      <c r="AE139" s="407"/>
      <c r="AF139" s="407"/>
      <c r="AG139" s="407"/>
      <c r="AH139" s="408"/>
      <c r="AI139" s="407"/>
      <c r="AJ139" s="407"/>
      <c r="AK139" s="407"/>
      <c r="AL139" s="407"/>
      <c r="AM139" s="407"/>
      <c r="AN139" s="407"/>
      <c r="AO139" s="407"/>
      <c r="AP139" s="408"/>
      <c r="AQ139" s="407"/>
      <c r="AR139" s="407"/>
      <c r="AS139" s="407"/>
      <c r="AT139" s="407"/>
      <c r="AU139" s="407"/>
      <c r="AV139" s="407"/>
      <c r="AW139" s="404"/>
      <c r="AX139" s="409"/>
      <c r="AY139" s="404"/>
      <c r="AZ139" s="404"/>
      <c r="BA139" s="404"/>
      <c r="BB139" s="404"/>
      <c r="BC139" s="404"/>
      <c r="BD139" s="404"/>
      <c r="BE139" s="407"/>
      <c r="BF139" s="408"/>
      <c r="BG139" s="407"/>
      <c r="BH139" s="407"/>
      <c r="BI139" s="407"/>
      <c r="BJ139" s="407"/>
      <c r="BK139" s="407"/>
      <c r="BL139" s="407"/>
    </row>
    <row r="140" spans="1:64" s="52" customFormat="1" ht="8.1" customHeight="1">
      <c r="I140" s="404"/>
      <c r="J140" s="409"/>
      <c r="K140" s="404"/>
      <c r="L140" s="404"/>
      <c r="M140" s="404"/>
      <c r="N140" s="404"/>
      <c r="O140" s="404"/>
      <c r="P140" s="404"/>
      <c r="Q140" s="404"/>
      <c r="R140" s="403"/>
      <c r="S140" s="404"/>
      <c r="T140" s="404"/>
      <c r="U140" s="404"/>
      <c r="V140" s="404"/>
      <c r="W140" s="404"/>
      <c r="X140" s="404"/>
      <c r="Y140" s="404"/>
      <c r="Z140" s="409"/>
      <c r="AA140" s="404"/>
      <c r="AB140" s="404"/>
      <c r="AC140" s="404"/>
      <c r="AD140" s="404"/>
      <c r="AE140" s="404"/>
      <c r="AF140" s="404"/>
      <c r="AG140" s="404"/>
      <c r="AH140" s="409"/>
      <c r="AI140" s="404"/>
      <c r="AJ140" s="404"/>
      <c r="AK140" s="404"/>
      <c r="AL140" s="404"/>
      <c r="AM140" s="404"/>
      <c r="AN140" s="404"/>
      <c r="AO140" s="404"/>
      <c r="AP140" s="409"/>
      <c r="AQ140" s="404"/>
      <c r="AR140" s="404"/>
      <c r="AS140" s="404"/>
      <c r="AT140" s="404"/>
      <c r="AU140" s="404"/>
      <c r="AV140" s="404"/>
      <c r="AW140" s="404"/>
      <c r="AX140" s="409"/>
      <c r="AY140" s="404"/>
      <c r="AZ140" s="404"/>
      <c r="BA140" s="404"/>
      <c r="BB140" s="404"/>
      <c r="BC140" s="404"/>
      <c r="BD140" s="404"/>
      <c r="BE140" s="407"/>
      <c r="BF140" s="408"/>
      <c r="BG140" s="407"/>
      <c r="BH140" s="407"/>
      <c r="BI140" s="407"/>
      <c r="BJ140" s="407"/>
      <c r="BK140" s="407"/>
      <c r="BL140" s="407"/>
    </row>
    <row r="141" spans="1:64" s="52" customFormat="1" ht="8.1" customHeight="1">
      <c r="I141" s="404"/>
      <c r="J141" s="409"/>
      <c r="K141" s="404"/>
      <c r="L141" s="404"/>
      <c r="M141" s="404"/>
      <c r="N141" s="404"/>
      <c r="O141" s="404"/>
      <c r="P141" s="404"/>
      <c r="Q141" s="404"/>
      <c r="R141" s="403"/>
      <c r="S141" s="404"/>
      <c r="T141" s="404"/>
      <c r="U141" s="404"/>
      <c r="V141" s="404"/>
      <c r="W141" s="404"/>
      <c r="X141" s="404"/>
      <c r="Y141" s="404"/>
      <c r="Z141" s="409"/>
      <c r="AA141" s="404"/>
      <c r="AB141" s="404"/>
      <c r="AC141" s="404"/>
      <c r="AD141" s="404"/>
      <c r="AE141" s="404"/>
      <c r="AF141" s="404"/>
      <c r="AG141" s="404"/>
      <c r="AH141" s="409"/>
      <c r="AI141" s="404"/>
      <c r="AJ141" s="404"/>
      <c r="AK141" s="404"/>
      <c r="AL141" s="404"/>
      <c r="AM141" s="404"/>
      <c r="AN141" s="404"/>
      <c r="AO141" s="404"/>
      <c r="AP141" s="409"/>
      <c r="AQ141" s="404"/>
      <c r="AR141" s="404"/>
      <c r="AS141" s="404"/>
      <c r="AT141" s="404"/>
      <c r="AU141" s="404"/>
      <c r="AV141" s="404"/>
      <c r="AW141" s="404"/>
      <c r="AX141" s="409"/>
      <c r="AY141" s="404"/>
      <c r="AZ141" s="404"/>
      <c r="BA141" s="404"/>
      <c r="BB141" s="404"/>
      <c r="BC141" s="404"/>
      <c r="BD141" s="404"/>
      <c r="BE141" s="407"/>
      <c r="BF141" s="408"/>
      <c r="BG141" s="407"/>
      <c r="BH141" s="407"/>
      <c r="BI141" s="407"/>
      <c r="BJ141" s="407"/>
      <c r="BK141" s="407"/>
      <c r="BL141" s="407"/>
    </row>
    <row r="142" spans="1:64" s="52" customFormat="1" ht="8.1" customHeight="1">
      <c r="I142" s="404"/>
      <c r="J142" s="409"/>
      <c r="K142" s="404"/>
      <c r="L142" s="404"/>
      <c r="M142" s="404"/>
      <c r="N142" s="404"/>
      <c r="O142" s="404"/>
      <c r="P142" s="404"/>
      <c r="Q142" s="404"/>
      <c r="R142" s="403"/>
      <c r="S142" s="404"/>
      <c r="T142" s="404"/>
      <c r="U142" s="404"/>
      <c r="V142" s="404"/>
      <c r="W142" s="404"/>
      <c r="X142" s="404"/>
      <c r="Y142" s="404"/>
      <c r="Z142" s="409"/>
      <c r="AA142" s="404"/>
      <c r="AB142" s="404"/>
      <c r="AC142" s="404"/>
      <c r="AD142" s="404"/>
      <c r="AE142" s="404"/>
      <c r="AF142" s="404"/>
      <c r="AG142" s="404"/>
      <c r="AH142" s="409"/>
      <c r="AI142" s="404"/>
      <c r="AJ142" s="404"/>
      <c r="AK142" s="404"/>
      <c r="AL142" s="404"/>
      <c r="AM142" s="404"/>
      <c r="AN142" s="404"/>
      <c r="AO142" s="404"/>
      <c r="AP142" s="409"/>
      <c r="AQ142" s="404"/>
      <c r="AR142" s="404"/>
      <c r="AS142" s="404"/>
      <c r="AT142" s="404"/>
      <c r="AU142" s="404"/>
      <c r="AV142" s="404"/>
      <c r="AW142" s="404"/>
      <c r="AX142" s="409"/>
      <c r="AY142" s="404"/>
      <c r="AZ142" s="404"/>
      <c r="BA142" s="404"/>
      <c r="BB142" s="404"/>
      <c r="BC142" s="404"/>
      <c r="BD142" s="404"/>
      <c r="BE142" s="407"/>
      <c r="BF142" s="408"/>
      <c r="BG142" s="407"/>
      <c r="BH142" s="407"/>
      <c r="BI142" s="407"/>
      <c r="BJ142" s="407"/>
      <c r="BK142" s="407"/>
      <c r="BL142" s="407"/>
    </row>
    <row r="143" spans="1:64" s="52" customFormat="1" ht="8.1" customHeight="1">
      <c r="A143" s="302"/>
      <c r="I143" s="404"/>
      <c r="J143" s="409"/>
      <c r="K143" s="404"/>
      <c r="L143" s="404"/>
      <c r="M143" s="404"/>
      <c r="N143" s="404"/>
      <c r="O143" s="404"/>
      <c r="P143" s="404"/>
      <c r="Q143" s="404"/>
      <c r="R143" s="403"/>
      <c r="S143" s="404"/>
      <c r="T143" s="404"/>
      <c r="U143" s="404"/>
      <c r="V143" s="404"/>
      <c r="W143" s="404"/>
      <c r="X143" s="404"/>
      <c r="Y143" s="404"/>
      <c r="Z143" s="409"/>
      <c r="AA143" s="404"/>
      <c r="AB143" s="404"/>
      <c r="AC143" s="404"/>
      <c r="AD143" s="404"/>
      <c r="AE143" s="404"/>
      <c r="AF143" s="404"/>
      <c r="AG143" s="404"/>
      <c r="AH143" s="409"/>
      <c r="AI143" s="404"/>
      <c r="AJ143" s="404"/>
      <c r="AK143" s="404"/>
      <c r="AL143" s="404"/>
      <c r="AM143" s="404"/>
      <c r="AN143" s="404"/>
      <c r="AO143" s="404"/>
      <c r="AP143" s="409"/>
      <c r="AQ143" s="404"/>
      <c r="AR143" s="404"/>
      <c r="AS143" s="404"/>
      <c r="AT143" s="404"/>
      <c r="AU143" s="404"/>
      <c r="AV143" s="404"/>
      <c r="AW143" s="404"/>
      <c r="AX143" s="409"/>
      <c r="AY143" s="404"/>
      <c r="AZ143" s="404"/>
      <c r="BA143" s="404"/>
      <c r="BB143" s="404"/>
      <c r="BC143" s="404"/>
      <c r="BD143" s="404"/>
      <c r="BE143" s="407"/>
      <c r="BF143" s="408"/>
      <c r="BG143" s="407"/>
      <c r="BH143" s="407"/>
      <c r="BI143" s="407"/>
      <c r="BJ143" s="407"/>
      <c r="BK143" s="407"/>
      <c r="BL143" s="407"/>
    </row>
    <row r="144" spans="1:64" s="52" customFormat="1" ht="8.1" customHeight="1">
      <c r="I144" s="404"/>
      <c r="J144" s="409"/>
      <c r="K144" s="404"/>
      <c r="L144" s="404"/>
      <c r="M144" s="404"/>
      <c r="N144" s="404"/>
      <c r="O144" s="404"/>
      <c r="P144" s="404"/>
      <c r="Q144" s="404"/>
      <c r="R144" s="403"/>
      <c r="S144" s="404"/>
      <c r="T144" s="404"/>
      <c r="U144" s="404"/>
      <c r="V144" s="404"/>
      <c r="W144" s="404"/>
      <c r="X144" s="404"/>
      <c r="Y144" s="404"/>
      <c r="Z144" s="409"/>
      <c r="AA144" s="404"/>
      <c r="AB144" s="404"/>
      <c r="AC144" s="404"/>
      <c r="AD144" s="404"/>
      <c r="AE144" s="404"/>
      <c r="AF144" s="404"/>
      <c r="AG144" s="404"/>
      <c r="AH144" s="409"/>
      <c r="AI144" s="404"/>
      <c r="AJ144" s="404"/>
      <c r="AK144" s="404"/>
      <c r="AL144" s="404"/>
      <c r="AM144" s="404"/>
      <c r="AN144" s="404"/>
      <c r="AO144" s="404"/>
      <c r="AP144" s="409"/>
      <c r="AQ144" s="404"/>
      <c r="AR144" s="404"/>
      <c r="AS144" s="404"/>
      <c r="AT144" s="404"/>
      <c r="AU144" s="404"/>
      <c r="AV144" s="404"/>
      <c r="AW144" s="404"/>
      <c r="AX144" s="409"/>
      <c r="AY144" s="404"/>
      <c r="AZ144" s="404"/>
      <c r="BA144" s="404"/>
      <c r="BB144" s="404"/>
      <c r="BC144" s="404"/>
      <c r="BD144" s="404"/>
      <c r="BE144" s="404"/>
      <c r="BF144" s="409"/>
      <c r="BG144" s="404"/>
      <c r="BH144" s="404"/>
      <c r="BI144" s="404"/>
      <c r="BJ144" s="404"/>
      <c r="BK144" s="404"/>
      <c r="BL144" s="404"/>
    </row>
    <row r="145" spans="1:64" s="52" customFormat="1" ht="8.1" customHeight="1">
      <c r="I145" s="404"/>
      <c r="J145" s="409"/>
      <c r="K145" s="404"/>
      <c r="L145" s="404"/>
      <c r="M145" s="404"/>
      <c r="N145" s="404"/>
      <c r="O145" s="404"/>
      <c r="P145" s="404"/>
      <c r="Q145" s="404"/>
      <c r="R145" s="403"/>
      <c r="S145" s="404"/>
      <c r="T145" s="404"/>
      <c r="U145" s="404"/>
      <c r="V145" s="404"/>
      <c r="W145" s="404"/>
      <c r="X145" s="404"/>
      <c r="Y145" s="404"/>
      <c r="Z145" s="409"/>
      <c r="AA145" s="404"/>
      <c r="AB145" s="404"/>
      <c r="AC145" s="404"/>
      <c r="AD145" s="404"/>
      <c r="AE145" s="404"/>
      <c r="AF145" s="404"/>
      <c r="AG145" s="404"/>
      <c r="AH145" s="409"/>
      <c r="AI145" s="404"/>
      <c r="AJ145" s="404"/>
      <c r="AK145" s="404"/>
      <c r="AL145" s="404"/>
      <c r="AM145" s="404"/>
      <c r="AN145" s="404"/>
      <c r="AO145" s="404"/>
      <c r="AP145" s="409"/>
      <c r="AQ145" s="404"/>
      <c r="AR145" s="404"/>
      <c r="AS145" s="404"/>
      <c r="AT145" s="404"/>
      <c r="AU145" s="404"/>
      <c r="AV145" s="404"/>
      <c r="AW145" s="404"/>
      <c r="AX145" s="409"/>
      <c r="AY145" s="404"/>
      <c r="AZ145" s="404"/>
      <c r="BA145" s="404"/>
      <c r="BB145" s="404"/>
      <c r="BC145" s="404"/>
      <c r="BD145" s="404"/>
      <c r="BE145" s="404"/>
      <c r="BF145" s="409"/>
      <c r="BG145" s="404"/>
      <c r="BH145" s="404"/>
      <c r="BI145" s="404"/>
      <c r="BJ145" s="404"/>
      <c r="BK145" s="404"/>
      <c r="BL145" s="404"/>
    </row>
    <row r="146" spans="1:64" s="52" customFormat="1" ht="8.1" customHeight="1">
      <c r="I146" s="404"/>
      <c r="J146" s="409"/>
      <c r="K146" s="404"/>
      <c r="L146" s="404"/>
      <c r="M146" s="404"/>
      <c r="N146" s="404"/>
      <c r="O146" s="404"/>
      <c r="P146" s="404"/>
      <c r="Q146" s="404"/>
      <c r="R146" s="403"/>
      <c r="S146" s="404"/>
      <c r="T146" s="404"/>
      <c r="U146" s="404"/>
      <c r="V146" s="404"/>
      <c r="W146" s="404"/>
      <c r="X146" s="404"/>
      <c r="Y146" s="404"/>
      <c r="Z146" s="409"/>
      <c r="AA146" s="404"/>
      <c r="AB146" s="404"/>
      <c r="AC146" s="404"/>
      <c r="AD146" s="404"/>
      <c r="AE146" s="404"/>
      <c r="AF146" s="404"/>
      <c r="AG146" s="404"/>
      <c r="AH146" s="409"/>
      <c r="AI146" s="404"/>
      <c r="AJ146" s="404"/>
      <c r="AK146" s="404"/>
      <c r="AL146" s="404"/>
      <c r="AM146" s="404"/>
      <c r="AN146" s="404"/>
      <c r="AO146" s="404"/>
      <c r="AP146" s="409"/>
      <c r="AQ146" s="404"/>
      <c r="AR146" s="404"/>
      <c r="AS146" s="404"/>
      <c r="AT146" s="404"/>
      <c r="AU146" s="404"/>
      <c r="AV146" s="404"/>
      <c r="AW146" s="404"/>
      <c r="AX146" s="409"/>
      <c r="AY146" s="404"/>
      <c r="AZ146" s="404"/>
      <c r="BA146" s="404"/>
      <c r="BB146" s="404"/>
      <c r="BC146" s="404"/>
      <c r="BD146" s="404"/>
      <c r="BE146" s="404"/>
      <c r="BF146" s="409"/>
      <c r="BG146" s="404"/>
      <c r="BH146" s="404"/>
      <c r="BI146" s="404"/>
      <c r="BJ146" s="404"/>
      <c r="BK146" s="404"/>
      <c r="BL146" s="404"/>
    </row>
    <row r="147" spans="1:64" s="52" customFormat="1" ht="8.1" customHeight="1">
      <c r="I147" s="404"/>
      <c r="J147" s="409"/>
      <c r="K147" s="404"/>
      <c r="L147" s="404"/>
      <c r="M147" s="404"/>
      <c r="N147" s="404"/>
      <c r="O147" s="404"/>
      <c r="P147" s="404"/>
      <c r="Q147" s="404"/>
      <c r="R147" s="403"/>
      <c r="S147" s="404"/>
      <c r="T147" s="404"/>
      <c r="U147" s="404"/>
      <c r="V147" s="404"/>
      <c r="W147" s="404"/>
      <c r="X147" s="404"/>
      <c r="Y147" s="404"/>
      <c r="Z147" s="409"/>
      <c r="AA147" s="404"/>
      <c r="AB147" s="404"/>
      <c r="AC147" s="404"/>
      <c r="AD147" s="404"/>
      <c r="AE147" s="404"/>
      <c r="AF147" s="404"/>
      <c r="AG147" s="404"/>
      <c r="AH147" s="409"/>
      <c r="AI147" s="404"/>
      <c r="AJ147" s="404"/>
      <c r="AK147" s="404"/>
      <c r="AL147" s="404"/>
      <c r="AM147" s="404"/>
      <c r="AN147" s="404"/>
      <c r="AO147" s="404"/>
      <c r="AP147" s="409"/>
      <c r="AQ147" s="404"/>
      <c r="AR147" s="404"/>
      <c r="AS147" s="404"/>
      <c r="AT147" s="404"/>
      <c r="AU147" s="404"/>
      <c r="AV147" s="404"/>
      <c r="AW147" s="404"/>
      <c r="AX147" s="409"/>
      <c r="AY147" s="404"/>
      <c r="AZ147" s="404"/>
      <c r="BA147" s="404"/>
      <c r="BB147" s="404"/>
      <c r="BC147" s="404"/>
      <c r="BD147" s="404"/>
      <c r="BE147" s="404"/>
      <c r="BF147" s="409"/>
      <c r="BG147" s="404"/>
      <c r="BH147" s="404"/>
      <c r="BI147" s="404"/>
      <c r="BJ147" s="404"/>
      <c r="BK147" s="404"/>
      <c r="BL147" s="404"/>
    </row>
    <row r="148" spans="1:64" s="52" customFormat="1" ht="8.1" customHeight="1">
      <c r="A148" s="158"/>
      <c r="B148" s="13"/>
      <c r="C148" s="13"/>
      <c r="D148" s="157"/>
      <c r="E148" s="160"/>
      <c r="F148" s="157"/>
      <c r="G148" s="157"/>
      <c r="H148" s="157"/>
      <c r="I148" s="404"/>
      <c r="J148" s="409"/>
      <c r="K148" s="404"/>
      <c r="L148" s="404"/>
      <c r="M148" s="404"/>
      <c r="N148" s="404"/>
      <c r="O148" s="404"/>
      <c r="P148" s="404"/>
      <c r="Q148" s="404"/>
      <c r="R148" s="403"/>
      <c r="S148" s="404"/>
      <c r="T148" s="404"/>
      <c r="U148" s="404"/>
      <c r="V148" s="404"/>
      <c r="W148" s="404"/>
      <c r="X148" s="404"/>
      <c r="Y148" s="404"/>
      <c r="Z148" s="409"/>
      <c r="AA148" s="404"/>
      <c r="AB148" s="404"/>
      <c r="AC148" s="404"/>
      <c r="AD148" s="404"/>
      <c r="AE148" s="404"/>
      <c r="AF148" s="404"/>
      <c r="AG148" s="404"/>
      <c r="AH148" s="409"/>
      <c r="AI148" s="404"/>
      <c r="AJ148" s="404"/>
      <c r="AK148" s="404"/>
      <c r="AL148" s="404"/>
      <c r="AM148" s="404"/>
      <c r="AN148" s="404"/>
      <c r="AO148" s="404"/>
      <c r="AP148" s="409"/>
      <c r="AQ148" s="404"/>
      <c r="AR148" s="404"/>
      <c r="AS148" s="404"/>
      <c r="AT148" s="404"/>
      <c r="AU148" s="404"/>
      <c r="AV148" s="404"/>
      <c r="AW148" s="404"/>
      <c r="AX148" s="409"/>
      <c r="AY148" s="404"/>
      <c r="AZ148" s="404"/>
      <c r="BA148" s="404"/>
      <c r="BB148" s="404"/>
      <c r="BC148" s="404"/>
      <c r="BD148" s="404"/>
      <c r="BE148" s="404"/>
      <c r="BF148" s="409"/>
      <c r="BG148" s="404"/>
      <c r="BH148" s="404"/>
      <c r="BI148" s="404"/>
      <c r="BJ148" s="404"/>
      <c r="BK148" s="404"/>
      <c r="BL148" s="404"/>
    </row>
    <row r="149" spans="1:64" s="52" customFormat="1" ht="8.1" customHeight="1">
      <c r="A149" s="158"/>
      <c r="B149" s="13"/>
      <c r="C149" s="13"/>
      <c r="D149" s="157"/>
      <c r="E149" s="160"/>
      <c r="F149" s="157"/>
      <c r="G149" s="157"/>
      <c r="H149" s="157"/>
      <c r="I149" s="404"/>
      <c r="J149" s="409"/>
      <c r="K149" s="404"/>
      <c r="L149" s="404"/>
      <c r="M149" s="404"/>
      <c r="N149" s="404"/>
      <c r="O149" s="404"/>
      <c r="P149" s="404"/>
      <c r="Q149" s="404"/>
      <c r="R149" s="403"/>
      <c r="S149" s="404"/>
      <c r="T149" s="404"/>
      <c r="U149" s="404"/>
      <c r="V149" s="404"/>
      <c r="W149" s="404"/>
      <c r="X149" s="404"/>
      <c r="Y149" s="404"/>
      <c r="Z149" s="409"/>
      <c r="AA149" s="404"/>
      <c r="AB149" s="404"/>
      <c r="AC149" s="404"/>
      <c r="AD149" s="404"/>
      <c r="AE149" s="404"/>
      <c r="AF149" s="404"/>
      <c r="AG149" s="404"/>
      <c r="AH149" s="409"/>
      <c r="AI149" s="404"/>
      <c r="AJ149" s="404"/>
      <c r="AK149" s="404"/>
      <c r="AL149" s="404"/>
      <c r="AM149" s="404"/>
      <c r="AN149" s="404"/>
      <c r="AO149" s="404"/>
      <c r="AP149" s="409"/>
      <c r="AQ149" s="404"/>
      <c r="AR149" s="404"/>
      <c r="AS149" s="404"/>
      <c r="AT149" s="404"/>
      <c r="AU149" s="404"/>
      <c r="AV149" s="404"/>
      <c r="AW149" s="404"/>
      <c r="AX149" s="409"/>
      <c r="AY149" s="404"/>
      <c r="AZ149" s="404"/>
      <c r="BA149" s="404"/>
      <c r="BB149" s="404"/>
      <c r="BC149" s="404"/>
      <c r="BD149" s="404"/>
      <c r="BE149" s="404"/>
      <c r="BF149" s="409"/>
      <c r="BG149" s="404"/>
      <c r="BH149" s="404"/>
      <c r="BI149" s="404"/>
      <c r="BJ149" s="404"/>
      <c r="BK149" s="404"/>
      <c r="BL149" s="404"/>
    </row>
    <row r="150" spans="1:64" s="52" customFormat="1" ht="8.1" customHeight="1">
      <c r="A150" s="158"/>
      <c r="B150" s="13"/>
      <c r="C150" s="13"/>
      <c r="D150" s="157"/>
      <c r="E150" s="160"/>
      <c r="F150" s="157"/>
      <c r="G150" s="157"/>
      <c r="H150" s="157"/>
      <c r="I150" s="404"/>
      <c r="J150" s="409"/>
      <c r="K150" s="404"/>
      <c r="L150" s="404"/>
      <c r="M150" s="404"/>
      <c r="N150" s="404"/>
      <c r="O150" s="404"/>
      <c r="P150" s="404"/>
      <c r="Q150" s="404"/>
      <c r="R150" s="403"/>
      <c r="S150" s="404"/>
      <c r="T150" s="404"/>
      <c r="U150" s="404"/>
      <c r="V150" s="404"/>
      <c r="W150" s="404"/>
      <c r="X150" s="404"/>
      <c r="Y150" s="404"/>
      <c r="Z150" s="409"/>
      <c r="AA150" s="404"/>
      <c r="AB150" s="404"/>
      <c r="AC150" s="404"/>
      <c r="AD150" s="404"/>
      <c r="AE150" s="404"/>
      <c r="AF150" s="404"/>
      <c r="AG150" s="404"/>
      <c r="AH150" s="409"/>
      <c r="AI150" s="404"/>
      <c r="AJ150" s="404"/>
      <c r="AK150" s="404"/>
      <c r="AL150" s="404"/>
      <c r="AM150" s="404"/>
      <c r="AN150" s="404"/>
      <c r="AO150" s="404"/>
      <c r="AP150" s="409"/>
      <c r="AQ150" s="404"/>
      <c r="AR150" s="404"/>
      <c r="AS150" s="404"/>
      <c r="AT150" s="404"/>
      <c r="AU150" s="404"/>
      <c r="AV150" s="404"/>
      <c r="AW150" s="404"/>
      <c r="AX150" s="409"/>
      <c r="AY150" s="404"/>
      <c r="AZ150" s="404"/>
      <c r="BA150" s="404"/>
      <c r="BB150" s="404"/>
      <c r="BC150" s="404"/>
      <c r="BD150" s="404"/>
      <c r="BE150" s="404"/>
      <c r="BF150" s="409"/>
      <c r="BG150" s="404"/>
      <c r="BH150" s="404"/>
      <c r="BI150" s="404"/>
      <c r="BJ150" s="404"/>
      <c r="BK150" s="404"/>
      <c r="BL150" s="404"/>
    </row>
    <row r="151" spans="1:64" s="52" customFormat="1" ht="10.15" customHeight="1">
      <c r="A151" s="158"/>
      <c r="B151" s="13"/>
      <c r="C151" s="13"/>
      <c r="D151" s="157"/>
      <c r="E151" s="160"/>
      <c r="F151" s="157"/>
      <c r="G151" s="157"/>
      <c r="H151" s="157"/>
      <c r="I151" s="404"/>
      <c r="J151" s="409"/>
      <c r="K151" s="404"/>
      <c r="L151" s="404"/>
      <c r="M151" s="404"/>
      <c r="N151" s="404"/>
      <c r="O151" s="404"/>
      <c r="P151" s="404"/>
      <c r="Q151" s="404"/>
      <c r="R151" s="403"/>
      <c r="S151" s="404"/>
      <c r="T151" s="404"/>
      <c r="U151" s="404"/>
      <c r="V151" s="404"/>
      <c r="W151" s="404"/>
      <c r="X151" s="404"/>
      <c r="Y151" s="404"/>
      <c r="Z151" s="409"/>
      <c r="AA151" s="404"/>
      <c r="AB151" s="404"/>
      <c r="AC151" s="404"/>
      <c r="AD151" s="404"/>
      <c r="AE151" s="404"/>
      <c r="AF151" s="404"/>
      <c r="AG151" s="404"/>
      <c r="AH151" s="409"/>
      <c r="AI151" s="404"/>
      <c r="AJ151" s="404"/>
      <c r="AK151" s="404"/>
      <c r="AL151" s="404"/>
      <c r="AM151" s="404"/>
      <c r="AN151" s="404"/>
      <c r="AO151" s="404"/>
      <c r="AP151" s="409"/>
      <c r="AQ151" s="404"/>
      <c r="AR151" s="404"/>
      <c r="AS151" s="404"/>
      <c r="AT151" s="404"/>
      <c r="AU151" s="404"/>
      <c r="AV151" s="404"/>
      <c r="AW151" s="404"/>
      <c r="AX151" s="409"/>
      <c r="AY151" s="404"/>
      <c r="AZ151" s="404"/>
      <c r="BA151" s="404"/>
      <c r="BB151" s="404"/>
      <c r="BC151" s="404"/>
      <c r="BD151" s="404"/>
      <c r="BE151" s="404"/>
      <c r="BF151" s="409"/>
      <c r="BG151" s="404"/>
      <c r="BH151" s="404"/>
      <c r="BI151" s="404"/>
      <c r="BJ151" s="404"/>
      <c r="BK151" s="404"/>
      <c r="BL151" s="404"/>
    </row>
    <row r="152" spans="1:64" s="52" customFormat="1" ht="10.15" customHeight="1">
      <c r="A152" s="158"/>
      <c r="B152" s="13"/>
      <c r="C152" s="13"/>
      <c r="D152" s="157"/>
      <c r="E152" s="160"/>
      <c r="F152" s="157"/>
      <c r="G152" s="157"/>
      <c r="H152" s="157"/>
      <c r="I152" s="404"/>
      <c r="J152" s="409"/>
      <c r="K152" s="404"/>
      <c r="L152" s="404"/>
      <c r="M152" s="404"/>
      <c r="N152" s="404"/>
      <c r="O152" s="404"/>
      <c r="P152" s="404"/>
      <c r="Q152" s="404"/>
      <c r="R152" s="403"/>
      <c r="S152" s="404"/>
      <c r="T152" s="404"/>
      <c r="U152" s="404"/>
      <c r="V152" s="404"/>
      <c r="W152" s="404"/>
      <c r="X152" s="404"/>
      <c r="Y152" s="404"/>
      <c r="Z152" s="409"/>
      <c r="AA152" s="404"/>
      <c r="AB152" s="404"/>
      <c r="AC152" s="404"/>
      <c r="AD152" s="404"/>
      <c r="AE152" s="404"/>
      <c r="AF152" s="404"/>
      <c r="AG152" s="404"/>
      <c r="AH152" s="409"/>
      <c r="AI152" s="404"/>
      <c r="AJ152" s="404"/>
      <c r="AK152" s="404"/>
      <c r="AL152" s="404"/>
      <c r="AM152" s="404"/>
      <c r="AN152" s="404"/>
      <c r="AO152" s="404"/>
      <c r="AP152" s="409"/>
      <c r="AQ152" s="404"/>
      <c r="AR152" s="404"/>
      <c r="AS152" s="404"/>
      <c r="AT152" s="404"/>
      <c r="AU152" s="404"/>
      <c r="AV152" s="404"/>
      <c r="AW152" s="404"/>
      <c r="AX152" s="409"/>
      <c r="AY152" s="404"/>
      <c r="AZ152" s="404"/>
      <c r="BA152" s="404"/>
      <c r="BB152" s="404"/>
      <c r="BC152" s="404"/>
      <c r="BD152" s="404"/>
      <c r="BE152" s="404"/>
      <c r="BF152" s="409"/>
      <c r="BG152" s="404"/>
      <c r="BH152" s="404"/>
      <c r="BI152" s="404"/>
      <c r="BJ152" s="404"/>
      <c r="BK152" s="404"/>
      <c r="BL152" s="404"/>
    </row>
    <row r="153" spans="1:64" s="52" customFormat="1" ht="10.15" customHeight="1">
      <c r="A153" s="158"/>
      <c r="B153" s="13"/>
      <c r="C153" s="13"/>
      <c r="D153" s="157"/>
      <c r="E153" s="160"/>
      <c r="F153" s="157"/>
      <c r="G153" s="157"/>
      <c r="H153" s="157"/>
      <c r="I153" s="404"/>
      <c r="J153" s="409"/>
      <c r="K153" s="404"/>
      <c r="L153" s="404"/>
      <c r="M153" s="404"/>
      <c r="N153" s="404"/>
      <c r="O153" s="404"/>
      <c r="P153" s="404"/>
      <c r="Q153" s="404"/>
      <c r="R153" s="403"/>
      <c r="S153" s="404"/>
      <c r="T153" s="404"/>
      <c r="U153" s="404"/>
      <c r="V153" s="404"/>
      <c r="W153" s="404"/>
      <c r="X153" s="404"/>
      <c r="Y153" s="404"/>
      <c r="Z153" s="409"/>
      <c r="AA153" s="404"/>
      <c r="AB153" s="404"/>
      <c r="AC153" s="404"/>
      <c r="AD153" s="404"/>
      <c r="AE153" s="404"/>
      <c r="AF153" s="404"/>
      <c r="AG153" s="404"/>
      <c r="AH153" s="409"/>
      <c r="AI153" s="404"/>
      <c r="AJ153" s="404"/>
      <c r="AK153" s="404"/>
      <c r="AL153" s="404"/>
      <c r="AM153" s="404"/>
      <c r="AN153" s="404"/>
      <c r="AO153" s="404"/>
      <c r="AP153" s="409"/>
      <c r="AQ153" s="404"/>
      <c r="AR153" s="404"/>
      <c r="AS153" s="404"/>
      <c r="AT153" s="404"/>
      <c r="AU153" s="404"/>
      <c r="AV153" s="404"/>
      <c r="AW153" s="404"/>
      <c r="AX153" s="409"/>
      <c r="AY153" s="404"/>
      <c r="AZ153" s="404"/>
      <c r="BA153" s="404"/>
      <c r="BB153" s="404"/>
      <c r="BC153" s="404"/>
      <c r="BD153" s="404"/>
      <c r="BE153" s="404"/>
      <c r="BF153" s="409"/>
      <c r="BG153" s="404"/>
      <c r="BH153" s="404"/>
      <c r="BI153" s="404"/>
      <c r="BJ153" s="404"/>
      <c r="BK153" s="404"/>
      <c r="BL153" s="404"/>
    </row>
    <row r="154" spans="1:64" s="52" customFormat="1" ht="10.15" customHeight="1">
      <c r="A154" s="158"/>
      <c r="B154" s="13"/>
      <c r="C154" s="13"/>
      <c r="D154" s="157"/>
      <c r="E154" s="160"/>
      <c r="F154" s="157"/>
      <c r="G154" s="157"/>
      <c r="H154" s="157"/>
      <c r="I154" s="404"/>
      <c r="J154" s="409"/>
      <c r="K154" s="404"/>
      <c r="L154" s="404"/>
      <c r="M154" s="404"/>
      <c r="N154" s="404"/>
      <c r="O154" s="404"/>
      <c r="P154" s="404"/>
      <c r="Q154" s="404"/>
      <c r="R154" s="403"/>
      <c r="S154" s="404"/>
      <c r="T154" s="404"/>
      <c r="U154" s="404"/>
      <c r="V154" s="404"/>
      <c r="W154" s="404"/>
      <c r="X154" s="404"/>
      <c r="Y154" s="404"/>
      <c r="Z154" s="409"/>
      <c r="AA154" s="404"/>
      <c r="AB154" s="404"/>
      <c r="AC154" s="404"/>
      <c r="AD154" s="404"/>
      <c r="AE154" s="404"/>
      <c r="AF154" s="404"/>
      <c r="AG154" s="404"/>
      <c r="AH154" s="409"/>
      <c r="AI154" s="404"/>
      <c r="AJ154" s="404"/>
      <c r="AK154" s="404"/>
      <c r="AL154" s="404"/>
      <c r="AM154" s="404"/>
      <c r="AN154" s="404"/>
      <c r="AO154" s="404"/>
      <c r="AP154" s="409"/>
      <c r="AQ154" s="404"/>
      <c r="AR154" s="404"/>
      <c r="AS154" s="404"/>
      <c r="AT154" s="404"/>
      <c r="AU154" s="404"/>
      <c r="AV154" s="404"/>
      <c r="AW154" s="404"/>
      <c r="AX154" s="409"/>
      <c r="AY154" s="404"/>
      <c r="AZ154" s="404"/>
      <c r="BA154" s="404"/>
      <c r="BB154" s="404"/>
      <c r="BC154" s="404"/>
      <c r="BD154" s="404"/>
      <c r="BE154" s="404"/>
      <c r="BF154" s="409"/>
      <c r="BG154" s="404"/>
      <c r="BH154" s="404"/>
      <c r="BI154" s="404"/>
      <c r="BJ154" s="404"/>
      <c r="BK154" s="404"/>
      <c r="BL154" s="404"/>
    </row>
    <row r="155" spans="1:64" s="52" customFormat="1" ht="10.15" customHeight="1">
      <c r="A155" s="158"/>
      <c r="B155" s="13"/>
      <c r="C155" s="13"/>
      <c r="D155" s="157"/>
      <c r="E155" s="160"/>
      <c r="F155" s="157"/>
      <c r="G155" s="157"/>
      <c r="H155" s="157"/>
      <c r="I155" s="404"/>
      <c r="J155" s="409"/>
      <c r="K155" s="404"/>
      <c r="L155" s="404"/>
      <c r="M155" s="404"/>
      <c r="N155" s="404"/>
      <c r="O155" s="404"/>
      <c r="P155" s="404"/>
      <c r="Q155" s="404"/>
      <c r="R155" s="403"/>
      <c r="S155" s="404"/>
      <c r="T155" s="404"/>
      <c r="U155" s="404"/>
      <c r="V155" s="404"/>
      <c r="W155" s="404"/>
      <c r="X155" s="404"/>
      <c r="Y155" s="404"/>
      <c r="Z155" s="409"/>
      <c r="AA155" s="404"/>
      <c r="AB155" s="404"/>
      <c r="AC155" s="404"/>
      <c r="AD155" s="404"/>
      <c r="AE155" s="404"/>
      <c r="AF155" s="404"/>
      <c r="AG155" s="404"/>
      <c r="AH155" s="409"/>
      <c r="AI155" s="404"/>
      <c r="AJ155" s="404"/>
      <c r="AK155" s="404"/>
      <c r="AL155" s="404"/>
      <c r="AM155" s="404"/>
      <c r="AN155" s="404"/>
      <c r="AO155" s="404"/>
      <c r="AP155" s="409"/>
      <c r="AQ155" s="404"/>
      <c r="AR155" s="404"/>
      <c r="AS155" s="404"/>
      <c r="AT155" s="404"/>
      <c r="AU155" s="404"/>
      <c r="AV155" s="404"/>
      <c r="AW155" s="414"/>
      <c r="AX155" s="409"/>
      <c r="AY155" s="404"/>
      <c r="AZ155" s="404"/>
      <c r="BA155" s="404"/>
      <c r="BB155" s="404"/>
      <c r="BC155" s="404"/>
      <c r="BD155" s="404"/>
      <c r="BE155" s="404"/>
      <c r="BF155" s="409"/>
      <c r="BG155" s="404"/>
      <c r="BH155" s="404"/>
      <c r="BI155" s="404"/>
      <c r="BJ155" s="404"/>
      <c r="BK155" s="404"/>
      <c r="BL155" s="404"/>
    </row>
    <row r="156" spans="1:64" s="52" customFormat="1" ht="10.15" customHeight="1">
      <c r="A156" s="158"/>
      <c r="B156" s="13"/>
      <c r="C156" s="13"/>
      <c r="D156" s="157"/>
      <c r="E156" s="160"/>
      <c r="F156" s="157"/>
      <c r="G156" s="157"/>
      <c r="H156" s="157"/>
      <c r="I156" s="404"/>
      <c r="J156" s="409"/>
      <c r="K156" s="404"/>
      <c r="L156" s="404"/>
      <c r="M156" s="404"/>
      <c r="N156" s="404"/>
      <c r="O156" s="404"/>
      <c r="P156" s="404"/>
      <c r="Q156" s="404"/>
      <c r="R156" s="403"/>
      <c r="S156" s="404"/>
      <c r="T156" s="404"/>
      <c r="U156" s="404"/>
      <c r="V156" s="404"/>
      <c r="W156" s="404"/>
      <c r="X156" s="404"/>
      <c r="Y156" s="404"/>
      <c r="Z156" s="409"/>
      <c r="AA156" s="404"/>
      <c r="AB156" s="404"/>
      <c r="AC156" s="404"/>
      <c r="AD156" s="404"/>
      <c r="AE156" s="404"/>
      <c r="AF156" s="404"/>
      <c r="AG156" s="404"/>
      <c r="AH156" s="409"/>
      <c r="AI156" s="404"/>
      <c r="AJ156" s="404"/>
      <c r="AK156" s="404"/>
      <c r="AL156" s="404"/>
      <c r="AM156" s="404"/>
      <c r="AN156" s="404"/>
      <c r="AO156" s="404"/>
      <c r="AP156" s="409"/>
      <c r="AQ156" s="404"/>
      <c r="AR156" s="404"/>
      <c r="AS156" s="404"/>
      <c r="AT156" s="404"/>
      <c r="AU156" s="404"/>
      <c r="AV156" s="404"/>
      <c r="AW156" s="414"/>
      <c r="AX156" s="415"/>
      <c r="AY156" s="414"/>
      <c r="AZ156" s="414"/>
      <c r="BA156" s="414"/>
      <c r="BB156" s="414"/>
      <c r="BC156" s="414"/>
      <c r="BD156" s="414"/>
      <c r="BE156" s="404"/>
      <c r="BF156" s="409"/>
      <c r="BG156" s="404"/>
      <c r="BH156" s="404"/>
      <c r="BI156" s="404"/>
      <c r="BJ156" s="404"/>
      <c r="BK156" s="404"/>
      <c r="BL156" s="404"/>
    </row>
    <row r="157" spans="1:64" s="116" customFormat="1" ht="10.15" customHeight="1">
      <c r="A157" s="241"/>
      <c r="B157" s="13"/>
      <c r="C157" s="228"/>
      <c r="D157" s="239"/>
      <c r="E157" s="240"/>
      <c r="F157" s="239"/>
      <c r="G157" s="157"/>
      <c r="H157" s="239"/>
      <c r="I157" s="414"/>
      <c r="J157" s="415"/>
      <c r="K157" s="414"/>
      <c r="L157" s="414"/>
      <c r="M157" s="414"/>
      <c r="N157" s="414"/>
      <c r="O157" s="414"/>
      <c r="P157" s="414"/>
      <c r="Q157" s="414"/>
      <c r="R157" s="403"/>
      <c r="S157" s="414"/>
      <c r="T157" s="414"/>
      <c r="U157" s="414"/>
      <c r="V157" s="414"/>
      <c r="W157" s="404"/>
      <c r="X157" s="414"/>
      <c r="Y157" s="414"/>
      <c r="Z157" s="415"/>
      <c r="AA157" s="414"/>
      <c r="AB157" s="414"/>
      <c r="AC157" s="414"/>
      <c r="AD157" s="414"/>
      <c r="AE157" s="414"/>
      <c r="AF157" s="414"/>
      <c r="AG157" s="414"/>
      <c r="AH157" s="415"/>
      <c r="AI157" s="414"/>
      <c r="AJ157" s="414"/>
      <c r="AK157" s="414"/>
      <c r="AL157" s="414"/>
      <c r="AM157" s="414"/>
      <c r="AN157" s="414"/>
      <c r="AO157" s="414"/>
      <c r="AP157" s="415"/>
      <c r="AQ157" s="414"/>
      <c r="AR157" s="414"/>
      <c r="AS157" s="414"/>
      <c r="AT157" s="414"/>
      <c r="AU157" s="414"/>
      <c r="AV157" s="414"/>
      <c r="AW157" s="414"/>
      <c r="AX157" s="415"/>
      <c r="AY157" s="414"/>
      <c r="AZ157" s="414"/>
      <c r="BA157" s="414"/>
      <c r="BB157" s="414"/>
      <c r="BC157" s="414"/>
      <c r="BD157" s="414"/>
      <c r="BE157" s="404"/>
      <c r="BF157" s="409"/>
      <c r="BG157" s="404"/>
      <c r="BH157" s="404"/>
      <c r="BI157" s="404"/>
      <c r="BJ157" s="404"/>
      <c r="BK157" s="404"/>
      <c r="BL157" s="404"/>
    </row>
    <row r="158" spans="1:64" s="116" customFormat="1" ht="10.15" customHeight="1">
      <c r="A158" s="241"/>
      <c r="B158" s="13"/>
      <c r="C158" s="228"/>
      <c r="D158" s="239"/>
      <c r="E158" s="240"/>
      <c r="F158" s="239"/>
      <c r="G158" s="157"/>
      <c r="H158" s="239"/>
      <c r="I158" s="414"/>
      <c r="J158" s="415"/>
      <c r="K158" s="414"/>
      <c r="L158" s="414"/>
      <c r="M158" s="414"/>
      <c r="N158" s="414"/>
      <c r="O158" s="414"/>
      <c r="P158" s="414"/>
      <c r="Q158" s="414"/>
      <c r="R158" s="403"/>
      <c r="S158" s="414"/>
      <c r="T158" s="414"/>
      <c r="U158" s="414"/>
      <c r="V158" s="414"/>
      <c r="W158" s="404"/>
      <c r="X158" s="414"/>
      <c r="Y158" s="414"/>
      <c r="Z158" s="415"/>
      <c r="AA158" s="414"/>
      <c r="AB158" s="414"/>
      <c r="AC158" s="414"/>
      <c r="AD158" s="414"/>
      <c r="AE158" s="414"/>
      <c r="AF158" s="414"/>
      <c r="AG158" s="414"/>
      <c r="AH158" s="415"/>
      <c r="AI158" s="414"/>
      <c r="AJ158" s="414"/>
      <c r="AK158" s="414"/>
      <c r="AL158" s="414"/>
      <c r="AM158" s="414"/>
      <c r="AN158" s="414"/>
      <c r="AO158" s="414"/>
      <c r="AP158" s="415"/>
      <c r="AQ158" s="414"/>
      <c r="AR158" s="414"/>
      <c r="AS158" s="414"/>
      <c r="AT158" s="414"/>
      <c r="AU158" s="414"/>
      <c r="AV158" s="414"/>
      <c r="AW158" s="414"/>
      <c r="AX158" s="415"/>
      <c r="AY158" s="414"/>
      <c r="AZ158" s="414"/>
      <c r="BA158" s="414"/>
      <c r="BB158" s="414"/>
      <c r="BC158" s="414"/>
      <c r="BD158" s="414"/>
      <c r="BE158" s="404"/>
      <c r="BF158" s="409"/>
      <c r="BG158" s="404"/>
      <c r="BH158" s="404"/>
      <c r="BI158" s="404"/>
      <c r="BJ158" s="404"/>
      <c r="BK158" s="404"/>
      <c r="BL158" s="404"/>
    </row>
    <row r="159" spans="1:64" s="116" customFormat="1" ht="10.15" customHeight="1">
      <c r="A159" s="241"/>
      <c r="B159" s="13"/>
      <c r="C159" s="228"/>
      <c r="D159" s="239"/>
      <c r="E159" s="240"/>
      <c r="F159" s="239"/>
      <c r="G159" s="157"/>
      <c r="H159" s="239"/>
      <c r="I159" s="414"/>
      <c r="J159" s="415"/>
      <c r="K159" s="414"/>
      <c r="L159" s="414"/>
      <c r="M159" s="414"/>
      <c r="N159" s="414"/>
      <c r="O159" s="414"/>
      <c r="P159" s="414"/>
      <c r="Q159" s="414"/>
      <c r="R159" s="403"/>
      <c r="S159" s="414"/>
      <c r="T159" s="414"/>
      <c r="U159" s="414"/>
      <c r="V159" s="414"/>
      <c r="W159" s="404"/>
      <c r="X159" s="414"/>
      <c r="Y159" s="414"/>
      <c r="Z159" s="415"/>
      <c r="AA159" s="414"/>
      <c r="AB159" s="414"/>
      <c r="AC159" s="414"/>
      <c r="AD159" s="414"/>
      <c r="AE159" s="414"/>
      <c r="AF159" s="414"/>
      <c r="AG159" s="414"/>
      <c r="AH159" s="415"/>
      <c r="AI159" s="414"/>
      <c r="AJ159" s="414"/>
      <c r="AK159" s="414"/>
      <c r="AL159" s="414"/>
      <c r="AM159" s="414"/>
      <c r="AN159" s="414"/>
      <c r="AO159" s="414"/>
      <c r="AP159" s="415"/>
      <c r="AQ159" s="414"/>
      <c r="AR159" s="414"/>
      <c r="AS159" s="414"/>
      <c r="AT159" s="414"/>
      <c r="AU159" s="414"/>
      <c r="AV159" s="414"/>
      <c r="AW159" s="414"/>
      <c r="AX159" s="415"/>
      <c r="AY159" s="414"/>
      <c r="AZ159" s="414"/>
      <c r="BA159" s="414"/>
      <c r="BB159" s="414"/>
      <c r="BC159" s="414"/>
      <c r="BD159" s="414"/>
      <c r="BE159" s="404"/>
      <c r="BF159" s="409"/>
      <c r="BG159" s="404"/>
      <c r="BH159" s="404"/>
      <c r="BI159" s="404"/>
      <c r="BJ159" s="404"/>
      <c r="BK159" s="404"/>
      <c r="BL159" s="404"/>
    </row>
    <row r="160" spans="1:64" s="116" customFormat="1" ht="10.15" customHeight="1">
      <c r="A160" s="241"/>
      <c r="B160" s="13"/>
      <c r="C160" s="228"/>
      <c r="D160" s="239"/>
      <c r="E160" s="240"/>
      <c r="F160" s="239"/>
      <c r="G160" s="157"/>
      <c r="H160" s="239"/>
      <c r="I160" s="414"/>
      <c r="J160" s="415"/>
      <c r="K160" s="414"/>
      <c r="L160" s="414"/>
      <c r="M160" s="414"/>
      <c r="N160" s="414"/>
      <c r="O160" s="414"/>
      <c r="P160" s="414"/>
      <c r="Q160" s="414"/>
      <c r="R160" s="403"/>
      <c r="S160" s="414"/>
      <c r="T160" s="414"/>
      <c r="U160" s="414"/>
      <c r="V160" s="414"/>
      <c r="W160" s="404"/>
      <c r="X160" s="414"/>
      <c r="Y160" s="414"/>
      <c r="Z160" s="415"/>
      <c r="AA160" s="414"/>
      <c r="AB160" s="414"/>
      <c r="AC160" s="414"/>
      <c r="AD160" s="414"/>
      <c r="AE160" s="414"/>
      <c r="AF160" s="414"/>
      <c r="AG160" s="414"/>
      <c r="AH160" s="415"/>
      <c r="AI160" s="414"/>
      <c r="AJ160" s="414"/>
      <c r="AK160" s="414"/>
      <c r="AL160" s="414"/>
      <c r="AM160" s="414"/>
      <c r="AN160" s="414"/>
      <c r="AO160" s="414"/>
      <c r="AP160" s="415"/>
      <c r="AQ160" s="414"/>
      <c r="AR160" s="414"/>
      <c r="AS160" s="414"/>
      <c r="AT160" s="414"/>
      <c r="AU160" s="414"/>
      <c r="AV160" s="414"/>
      <c r="AW160" s="414"/>
      <c r="AX160" s="415"/>
      <c r="AY160" s="414"/>
      <c r="AZ160" s="414"/>
      <c r="BA160" s="414"/>
      <c r="BB160" s="414"/>
      <c r="BC160" s="414"/>
      <c r="BD160" s="414"/>
      <c r="BE160" s="404"/>
      <c r="BF160" s="409"/>
      <c r="BG160" s="404"/>
      <c r="BH160" s="404"/>
      <c r="BI160" s="404"/>
      <c r="BJ160" s="404"/>
      <c r="BK160" s="404"/>
      <c r="BL160" s="404"/>
    </row>
    <row r="161" spans="1:64" s="116" customFormat="1" ht="10.15" customHeight="1">
      <c r="A161" s="241"/>
      <c r="B161" s="13"/>
      <c r="C161" s="228"/>
      <c r="D161" s="239"/>
      <c r="E161" s="240"/>
      <c r="F161" s="239"/>
      <c r="G161" s="157"/>
      <c r="H161" s="239"/>
      <c r="I161" s="414"/>
      <c r="J161" s="415"/>
      <c r="K161" s="414"/>
      <c r="L161" s="414"/>
      <c r="M161" s="414"/>
      <c r="N161" s="414"/>
      <c r="O161" s="414"/>
      <c r="P161" s="414"/>
      <c r="Q161" s="414"/>
      <c r="R161" s="403"/>
      <c r="S161" s="414"/>
      <c r="T161" s="414"/>
      <c r="U161" s="414"/>
      <c r="V161" s="414"/>
      <c r="W161" s="404"/>
      <c r="X161" s="414"/>
      <c r="Y161" s="414"/>
      <c r="Z161" s="415"/>
      <c r="AA161" s="414"/>
      <c r="AB161" s="414"/>
      <c r="AC161" s="414"/>
      <c r="AD161" s="414"/>
      <c r="AE161" s="414"/>
      <c r="AF161" s="414"/>
      <c r="AG161" s="414"/>
      <c r="AH161" s="415"/>
      <c r="AI161" s="414"/>
      <c r="AJ161" s="414"/>
      <c r="AK161" s="414"/>
      <c r="AL161" s="414"/>
      <c r="AM161" s="414"/>
      <c r="AN161" s="414"/>
      <c r="AO161" s="414"/>
      <c r="AP161" s="415"/>
      <c r="AQ161" s="414"/>
      <c r="AR161" s="414"/>
      <c r="AS161" s="414"/>
      <c r="AT161" s="414"/>
      <c r="AU161" s="414"/>
      <c r="AV161" s="414"/>
      <c r="AW161" s="414"/>
      <c r="AX161" s="415"/>
      <c r="AY161" s="414"/>
      <c r="AZ161" s="414"/>
      <c r="BA161" s="414"/>
      <c r="BB161" s="414"/>
      <c r="BC161" s="414"/>
      <c r="BD161" s="414"/>
      <c r="BE161" s="414"/>
      <c r="BF161" s="415"/>
      <c r="BG161" s="414"/>
      <c r="BH161" s="414"/>
      <c r="BI161" s="414"/>
      <c r="BJ161" s="414"/>
      <c r="BK161" s="414"/>
      <c r="BL161" s="414"/>
    </row>
    <row r="162" spans="1:64" s="116" customFormat="1" ht="10.15" customHeight="1">
      <c r="A162" s="241"/>
      <c r="B162" s="52"/>
      <c r="G162" s="52"/>
      <c r="I162" s="414"/>
      <c r="J162" s="415"/>
      <c r="K162" s="414"/>
      <c r="L162" s="414"/>
      <c r="M162" s="414"/>
      <c r="N162" s="414"/>
      <c r="O162" s="414"/>
      <c r="P162" s="414"/>
      <c r="Q162" s="414"/>
      <c r="R162" s="403"/>
      <c r="S162" s="414"/>
      <c r="T162" s="414"/>
      <c r="U162" s="414"/>
      <c r="V162" s="414"/>
      <c r="W162" s="404"/>
      <c r="X162" s="414"/>
      <c r="Y162" s="414"/>
      <c r="Z162" s="415"/>
      <c r="AA162" s="414"/>
      <c r="AB162" s="414"/>
      <c r="AC162" s="414"/>
      <c r="AD162" s="414"/>
      <c r="AE162" s="414"/>
      <c r="AF162" s="414"/>
      <c r="AG162" s="414"/>
      <c r="AH162" s="415"/>
      <c r="AI162" s="414"/>
      <c r="AJ162" s="414"/>
      <c r="AK162" s="414"/>
      <c r="AL162" s="414"/>
      <c r="AM162" s="414"/>
      <c r="AN162" s="414"/>
      <c r="AO162" s="414"/>
      <c r="AP162" s="415"/>
      <c r="AQ162" s="414"/>
      <c r="AR162" s="414"/>
      <c r="AS162" s="414"/>
      <c r="AT162" s="414"/>
      <c r="AU162" s="414"/>
      <c r="AV162" s="414"/>
      <c r="AW162" s="414"/>
      <c r="AX162" s="415"/>
      <c r="AY162" s="414"/>
      <c r="AZ162" s="414"/>
      <c r="BA162" s="414"/>
      <c r="BB162" s="414"/>
      <c r="BC162" s="414"/>
      <c r="BD162" s="414"/>
      <c r="BE162" s="414"/>
      <c r="BF162" s="415"/>
      <c r="BG162" s="414"/>
      <c r="BH162" s="414"/>
      <c r="BI162" s="414"/>
      <c r="BJ162" s="414"/>
      <c r="BK162" s="414"/>
      <c r="BL162" s="414"/>
    </row>
    <row r="163" spans="1:64" s="116" customFormat="1" ht="10.15" customHeight="1">
      <c r="B163" s="52"/>
      <c r="G163" s="52"/>
      <c r="I163" s="414"/>
      <c r="J163" s="415"/>
      <c r="K163" s="414"/>
      <c r="L163" s="414"/>
      <c r="M163" s="414"/>
      <c r="N163" s="414"/>
      <c r="O163" s="414"/>
      <c r="P163" s="414"/>
      <c r="Q163" s="414"/>
      <c r="R163" s="403"/>
      <c r="S163" s="414"/>
      <c r="T163" s="414"/>
      <c r="U163" s="414"/>
      <c r="V163" s="414"/>
      <c r="W163" s="404"/>
      <c r="X163" s="414"/>
      <c r="Y163" s="414"/>
      <c r="Z163" s="415"/>
      <c r="AA163" s="414"/>
      <c r="AB163" s="414"/>
      <c r="AC163" s="414"/>
      <c r="AD163" s="414"/>
      <c r="AE163" s="414"/>
      <c r="AF163" s="414"/>
      <c r="AG163" s="414"/>
      <c r="AH163" s="415"/>
      <c r="AI163" s="414"/>
      <c r="AJ163" s="414"/>
      <c r="AK163" s="414"/>
      <c r="AL163" s="414"/>
      <c r="AM163" s="414"/>
      <c r="AN163" s="414"/>
      <c r="AO163" s="414"/>
      <c r="AP163" s="415"/>
      <c r="AQ163" s="414"/>
      <c r="AR163" s="414"/>
      <c r="AS163" s="414"/>
      <c r="AT163" s="414"/>
      <c r="AU163" s="414"/>
      <c r="AV163" s="414"/>
      <c r="AW163" s="414"/>
      <c r="AX163" s="415"/>
      <c r="AY163" s="414"/>
      <c r="AZ163" s="414"/>
      <c r="BA163" s="414"/>
      <c r="BB163" s="414"/>
      <c r="BC163" s="414"/>
      <c r="BD163" s="414"/>
      <c r="BE163" s="414"/>
      <c r="BF163" s="415"/>
      <c r="BG163" s="414"/>
      <c r="BH163" s="414"/>
      <c r="BI163" s="414"/>
      <c r="BJ163" s="414"/>
      <c r="BK163" s="414"/>
      <c r="BL163" s="414"/>
    </row>
    <row r="164" spans="1:64" s="116" customFormat="1" ht="10.15" customHeight="1">
      <c r="A164" s="241"/>
      <c r="B164" s="52"/>
      <c r="G164" s="52"/>
      <c r="I164" s="414"/>
      <c r="J164" s="415"/>
      <c r="K164" s="414"/>
      <c r="L164" s="414"/>
      <c r="M164" s="414"/>
      <c r="N164" s="414"/>
      <c r="O164" s="414"/>
      <c r="P164" s="414"/>
      <c r="Q164" s="414"/>
      <c r="R164" s="403"/>
      <c r="S164" s="414"/>
      <c r="T164" s="414"/>
      <c r="U164" s="414"/>
      <c r="V164" s="414"/>
      <c r="W164" s="404"/>
      <c r="X164" s="414"/>
      <c r="Y164" s="414"/>
      <c r="Z164" s="415"/>
      <c r="AA164" s="414"/>
      <c r="AB164" s="414"/>
      <c r="AC164" s="414"/>
      <c r="AD164" s="414"/>
      <c r="AE164" s="414"/>
      <c r="AF164" s="414"/>
      <c r="AG164" s="414"/>
      <c r="AH164" s="415"/>
      <c r="AI164" s="414"/>
      <c r="AJ164" s="414"/>
      <c r="AK164" s="414"/>
      <c r="AL164" s="414"/>
      <c r="AM164" s="414"/>
      <c r="AN164" s="414"/>
      <c r="AO164" s="414"/>
      <c r="AP164" s="415"/>
      <c r="AQ164" s="414"/>
      <c r="AR164" s="414"/>
      <c r="AS164" s="414"/>
      <c r="AT164" s="414"/>
      <c r="AU164" s="414"/>
      <c r="AV164" s="414"/>
      <c r="AW164" s="414"/>
      <c r="AX164" s="415"/>
      <c r="AY164" s="414"/>
      <c r="AZ164" s="414"/>
      <c r="BA164" s="414"/>
      <c r="BB164" s="414"/>
      <c r="BC164" s="414"/>
      <c r="BD164" s="414"/>
      <c r="BE164" s="414"/>
      <c r="BF164" s="415"/>
      <c r="BG164" s="414"/>
      <c r="BH164" s="414"/>
      <c r="BI164" s="414"/>
      <c r="BJ164" s="414"/>
      <c r="BK164" s="414"/>
      <c r="BL164" s="414"/>
    </row>
    <row r="165" spans="1:64" s="116" customFormat="1" ht="10.15" customHeight="1">
      <c r="A165" s="241"/>
      <c r="B165" s="52"/>
      <c r="G165" s="52"/>
      <c r="I165" s="414"/>
      <c r="J165" s="415"/>
      <c r="K165" s="414"/>
      <c r="L165" s="414"/>
      <c r="M165" s="414"/>
      <c r="N165" s="414"/>
      <c r="O165" s="414"/>
      <c r="P165" s="414"/>
      <c r="Q165" s="414"/>
      <c r="R165" s="403"/>
      <c r="S165" s="414"/>
      <c r="T165" s="414"/>
      <c r="U165" s="414"/>
      <c r="V165" s="414"/>
      <c r="W165" s="404"/>
      <c r="X165" s="414"/>
      <c r="Y165" s="414"/>
      <c r="Z165" s="415"/>
      <c r="AA165" s="414"/>
      <c r="AB165" s="414"/>
      <c r="AC165" s="414"/>
      <c r="AD165" s="414"/>
      <c r="AE165" s="414"/>
      <c r="AF165" s="414"/>
      <c r="AG165" s="414"/>
      <c r="AH165" s="415"/>
      <c r="AI165" s="414"/>
      <c r="AJ165" s="414"/>
      <c r="AK165" s="414"/>
      <c r="AL165" s="414"/>
      <c r="AM165" s="414"/>
      <c r="AN165" s="414"/>
      <c r="AO165" s="414"/>
      <c r="AP165" s="415"/>
      <c r="AQ165" s="414"/>
      <c r="AR165" s="414"/>
      <c r="AS165" s="414"/>
      <c r="AT165" s="414"/>
      <c r="AU165" s="414"/>
      <c r="AV165" s="414"/>
      <c r="AW165" s="414"/>
      <c r="AX165" s="415"/>
      <c r="AY165" s="414"/>
      <c r="AZ165" s="414"/>
      <c r="BA165" s="414"/>
      <c r="BB165" s="414"/>
      <c r="BC165" s="414"/>
      <c r="BD165" s="414"/>
      <c r="BE165" s="414"/>
      <c r="BF165" s="415"/>
      <c r="BG165" s="414"/>
      <c r="BH165" s="414"/>
      <c r="BI165" s="414"/>
      <c r="BJ165" s="414"/>
      <c r="BK165" s="414"/>
      <c r="BL165" s="414"/>
    </row>
    <row r="166" spans="1:64" s="116" customFormat="1" ht="10.15" customHeight="1">
      <c r="A166" s="242"/>
      <c r="B166" s="52"/>
      <c r="G166" s="52"/>
      <c r="I166" s="414"/>
      <c r="J166" s="415"/>
      <c r="K166" s="414"/>
      <c r="L166" s="414"/>
      <c r="M166" s="414"/>
      <c r="N166" s="414"/>
      <c r="O166" s="414"/>
      <c r="P166" s="414"/>
      <c r="Q166" s="414"/>
      <c r="R166" s="403"/>
      <c r="S166" s="414"/>
      <c r="T166" s="414"/>
      <c r="U166" s="414"/>
      <c r="V166" s="414"/>
      <c r="W166" s="404"/>
      <c r="X166" s="414"/>
      <c r="Y166" s="414"/>
      <c r="Z166" s="415"/>
      <c r="AA166" s="414"/>
      <c r="AB166" s="414"/>
      <c r="AC166" s="414"/>
      <c r="AD166" s="414"/>
      <c r="AE166" s="414"/>
      <c r="AF166" s="414"/>
      <c r="AG166" s="414"/>
      <c r="AH166" s="415"/>
      <c r="AI166" s="414"/>
      <c r="AJ166" s="414"/>
      <c r="AK166" s="414"/>
      <c r="AL166" s="414"/>
      <c r="AM166" s="414"/>
      <c r="AN166" s="414"/>
      <c r="AO166" s="414"/>
      <c r="AP166" s="415"/>
      <c r="AQ166" s="414"/>
      <c r="AR166" s="414"/>
      <c r="AS166" s="414"/>
      <c r="AT166" s="414"/>
      <c r="AU166" s="414"/>
      <c r="AV166" s="414"/>
      <c r="AW166" s="416"/>
      <c r="AX166" s="415"/>
      <c r="AY166" s="414"/>
      <c r="AZ166" s="414"/>
      <c r="BA166" s="414"/>
      <c r="BB166" s="414"/>
      <c r="BC166" s="414"/>
      <c r="BD166" s="414"/>
      <c r="BE166" s="414"/>
      <c r="BF166" s="415"/>
      <c r="BG166" s="414"/>
      <c r="BH166" s="414"/>
      <c r="BI166" s="414"/>
      <c r="BJ166" s="414"/>
      <c r="BK166" s="414"/>
      <c r="BL166" s="414"/>
    </row>
    <row r="167" spans="1:64" s="116" customFormat="1" ht="10.15" customHeight="1">
      <c r="A167" s="242"/>
      <c r="B167" s="52"/>
      <c r="G167" s="52"/>
      <c r="I167" s="414"/>
      <c r="J167" s="415"/>
      <c r="K167" s="414"/>
      <c r="L167" s="414"/>
      <c r="M167" s="414"/>
      <c r="N167" s="414"/>
      <c r="O167" s="414"/>
      <c r="P167" s="414"/>
      <c r="Q167" s="414"/>
      <c r="R167" s="403"/>
      <c r="S167" s="414"/>
      <c r="T167" s="414"/>
      <c r="U167" s="414"/>
      <c r="V167" s="414"/>
      <c r="W167" s="404"/>
      <c r="X167" s="414"/>
      <c r="Y167" s="414"/>
      <c r="Z167" s="415"/>
      <c r="AA167" s="414"/>
      <c r="AB167" s="414"/>
      <c r="AC167" s="414"/>
      <c r="AD167" s="414"/>
      <c r="AE167" s="414"/>
      <c r="AF167" s="414"/>
      <c r="AG167" s="414"/>
      <c r="AH167" s="415"/>
      <c r="AI167" s="414"/>
      <c r="AJ167" s="414"/>
      <c r="AK167" s="414"/>
      <c r="AL167" s="414"/>
      <c r="AM167" s="414"/>
      <c r="AN167" s="414"/>
      <c r="AO167" s="414"/>
      <c r="AP167" s="415"/>
      <c r="AQ167" s="414"/>
      <c r="AR167" s="414"/>
      <c r="AS167" s="414"/>
      <c r="AT167" s="414"/>
      <c r="AU167" s="414"/>
      <c r="AV167" s="414"/>
      <c r="AW167" s="414"/>
      <c r="AX167" s="417"/>
      <c r="AY167" s="416"/>
      <c r="AZ167" s="416"/>
      <c r="BA167" s="416"/>
      <c r="BB167" s="416"/>
      <c r="BC167" s="416"/>
      <c r="BD167" s="416"/>
      <c r="BE167" s="414"/>
      <c r="BF167" s="415"/>
      <c r="BG167" s="414"/>
      <c r="BH167" s="414"/>
      <c r="BI167" s="414"/>
      <c r="BJ167" s="414"/>
      <c r="BK167" s="414"/>
      <c r="BL167" s="414"/>
    </row>
    <row r="168" spans="1:64" s="242" customFormat="1" ht="10.15" customHeight="1">
      <c r="B168" s="60"/>
      <c r="G168" s="60"/>
      <c r="I168" s="416"/>
      <c r="J168" s="417"/>
      <c r="K168" s="416"/>
      <c r="L168" s="416"/>
      <c r="M168" s="416"/>
      <c r="N168" s="416"/>
      <c r="O168" s="416"/>
      <c r="P168" s="416"/>
      <c r="Q168" s="416"/>
      <c r="R168" s="402"/>
      <c r="S168" s="416"/>
      <c r="T168" s="416"/>
      <c r="U168" s="416"/>
      <c r="V168" s="416"/>
      <c r="W168" s="418"/>
      <c r="X168" s="416"/>
      <c r="Y168" s="416"/>
      <c r="Z168" s="417"/>
      <c r="AA168" s="416"/>
      <c r="AB168" s="416"/>
      <c r="AC168" s="416"/>
      <c r="AD168" s="416"/>
      <c r="AE168" s="416"/>
      <c r="AF168" s="416"/>
      <c r="AG168" s="416"/>
      <c r="AH168" s="417"/>
      <c r="AI168" s="416"/>
      <c r="AJ168" s="416"/>
      <c r="AK168" s="416"/>
      <c r="AL168" s="416"/>
      <c r="AM168" s="416"/>
      <c r="AN168" s="416"/>
      <c r="AO168" s="416"/>
      <c r="AP168" s="417"/>
      <c r="AQ168" s="416"/>
      <c r="AR168" s="416"/>
      <c r="AS168" s="416"/>
      <c r="AT168" s="416"/>
      <c r="AU168" s="416"/>
      <c r="AV168" s="416"/>
      <c r="AW168" s="416"/>
      <c r="AX168" s="415"/>
      <c r="AY168" s="414"/>
      <c r="AZ168" s="414"/>
      <c r="BA168" s="414"/>
      <c r="BB168" s="414"/>
      <c r="BC168" s="414"/>
      <c r="BD168" s="414"/>
      <c r="BE168" s="414"/>
      <c r="BF168" s="415"/>
      <c r="BG168" s="414"/>
      <c r="BH168" s="414"/>
      <c r="BI168" s="414"/>
      <c r="BJ168" s="414"/>
      <c r="BK168" s="414"/>
      <c r="BL168" s="414"/>
    </row>
    <row r="169" spans="1:64" s="116" customFormat="1" ht="10.15" customHeight="1">
      <c r="B169" s="52"/>
      <c r="G169" s="52"/>
      <c r="I169" s="414"/>
      <c r="J169" s="415"/>
      <c r="K169" s="414"/>
      <c r="L169" s="414"/>
      <c r="M169" s="414"/>
      <c r="N169" s="414"/>
      <c r="O169" s="414"/>
      <c r="P169" s="414"/>
      <c r="Q169" s="414"/>
      <c r="R169" s="403"/>
      <c r="S169" s="414"/>
      <c r="T169" s="414"/>
      <c r="U169" s="414"/>
      <c r="V169" s="414"/>
      <c r="W169" s="404"/>
      <c r="X169" s="414"/>
      <c r="Y169" s="414"/>
      <c r="Z169" s="415"/>
      <c r="AA169" s="414"/>
      <c r="AB169" s="414"/>
      <c r="AC169" s="414"/>
      <c r="AD169" s="414"/>
      <c r="AE169" s="414"/>
      <c r="AF169" s="414"/>
      <c r="AG169" s="414"/>
      <c r="AH169" s="415"/>
      <c r="AI169" s="414"/>
      <c r="AJ169" s="414"/>
      <c r="AK169" s="414"/>
      <c r="AL169" s="414"/>
      <c r="AM169" s="414"/>
      <c r="AN169" s="414"/>
      <c r="AO169" s="414"/>
      <c r="AP169" s="415"/>
      <c r="AQ169" s="414"/>
      <c r="AR169" s="414"/>
      <c r="AS169" s="414"/>
      <c r="AT169" s="414"/>
      <c r="AU169" s="414"/>
      <c r="AV169" s="414"/>
      <c r="AW169" s="414"/>
      <c r="AX169" s="417"/>
      <c r="AY169" s="416"/>
      <c r="AZ169" s="416"/>
      <c r="BA169" s="416"/>
      <c r="BB169" s="416"/>
      <c r="BC169" s="416"/>
      <c r="BD169" s="416"/>
      <c r="BE169" s="414"/>
      <c r="BF169" s="415"/>
      <c r="BG169" s="414"/>
      <c r="BH169" s="414"/>
      <c r="BI169" s="414"/>
      <c r="BJ169" s="414"/>
      <c r="BK169" s="414"/>
      <c r="BL169" s="414"/>
    </row>
    <row r="170" spans="1:64" s="242" customFormat="1" ht="10.15" customHeight="1">
      <c r="B170" s="60"/>
      <c r="G170" s="60"/>
      <c r="I170" s="416"/>
      <c r="J170" s="417"/>
      <c r="K170" s="416"/>
      <c r="L170" s="416"/>
      <c r="M170" s="416"/>
      <c r="N170" s="416"/>
      <c r="O170" s="416"/>
      <c r="P170" s="416"/>
      <c r="Q170" s="416"/>
      <c r="R170" s="402"/>
      <c r="S170" s="416"/>
      <c r="T170" s="416"/>
      <c r="U170" s="416"/>
      <c r="V170" s="416"/>
      <c r="W170" s="418"/>
      <c r="X170" s="416"/>
      <c r="Y170" s="416"/>
      <c r="Z170" s="417"/>
      <c r="AA170" s="416"/>
      <c r="AB170" s="416"/>
      <c r="AC170" s="416"/>
      <c r="AD170" s="416"/>
      <c r="AE170" s="416"/>
      <c r="AF170" s="416"/>
      <c r="AG170" s="416"/>
      <c r="AH170" s="417"/>
      <c r="AI170" s="416"/>
      <c r="AJ170" s="416"/>
      <c r="AK170" s="416"/>
      <c r="AL170" s="416"/>
      <c r="AM170" s="416"/>
      <c r="AN170" s="416"/>
      <c r="AO170" s="416"/>
      <c r="AP170" s="417"/>
      <c r="AQ170" s="416"/>
      <c r="AR170" s="416"/>
      <c r="AS170" s="416"/>
      <c r="AT170" s="416"/>
      <c r="AU170" s="416"/>
      <c r="AV170" s="416"/>
      <c r="AW170" s="414"/>
      <c r="AX170" s="415"/>
      <c r="AY170" s="414"/>
      <c r="AZ170" s="414"/>
      <c r="BA170" s="414"/>
      <c r="BB170" s="414"/>
      <c r="BC170" s="414"/>
      <c r="BD170" s="414"/>
      <c r="BE170" s="414"/>
      <c r="BF170" s="415"/>
      <c r="BG170" s="414"/>
      <c r="BH170" s="414"/>
      <c r="BI170" s="414"/>
      <c r="BJ170" s="414"/>
      <c r="BK170" s="414"/>
      <c r="BL170" s="414"/>
    </row>
    <row r="171" spans="1:64" s="116" customFormat="1" ht="10.15" customHeight="1">
      <c r="B171" s="52"/>
      <c r="G171" s="52"/>
      <c r="I171" s="414"/>
      <c r="J171" s="415"/>
      <c r="K171" s="414"/>
      <c r="L171" s="414"/>
      <c r="M171" s="414"/>
      <c r="N171" s="414"/>
      <c r="O171" s="414"/>
      <c r="P171" s="414"/>
      <c r="Q171" s="414"/>
      <c r="R171" s="403"/>
      <c r="S171" s="414"/>
      <c r="T171" s="414"/>
      <c r="U171" s="414"/>
      <c r="V171" s="414"/>
      <c r="W171" s="404"/>
      <c r="X171" s="414"/>
      <c r="Y171" s="414"/>
      <c r="Z171" s="415"/>
      <c r="AA171" s="414"/>
      <c r="AB171" s="414"/>
      <c r="AC171" s="414"/>
      <c r="AD171" s="414"/>
      <c r="AE171" s="414"/>
      <c r="AF171" s="414"/>
      <c r="AG171" s="414"/>
      <c r="AH171" s="415"/>
      <c r="AI171" s="414"/>
      <c r="AJ171" s="414"/>
      <c r="AK171" s="414"/>
      <c r="AL171" s="414"/>
      <c r="AM171" s="414"/>
      <c r="AN171" s="414"/>
      <c r="AO171" s="414"/>
      <c r="AP171" s="415"/>
      <c r="AQ171" s="414"/>
      <c r="AR171" s="414"/>
      <c r="AS171" s="414"/>
      <c r="AT171" s="414"/>
      <c r="AU171" s="414"/>
      <c r="AV171" s="414"/>
      <c r="AW171" s="414"/>
      <c r="AX171" s="415"/>
      <c r="AY171" s="414"/>
      <c r="AZ171" s="414"/>
      <c r="BA171" s="414"/>
      <c r="BB171" s="414"/>
      <c r="BC171" s="414"/>
      <c r="BD171" s="414"/>
      <c r="BE171" s="414"/>
      <c r="BF171" s="415"/>
      <c r="BG171" s="414"/>
      <c r="BH171" s="414"/>
      <c r="BI171" s="414"/>
      <c r="BJ171" s="414"/>
      <c r="BK171" s="414"/>
      <c r="BL171" s="414"/>
    </row>
    <row r="172" spans="1:64" s="116" customFormat="1" ht="10.15" customHeight="1">
      <c r="B172" s="52"/>
      <c r="D172" s="51"/>
      <c r="E172" s="51"/>
      <c r="G172" s="52"/>
      <c r="I172" s="414"/>
      <c r="J172" s="415"/>
      <c r="K172" s="414"/>
      <c r="L172" s="414"/>
      <c r="M172" s="414"/>
      <c r="N172" s="414"/>
      <c r="O172" s="414"/>
      <c r="P172" s="414"/>
      <c r="Q172" s="414"/>
      <c r="R172" s="403"/>
      <c r="S172" s="414"/>
      <c r="T172" s="414"/>
      <c r="U172" s="414"/>
      <c r="V172" s="414"/>
      <c r="W172" s="404"/>
      <c r="X172" s="414"/>
      <c r="Y172" s="414"/>
      <c r="Z172" s="415"/>
      <c r="AA172" s="414"/>
      <c r="AB172" s="414"/>
      <c r="AC172" s="414"/>
      <c r="AD172" s="414"/>
      <c r="AE172" s="414"/>
      <c r="AF172" s="414"/>
      <c r="AG172" s="414"/>
      <c r="AH172" s="415"/>
      <c r="AI172" s="414"/>
      <c r="AJ172" s="414"/>
      <c r="AK172" s="414"/>
      <c r="AL172" s="414"/>
      <c r="AM172" s="414"/>
      <c r="AN172" s="414"/>
      <c r="AO172" s="414"/>
      <c r="AP172" s="415"/>
      <c r="AQ172" s="414"/>
      <c r="AR172" s="414"/>
      <c r="AS172" s="414"/>
      <c r="AT172" s="414"/>
      <c r="AU172" s="414"/>
      <c r="AV172" s="414"/>
      <c r="AW172" s="414"/>
      <c r="AX172" s="415"/>
      <c r="AY172" s="414"/>
      <c r="AZ172" s="414"/>
      <c r="BA172" s="414"/>
      <c r="BB172" s="414"/>
      <c r="BC172" s="414"/>
      <c r="BD172" s="414"/>
      <c r="BE172" s="416"/>
      <c r="BF172" s="417"/>
      <c r="BG172" s="416"/>
      <c r="BH172" s="416"/>
      <c r="BI172" s="416"/>
      <c r="BJ172" s="416"/>
      <c r="BK172" s="416"/>
      <c r="BL172" s="416"/>
    </row>
    <row r="173" spans="1:64" s="116" customFormat="1" ht="10.15" customHeight="1">
      <c r="A173" s="242"/>
      <c r="B173" s="52"/>
      <c r="G173" s="52"/>
      <c r="I173" s="414"/>
      <c r="J173" s="415"/>
      <c r="K173" s="414"/>
      <c r="L173" s="414"/>
      <c r="M173" s="414"/>
      <c r="N173" s="414"/>
      <c r="O173" s="414"/>
      <c r="P173" s="414"/>
      <c r="Q173" s="414"/>
      <c r="R173" s="403"/>
      <c r="S173" s="414"/>
      <c r="T173" s="414"/>
      <c r="U173" s="414"/>
      <c r="V173" s="414"/>
      <c r="W173" s="404"/>
      <c r="X173" s="414"/>
      <c r="Y173" s="414"/>
      <c r="Z173" s="415"/>
      <c r="AA173" s="414"/>
      <c r="AB173" s="414"/>
      <c r="AC173" s="414"/>
      <c r="AD173" s="414"/>
      <c r="AE173" s="414"/>
      <c r="AF173" s="414"/>
      <c r="AG173" s="414"/>
      <c r="AH173" s="415"/>
      <c r="AI173" s="414"/>
      <c r="AJ173" s="414"/>
      <c r="AK173" s="414"/>
      <c r="AL173" s="414"/>
      <c r="AM173" s="414"/>
      <c r="AN173" s="414"/>
      <c r="AO173" s="414"/>
      <c r="AP173" s="415"/>
      <c r="AQ173" s="414"/>
      <c r="AR173" s="414"/>
      <c r="AS173" s="414"/>
      <c r="AT173" s="414"/>
      <c r="AU173" s="414"/>
      <c r="AV173" s="414"/>
      <c r="AW173" s="254"/>
      <c r="AX173" s="415"/>
      <c r="AY173" s="414"/>
      <c r="AZ173" s="414"/>
      <c r="BA173" s="414"/>
      <c r="BB173" s="414"/>
      <c r="BC173" s="414"/>
      <c r="BD173" s="414"/>
      <c r="BE173" s="414"/>
      <c r="BF173" s="415"/>
      <c r="BG173" s="414"/>
      <c r="BH173" s="414"/>
      <c r="BI173" s="414"/>
      <c r="BJ173" s="414"/>
      <c r="BK173" s="414"/>
      <c r="BL173" s="414"/>
    </row>
    <row r="174" spans="1:64" s="116" customFormat="1" ht="10.15" customHeight="1">
      <c r="B174" s="52"/>
      <c r="G174" s="52"/>
      <c r="I174" s="414"/>
      <c r="J174" s="415"/>
      <c r="K174" s="414"/>
      <c r="L174" s="414"/>
      <c r="M174" s="414"/>
      <c r="N174" s="414"/>
      <c r="O174" s="414"/>
      <c r="P174" s="414"/>
      <c r="Q174" s="414"/>
      <c r="R174" s="403"/>
      <c r="S174" s="414"/>
      <c r="T174" s="414"/>
      <c r="U174" s="414"/>
      <c r="V174" s="414"/>
      <c r="W174" s="404"/>
      <c r="X174" s="414"/>
      <c r="Y174" s="414"/>
      <c r="Z174" s="415"/>
      <c r="AA174" s="414"/>
      <c r="AB174" s="414"/>
      <c r="AC174" s="414"/>
      <c r="AD174" s="414"/>
      <c r="AE174" s="414"/>
      <c r="AF174" s="414"/>
      <c r="AG174" s="414"/>
      <c r="AH174" s="415"/>
      <c r="AI174" s="414"/>
      <c r="AJ174" s="414"/>
      <c r="AK174" s="414"/>
      <c r="AL174" s="414"/>
      <c r="AM174" s="414"/>
      <c r="AN174" s="414"/>
      <c r="AO174" s="414"/>
      <c r="AP174" s="415"/>
      <c r="AQ174" s="414"/>
      <c r="AR174" s="414"/>
      <c r="AS174" s="414"/>
      <c r="AT174" s="414"/>
      <c r="AU174" s="414"/>
      <c r="AV174" s="414"/>
      <c r="AW174" s="254"/>
      <c r="AX174" s="405"/>
      <c r="AY174" s="254"/>
      <c r="AZ174" s="254"/>
      <c r="BA174" s="254"/>
      <c r="BB174" s="254"/>
      <c r="BC174" s="254"/>
      <c r="BD174" s="254"/>
      <c r="BE174" s="416"/>
      <c r="BF174" s="417"/>
      <c r="BG174" s="416"/>
      <c r="BH174" s="416"/>
      <c r="BI174" s="416"/>
      <c r="BJ174" s="416"/>
      <c r="BK174" s="416"/>
      <c r="BL174" s="416"/>
    </row>
    <row r="175" spans="1:64" ht="10.15" customHeight="1">
      <c r="BE175" s="414"/>
      <c r="BF175" s="415"/>
      <c r="BG175" s="414"/>
      <c r="BH175" s="414"/>
      <c r="BI175" s="414"/>
      <c r="BJ175" s="414"/>
      <c r="BK175" s="414"/>
      <c r="BL175" s="414"/>
    </row>
    <row r="176" spans="1:64" ht="10.15" customHeight="1">
      <c r="BE176" s="414"/>
      <c r="BF176" s="415"/>
      <c r="BG176" s="414"/>
      <c r="BH176" s="414"/>
      <c r="BI176" s="414"/>
      <c r="BJ176" s="414"/>
      <c r="BK176" s="414"/>
      <c r="BL176" s="414"/>
    </row>
    <row r="177" spans="2:64" ht="10.15" customHeight="1">
      <c r="AW177" s="338"/>
      <c r="BE177" s="414"/>
      <c r="BF177" s="415"/>
      <c r="BG177" s="414"/>
      <c r="BH177" s="414"/>
      <c r="BI177" s="414"/>
      <c r="BJ177" s="414"/>
      <c r="BK177" s="414"/>
      <c r="BL177" s="414"/>
    </row>
    <row r="178" spans="2:64" ht="10.15" customHeight="1">
      <c r="Q178" s="382"/>
      <c r="R178" s="419"/>
      <c r="S178" s="362"/>
      <c r="AW178" s="338"/>
      <c r="AX178" s="403"/>
      <c r="AY178" s="338"/>
      <c r="AZ178" s="338"/>
      <c r="BA178" s="338"/>
      <c r="BB178" s="338"/>
      <c r="BC178" s="338"/>
      <c r="BD178" s="338"/>
      <c r="BE178" s="414"/>
      <c r="BF178" s="415"/>
      <c r="BG178" s="414"/>
      <c r="BH178" s="414"/>
      <c r="BI178" s="414"/>
      <c r="BJ178" s="414"/>
      <c r="BK178" s="414"/>
      <c r="BL178" s="414"/>
    </row>
    <row r="179" spans="2:64" s="44" customFormat="1" ht="10.15" customHeight="1">
      <c r="B179" s="52"/>
      <c r="G179" s="52"/>
      <c r="I179" s="338"/>
      <c r="J179" s="403"/>
      <c r="K179" s="338"/>
      <c r="L179" s="338"/>
      <c r="M179" s="338"/>
      <c r="N179" s="338"/>
      <c r="O179" s="338"/>
      <c r="P179" s="338"/>
      <c r="Q179" s="397"/>
      <c r="R179" s="403"/>
      <c r="S179" s="338"/>
      <c r="T179" s="338"/>
      <c r="U179" s="338"/>
      <c r="V179" s="338"/>
      <c r="W179" s="404"/>
      <c r="X179" s="338"/>
      <c r="Y179" s="338"/>
      <c r="Z179" s="403"/>
      <c r="AA179" s="338"/>
      <c r="AB179" s="338"/>
      <c r="AC179" s="338"/>
      <c r="AD179" s="338"/>
      <c r="AE179" s="338"/>
      <c r="AF179" s="338"/>
      <c r="AG179" s="338"/>
      <c r="AH179" s="403"/>
      <c r="AI179" s="338"/>
      <c r="AJ179" s="338"/>
      <c r="AK179" s="338"/>
      <c r="AL179" s="338"/>
      <c r="AM179" s="338"/>
      <c r="AN179" s="338"/>
      <c r="AO179" s="338"/>
      <c r="AP179" s="403"/>
      <c r="AQ179" s="338"/>
      <c r="AR179" s="338"/>
      <c r="AS179" s="338"/>
      <c r="AT179" s="338"/>
      <c r="AU179" s="338"/>
      <c r="AV179" s="338"/>
      <c r="AW179" s="338"/>
      <c r="AX179" s="403"/>
      <c r="AY179" s="338"/>
      <c r="AZ179" s="338"/>
      <c r="BA179" s="338"/>
      <c r="BB179" s="338"/>
      <c r="BC179" s="338"/>
      <c r="BD179" s="338"/>
      <c r="BE179" s="254"/>
      <c r="BF179" s="405"/>
      <c r="BG179" s="254"/>
      <c r="BH179" s="254"/>
      <c r="BI179" s="254"/>
      <c r="BJ179" s="254"/>
      <c r="BK179" s="254"/>
      <c r="BL179" s="254"/>
    </row>
    <row r="180" spans="2:64" s="44" customFormat="1" ht="9.9499999999999993" customHeight="1">
      <c r="B180" s="52"/>
      <c r="G180" s="52"/>
      <c r="I180" s="338"/>
      <c r="J180" s="403"/>
      <c r="K180" s="338"/>
      <c r="L180" s="338"/>
      <c r="M180" s="338"/>
      <c r="N180" s="338"/>
      <c r="O180" s="338"/>
      <c r="P180" s="338"/>
      <c r="Q180" s="397"/>
      <c r="R180" s="419"/>
      <c r="S180" s="390"/>
      <c r="T180" s="420"/>
      <c r="U180" s="421"/>
      <c r="V180" s="420"/>
      <c r="W180" s="383"/>
      <c r="X180" s="420"/>
      <c r="Y180" s="269"/>
      <c r="Z180" s="402"/>
      <c r="AA180" s="269"/>
      <c r="AB180" s="338"/>
      <c r="AC180" s="338"/>
      <c r="AD180" s="338"/>
      <c r="AE180" s="338"/>
      <c r="AF180" s="338"/>
      <c r="AG180" s="338"/>
      <c r="AH180" s="403"/>
      <c r="AI180" s="338"/>
      <c r="AJ180" s="338"/>
      <c r="AK180" s="338"/>
      <c r="AL180" s="338"/>
      <c r="AM180" s="338"/>
      <c r="AN180" s="338"/>
      <c r="AO180" s="338"/>
      <c r="AP180" s="403"/>
      <c r="AQ180" s="338"/>
      <c r="AR180" s="338"/>
      <c r="AS180" s="338"/>
      <c r="AT180" s="338"/>
      <c r="AU180" s="338"/>
      <c r="AV180" s="338"/>
      <c r="AW180" s="338"/>
      <c r="AX180" s="403"/>
      <c r="AY180" s="338"/>
      <c r="AZ180" s="338"/>
      <c r="BA180" s="338"/>
      <c r="BB180" s="338"/>
      <c r="BC180" s="338"/>
      <c r="BD180" s="338"/>
      <c r="BE180" s="254"/>
      <c r="BF180" s="405"/>
      <c r="BG180" s="254"/>
      <c r="BH180" s="254"/>
      <c r="BI180" s="254"/>
      <c r="BJ180" s="254"/>
      <c r="BK180" s="254"/>
      <c r="BL180" s="254"/>
    </row>
    <row r="181" spans="2:64" s="44" customFormat="1" ht="9.9499999999999993" customHeight="1">
      <c r="B181" s="52"/>
      <c r="G181" s="52"/>
      <c r="I181" s="338"/>
      <c r="J181" s="403"/>
      <c r="K181" s="338"/>
      <c r="L181" s="338"/>
      <c r="M181" s="338"/>
      <c r="N181" s="338"/>
      <c r="O181" s="338"/>
      <c r="P181" s="338"/>
      <c r="Q181" s="397"/>
      <c r="R181" s="422"/>
      <c r="S181" s="390"/>
      <c r="T181" s="269"/>
      <c r="U181" s="269"/>
      <c r="V181" s="269"/>
      <c r="W181" s="418"/>
      <c r="X181" s="269"/>
      <c r="Y181" s="269"/>
      <c r="Z181" s="402"/>
      <c r="AA181" s="269"/>
      <c r="AB181" s="338"/>
      <c r="AC181" s="338"/>
      <c r="AD181" s="338"/>
      <c r="AE181" s="338"/>
      <c r="AF181" s="338"/>
      <c r="AG181" s="338"/>
      <c r="AH181" s="403"/>
      <c r="AI181" s="338"/>
      <c r="AJ181" s="338"/>
      <c r="AK181" s="338"/>
      <c r="AL181" s="338"/>
      <c r="AM181" s="338"/>
      <c r="AN181" s="338"/>
      <c r="AO181" s="338"/>
      <c r="AP181" s="403"/>
      <c r="AQ181" s="338"/>
      <c r="AR181" s="338"/>
      <c r="AS181" s="338"/>
      <c r="AT181" s="338"/>
      <c r="AU181" s="338"/>
      <c r="AV181" s="338"/>
      <c r="AW181" s="338"/>
      <c r="AX181" s="403"/>
      <c r="AY181" s="338"/>
      <c r="AZ181" s="338"/>
      <c r="BA181" s="338"/>
      <c r="BB181" s="338"/>
      <c r="BC181" s="338"/>
      <c r="BD181" s="338"/>
      <c r="BE181" s="254"/>
      <c r="BF181" s="405"/>
      <c r="BG181" s="254"/>
      <c r="BH181" s="254"/>
      <c r="BI181" s="254"/>
      <c r="BJ181" s="254"/>
      <c r="BK181" s="254"/>
      <c r="BL181" s="254"/>
    </row>
    <row r="182" spans="2:64" s="44" customFormat="1" ht="9.9499999999999993" customHeight="1">
      <c r="B182" s="52"/>
      <c r="G182" s="52"/>
      <c r="I182" s="338"/>
      <c r="J182" s="403"/>
      <c r="K182" s="338"/>
      <c r="L182" s="338"/>
      <c r="M182" s="338"/>
      <c r="N182" s="338"/>
      <c r="O182" s="338"/>
      <c r="P182" s="338"/>
      <c r="Q182" s="397"/>
      <c r="R182" s="419"/>
      <c r="S182" s="390"/>
      <c r="T182" s="420"/>
      <c r="U182" s="421"/>
      <c r="V182" s="420"/>
      <c r="W182" s="383"/>
      <c r="X182" s="420"/>
      <c r="Y182" s="269"/>
      <c r="Z182" s="402"/>
      <c r="AA182" s="269"/>
      <c r="AB182" s="338"/>
      <c r="AC182" s="338"/>
      <c r="AD182" s="338"/>
      <c r="AE182" s="338"/>
      <c r="AF182" s="338"/>
      <c r="AG182" s="338"/>
      <c r="AH182" s="403"/>
      <c r="AI182" s="338"/>
      <c r="AJ182" s="338"/>
      <c r="AK182" s="338"/>
      <c r="AL182" s="338"/>
      <c r="AM182" s="338"/>
      <c r="AN182" s="338"/>
      <c r="AO182" s="338"/>
      <c r="AP182" s="403"/>
      <c r="AQ182" s="338"/>
      <c r="AR182" s="338"/>
      <c r="AS182" s="338"/>
      <c r="AT182" s="338"/>
      <c r="AU182" s="338"/>
      <c r="AV182" s="338"/>
      <c r="AW182" s="338"/>
      <c r="AX182" s="403"/>
      <c r="AY182" s="338"/>
      <c r="AZ182" s="338"/>
      <c r="BA182" s="338"/>
      <c r="BB182" s="338"/>
      <c r="BC182" s="338"/>
      <c r="BD182" s="338"/>
      <c r="BE182" s="254"/>
      <c r="BF182" s="405"/>
      <c r="BG182" s="254"/>
      <c r="BH182" s="254"/>
      <c r="BI182" s="254"/>
      <c r="BJ182" s="254"/>
      <c r="BK182" s="254"/>
      <c r="BL182" s="254"/>
    </row>
    <row r="183" spans="2:64" s="44" customFormat="1" ht="10.5" customHeight="1">
      <c r="B183" s="52"/>
      <c r="G183" s="52"/>
      <c r="I183" s="338"/>
      <c r="J183" s="403"/>
      <c r="K183" s="338"/>
      <c r="L183" s="338"/>
      <c r="M183" s="338"/>
      <c r="N183" s="338"/>
      <c r="O183" s="338"/>
      <c r="P183" s="338"/>
      <c r="Q183" s="269"/>
      <c r="R183" s="402"/>
      <c r="S183" s="269"/>
      <c r="T183" s="269"/>
      <c r="U183" s="269"/>
      <c r="V183" s="269"/>
      <c r="W183" s="418"/>
      <c r="X183" s="269"/>
      <c r="Y183" s="269"/>
      <c r="Z183" s="402"/>
      <c r="AA183" s="269"/>
      <c r="AB183" s="338"/>
      <c r="AC183" s="338"/>
      <c r="AD183" s="338"/>
      <c r="AE183" s="338"/>
      <c r="AF183" s="338"/>
      <c r="AG183" s="338"/>
      <c r="AH183" s="403"/>
      <c r="AI183" s="338"/>
      <c r="AJ183" s="338"/>
      <c r="AK183" s="338"/>
      <c r="AL183" s="338"/>
      <c r="AM183" s="338"/>
      <c r="AN183" s="338"/>
      <c r="AO183" s="338"/>
      <c r="AP183" s="403"/>
      <c r="AQ183" s="338"/>
      <c r="AR183" s="338"/>
      <c r="AS183" s="338"/>
      <c r="AT183" s="338"/>
      <c r="AU183" s="338"/>
      <c r="AV183" s="338"/>
      <c r="AW183" s="338"/>
      <c r="AX183" s="403"/>
      <c r="AY183" s="338"/>
      <c r="AZ183" s="338"/>
      <c r="BA183" s="338"/>
      <c r="BB183" s="338"/>
      <c r="BC183" s="338"/>
      <c r="BD183" s="338"/>
      <c r="BE183" s="338"/>
      <c r="BF183" s="403"/>
      <c r="BG183" s="338"/>
      <c r="BH183" s="338"/>
      <c r="BI183" s="338"/>
      <c r="BJ183" s="338"/>
      <c r="BK183" s="338"/>
      <c r="BL183" s="338"/>
    </row>
    <row r="184" spans="2:64" s="44" customFormat="1" ht="10.5" customHeight="1">
      <c r="B184" s="52"/>
      <c r="G184" s="52"/>
      <c r="I184" s="338"/>
      <c r="J184" s="403"/>
      <c r="K184" s="338"/>
      <c r="L184" s="338"/>
      <c r="M184" s="338"/>
      <c r="N184" s="338"/>
      <c r="O184" s="338"/>
      <c r="P184" s="338"/>
      <c r="Q184" s="338"/>
      <c r="R184" s="403"/>
      <c r="S184" s="338"/>
      <c r="T184" s="338"/>
      <c r="U184" s="338"/>
      <c r="V184" s="338"/>
      <c r="W184" s="404"/>
      <c r="X184" s="338"/>
      <c r="Y184" s="338"/>
      <c r="Z184" s="403"/>
      <c r="AA184" s="338"/>
      <c r="AB184" s="338"/>
      <c r="AC184" s="338"/>
      <c r="AD184" s="338"/>
      <c r="AE184" s="338"/>
      <c r="AF184" s="338"/>
      <c r="AG184" s="338"/>
      <c r="AH184" s="403"/>
      <c r="AI184" s="338"/>
      <c r="AJ184" s="338"/>
      <c r="AK184" s="338"/>
      <c r="AL184" s="338"/>
      <c r="AM184" s="338"/>
      <c r="AN184" s="338"/>
      <c r="AO184" s="338"/>
      <c r="AP184" s="403"/>
      <c r="AQ184" s="338"/>
      <c r="AR184" s="338"/>
      <c r="AS184" s="338"/>
      <c r="AT184" s="338"/>
      <c r="AU184" s="338"/>
      <c r="AV184" s="338"/>
      <c r="AW184" s="338"/>
      <c r="AX184" s="403"/>
      <c r="AY184" s="338"/>
      <c r="AZ184" s="338"/>
      <c r="BA184" s="338"/>
      <c r="BB184" s="338"/>
      <c r="BC184" s="338"/>
      <c r="BD184" s="338"/>
      <c r="BE184" s="338"/>
      <c r="BF184" s="403"/>
      <c r="BG184" s="338"/>
      <c r="BH184" s="338"/>
      <c r="BI184" s="338"/>
      <c r="BJ184" s="338"/>
      <c r="BK184" s="338"/>
      <c r="BL184" s="338"/>
    </row>
    <row r="185" spans="2:64" s="44" customFormat="1" ht="10.5" customHeight="1">
      <c r="B185" s="52"/>
      <c r="G185" s="52"/>
      <c r="I185" s="338"/>
      <c r="J185" s="403"/>
      <c r="K185" s="338"/>
      <c r="L185" s="338"/>
      <c r="M185" s="338"/>
      <c r="N185" s="338"/>
      <c r="O185" s="338"/>
      <c r="P185" s="338"/>
      <c r="Q185" s="338"/>
      <c r="R185" s="403"/>
      <c r="S185" s="338"/>
      <c r="T185" s="338"/>
      <c r="U185" s="338"/>
      <c r="V185" s="338"/>
      <c r="W185" s="404"/>
      <c r="X185" s="338"/>
      <c r="Y185" s="338"/>
      <c r="Z185" s="403"/>
      <c r="AA185" s="338"/>
      <c r="AB185" s="338"/>
      <c r="AC185" s="338"/>
      <c r="AD185" s="338"/>
      <c r="AE185" s="338"/>
      <c r="AF185" s="338"/>
      <c r="AG185" s="338"/>
      <c r="AH185" s="403"/>
      <c r="AI185" s="338"/>
      <c r="AJ185" s="338"/>
      <c r="AK185" s="338"/>
      <c r="AL185" s="338"/>
      <c r="AM185" s="338"/>
      <c r="AN185" s="338"/>
      <c r="AO185" s="338"/>
      <c r="AP185" s="403"/>
      <c r="AQ185" s="338"/>
      <c r="AR185" s="338"/>
      <c r="AS185" s="338"/>
      <c r="AT185" s="338"/>
      <c r="AU185" s="338"/>
      <c r="AV185" s="338"/>
      <c r="AW185" s="338"/>
      <c r="AX185" s="403"/>
      <c r="AY185" s="338"/>
      <c r="AZ185" s="338"/>
      <c r="BA185" s="338"/>
      <c r="BB185" s="338"/>
      <c r="BC185" s="338"/>
      <c r="BD185" s="338"/>
      <c r="BE185" s="338"/>
      <c r="BF185" s="403"/>
      <c r="BG185" s="338"/>
      <c r="BH185" s="338"/>
      <c r="BI185" s="338"/>
      <c r="BJ185" s="338"/>
      <c r="BK185" s="338"/>
      <c r="BL185" s="338"/>
    </row>
    <row r="186" spans="2:64" s="44" customFormat="1" ht="10.5" customHeight="1">
      <c r="B186" s="52"/>
      <c r="G186" s="52"/>
      <c r="I186" s="338"/>
      <c r="J186" s="403"/>
      <c r="K186" s="338"/>
      <c r="L186" s="338"/>
      <c r="M186" s="338"/>
      <c r="N186" s="338"/>
      <c r="O186" s="338"/>
      <c r="P186" s="338"/>
      <c r="Q186" s="338"/>
      <c r="R186" s="403"/>
      <c r="S186" s="338"/>
      <c r="T186" s="338"/>
      <c r="U186" s="338"/>
      <c r="V186" s="338"/>
      <c r="W186" s="404"/>
      <c r="X186" s="338"/>
      <c r="Y186" s="338"/>
      <c r="Z186" s="403"/>
      <c r="AA186" s="338"/>
      <c r="AB186" s="338"/>
      <c r="AC186" s="338"/>
      <c r="AD186" s="338"/>
      <c r="AE186" s="338"/>
      <c r="AF186" s="338"/>
      <c r="AG186" s="338"/>
      <c r="AH186" s="403"/>
      <c r="AI186" s="338"/>
      <c r="AJ186" s="338"/>
      <c r="AK186" s="338"/>
      <c r="AL186" s="338"/>
      <c r="AM186" s="338"/>
      <c r="AN186" s="338"/>
      <c r="AO186" s="338"/>
      <c r="AP186" s="403"/>
      <c r="AQ186" s="338"/>
      <c r="AR186" s="338"/>
      <c r="AS186" s="338"/>
      <c r="AT186" s="338"/>
      <c r="AU186" s="338"/>
      <c r="AV186" s="338"/>
      <c r="AW186" s="338"/>
      <c r="AX186" s="403"/>
      <c r="AY186" s="338"/>
      <c r="AZ186" s="338"/>
      <c r="BA186" s="338"/>
      <c r="BB186" s="338"/>
      <c r="BC186" s="338"/>
      <c r="BD186" s="338"/>
      <c r="BE186" s="338"/>
      <c r="BF186" s="403"/>
      <c r="BG186" s="338"/>
      <c r="BH186" s="338"/>
      <c r="BI186" s="338"/>
      <c r="BJ186" s="338"/>
      <c r="BK186" s="338"/>
      <c r="BL186" s="338"/>
    </row>
    <row r="187" spans="2:64" s="44" customFormat="1" ht="10.5" customHeight="1">
      <c r="B187" s="52"/>
      <c r="G187" s="52"/>
      <c r="I187" s="338"/>
      <c r="J187" s="403"/>
      <c r="K187" s="338"/>
      <c r="L187" s="338"/>
      <c r="M187" s="338"/>
      <c r="N187" s="338"/>
      <c r="O187" s="338"/>
      <c r="P187" s="338"/>
      <c r="Q187" s="338"/>
      <c r="R187" s="403"/>
      <c r="S187" s="338"/>
      <c r="T187" s="338"/>
      <c r="U187" s="338"/>
      <c r="V187" s="338"/>
      <c r="W187" s="404"/>
      <c r="X187" s="338"/>
      <c r="Y187" s="338"/>
      <c r="Z187" s="403"/>
      <c r="AA187" s="338"/>
      <c r="AB187" s="338"/>
      <c r="AC187" s="338"/>
      <c r="AD187" s="338"/>
      <c r="AE187" s="338"/>
      <c r="AF187" s="338"/>
      <c r="AG187" s="338"/>
      <c r="AH187" s="403"/>
      <c r="AI187" s="338"/>
      <c r="AJ187" s="338"/>
      <c r="AK187" s="338"/>
      <c r="AL187" s="338"/>
      <c r="AM187" s="338"/>
      <c r="AN187" s="338"/>
      <c r="AO187" s="338"/>
      <c r="AP187" s="403"/>
      <c r="AQ187" s="338"/>
      <c r="AR187" s="338"/>
      <c r="AS187" s="338"/>
      <c r="AT187" s="338"/>
      <c r="AU187" s="338"/>
      <c r="AV187" s="338"/>
      <c r="AW187" s="338"/>
      <c r="AX187" s="403"/>
      <c r="AY187" s="338"/>
      <c r="AZ187" s="338"/>
      <c r="BA187" s="338"/>
      <c r="BB187" s="338"/>
      <c r="BC187" s="338"/>
      <c r="BD187" s="338"/>
      <c r="BE187" s="338"/>
      <c r="BF187" s="403"/>
      <c r="BG187" s="338"/>
      <c r="BH187" s="338"/>
      <c r="BI187" s="338"/>
      <c r="BJ187" s="338"/>
      <c r="BK187" s="338"/>
      <c r="BL187" s="338"/>
    </row>
    <row r="188" spans="2:64" s="44" customFormat="1" ht="10.5" customHeight="1">
      <c r="B188" s="52"/>
      <c r="G188" s="52"/>
      <c r="I188" s="338"/>
      <c r="J188" s="403"/>
      <c r="K188" s="338"/>
      <c r="L188" s="338"/>
      <c r="M188" s="338"/>
      <c r="N188" s="338"/>
      <c r="O188" s="338"/>
      <c r="P188" s="338"/>
      <c r="Q188" s="338"/>
      <c r="R188" s="403"/>
      <c r="S188" s="338"/>
      <c r="T188" s="338"/>
      <c r="U188" s="338"/>
      <c r="V188" s="338"/>
      <c r="W188" s="404"/>
      <c r="X188" s="338"/>
      <c r="Y188" s="338"/>
      <c r="Z188" s="403"/>
      <c r="AA188" s="338"/>
      <c r="AB188" s="338"/>
      <c r="AC188" s="338"/>
      <c r="AD188" s="338"/>
      <c r="AE188" s="338"/>
      <c r="AF188" s="338"/>
      <c r="AG188" s="338"/>
      <c r="AH188" s="403"/>
      <c r="AI188" s="338"/>
      <c r="AJ188" s="338"/>
      <c r="AK188" s="338"/>
      <c r="AL188" s="338"/>
      <c r="AM188" s="338"/>
      <c r="AN188" s="338"/>
      <c r="AO188" s="338"/>
      <c r="AP188" s="403"/>
      <c r="AQ188" s="338"/>
      <c r="AR188" s="338"/>
      <c r="AS188" s="338"/>
      <c r="AT188" s="338"/>
      <c r="AU188" s="338"/>
      <c r="AV188" s="338"/>
      <c r="AW188" s="425"/>
      <c r="AX188" s="403"/>
      <c r="AY188" s="338"/>
      <c r="AZ188" s="338"/>
      <c r="BA188" s="338"/>
      <c r="BB188" s="338"/>
      <c r="BC188" s="338"/>
      <c r="BD188" s="338"/>
      <c r="BE188" s="338"/>
      <c r="BF188" s="403"/>
      <c r="BG188" s="338"/>
      <c r="BH188" s="338"/>
      <c r="BI188" s="338"/>
      <c r="BJ188" s="338"/>
      <c r="BK188" s="338"/>
      <c r="BL188" s="338"/>
    </row>
    <row r="189" spans="2:64" s="44" customFormat="1" ht="9.1999999999999993" customHeight="1">
      <c r="B189" s="52"/>
      <c r="G189" s="52"/>
      <c r="I189" s="338"/>
      <c r="J189" s="403"/>
      <c r="K189" s="338"/>
      <c r="L189" s="338"/>
      <c r="M189" s="338"/>
      <c r="N189" s="338"/>
      <c r="O189" s="338"/>
      <c r="P189" s="338"/>
      <c r="Q189" s="269"/>
      <c r="R189" s="403"/>
      <c r="S189" s="390"/>
      <c r="T189" s="423"/>
      <c r="U189" s="424"/>
      <c r="V189" s="423"/>
      <c r="W189" s="383"/>
      <c r="X189" s="420"/>
      <c r="Y189" s="338"/>
      <c r="Z189" s="403"/>
      <c r="AA189" s="338"/>
      <c r="AB189" s="338"/>
      <c r="AC189" s="338"/>
      <c r="AD189" s="338"/>
      <c r="AE189" s="338"/>
      <c r="AF189" s="338"/>
      <c r="AG189" s="338"/>
      <c r="AH189" s="403"/>
      <c r="AI189" s="338"/>
      <c r="AJ189" s="338"/>
      <c r="AK189" s="338"/>
      <c r="AL189" s="338"/>
      <c r="AM189" s="338"/>
      <c r="AN189" s="338"/>
      <c r="AO189" s="338"/>
      <c r="AP189" s="403"/>
      <c r="AQ189" s="338"/>
      <c r="AR189" s="338"/>
      <c r="AS189" s="338"/>
      <c r="AT189" s="338"/>
      <c r="AU189" s="338"/>
      <c r="AV189" s="338"/>
      <c r="AW189" s="425"/>
      <c r="AX189" s="426"/>
      <c r="AY189" s="425"/>
      <c r="AZ189" s="425"/>
      <c r="BA189" s="425"/>
      <c r="BB189" s="425"/>
      <c r="BC189" s="425"/>
      <c r="BD189" s="425"/>
      <c r="BE189" s="338"/>
      <c r="BF189" s="403"/>
      <c r="BG189" s="338"/>
      <c r="BH189" s="338"/>
      <c r="BI189" s="338"/>
      <c r="BJ189" s="338"/>
      <c r="BK189" s="338"/>
      <c r="BL189" s="338"/>
    </row>
    <row r="190" spans="2:64" s="18" customFormat="1" ht="9.1999999999999993" customHeight="1">
      <c r="B190" s="52"/>
      <c r="G190" s="52"/>
      <c r="I190" s="425"/>
      <c r="J190" s="426"/>
      <c r="K190" s="425"/>
      <c r="L190" s="425"/>
      <c r="M190" s="425"/>
      <c r="N190" s="425"/>
      <c r="O190" s="425"/>
      <c r="P190" s="425"/>
      <c r="Q190" s="425"/>
      <c r="R190" s="403"/>
      <c r="S190" s="425"/>
      <c r="T190" s="425"/>
      <c r="U190" s="425"/>
      <c r="V190" s="425"/>
      <c r="W190" s="404"/>
      <c r="X190" s="425"/>
      <c r="Y190" s="425"/>
      <c r="Z190" s="426"/>
      <c r="AA190" s="425"/>
      <c r="AB190" s="425"/>
      <c r="AC190" s="425"/>
      <c r="AD190" s="425"/>
      <c r="AE190" s="425"/>
      <c r="AF190" s="425"/>
      <c r="AG190" s="425"/>
      <c r="AH190" s="426"/>
      <c r="AI190" s="425"/>
      <c r="AJ190" s="425"/>
      <c r="AK190" s="425"/>
      <c r="AL190" s="425"/>
      <c r="AM190" s="425"/>
      <c r="AN190" s="425"/>
      <c r="AO190" s="425"/>
      <c r="AP190" s="426"/>
      <c r="AQ190" s="425"/>
      <c r="AR190" s="425"/>
      <c r="AS190" s="425"/>
      <c r="AT190" s="425"/>
      <c r="AU190" s="425"/>
      <c r="AV190" s="425"/>
      <c r="AW190" s="425"/>
      <c r="AX190" s="426"/>
      <c r="AY190" s="425"/>
      <c r="AZ190" s="425"/>
      <c r="BA190" s="425"/>
      <c r="BB190" s="425"/>
      <c r="BC190" s="425"/>
      <c r="BD190" s="425"/>
      <c r="BE190" s="338"/>
      <c r="BF190" s="403"/>
      <c r="BG190" s="338"/>
      <c r="BH190" s="338"/>
      <c r="BI190" s="338"/>
      <c r="BJ190" s="338"/>
      <c r="BK190" s="338"/>
      <c r="BL190" s="338"/>
    </row>
    <row r="191" spans="2:64" s="18" customFormat="1" ht="9.1999999999999993" customHeight="1">
      <c r="B191" s="52"/>
      <c r="G191" s="52"/>
      <c r="I191" s="425"/>
      <c r="J191" s="426"/>
      <c r="K191" s="425"/>
      <c r="L191" s="425"/>
      <c r="M191" s="425"/>
      <c r="N191" s="425"/>
      <c r="O191" s="425"/>
      <c r="P191" s="425"/>
      <c r="Q191" s="425"/>
      <c r="R191" s="403"/>
      <c r="S191" s="425"/>
      <c r="T191" s="425"/>
      <c r="U191" s="425"/>
      <c r="V191" s="425"/>
      <c r="W191" s="404"/>
      <c r="X191" s="425"/>
      <c r="Y191" s="425"/>
      <c r="Z191" s="426"/>
      <c r="AA191" s="425"/>
      <c r="AB191" s="425"/>
      <c r="AC191" s="425"/>
      <c r="AD191" s="425"/>
      <c r="AE191" s="425"/>
      <c r="AF191" s="425"/>
      <c r="AG191" s="425"/>
      <c r="AH191" s="426"/>
      <c r="AI191" s="425"/>
      <c r="AJ191" s="425"/>
      <c r="AK191" s="425"/>
      <c r="AL191" s="425"/>
      <c r="AM191" s="425"/>
      <c r="AN191" s="425"/>
      <c r="AO191" s="425"/>
      <c r="AP191" s="426"/>
      <c r="AQ191" s="425"/>
      <c r="AR191" s="425"/>
      <c r="AS191" s="425"/>
      <c r="AT191" s="425"/>
      <c r="AU191" s="425"/>
      <c r="AV191" s="425"/>
      <c r="AW191" s="404"/>
      <c r="AX191" s="426"/>
      <c r="AY191" s="425"/>
      <c r="AZ191" s="425"/>
      <c r="BA191" s="425"/>
      <c r="BB191" s="425"/>
      <c r="BC191" s="425"/>
      <c r="BD191" s="425"/>
      <c r="BE191" s="338"/>
      <c r="BF191" s="403"/>
      <c r="BG191" s="338"/>
      <c r="BH191" s="338"/>
      <c r="BI191" s="338"/>
      <c r="BJ191" s="338"/>
      <c r="BK191" s="338"/>
      <c r="BL191" s="338"/>
    </row>
    <row r="192" spans="2:64" s="18" customFormat="1" ht="8.4499999999999993" customHeight="1">
      <c r="B192" s="52"/>
      <c r="G192" s="52"/>
      <c r="I192" s="425"/>
      <c r="J192" s="426"/>
      <c r="K192" s="425"/>
      <c r="L192" s="425"/>
      <c r="M192" s="425"/>
      <c r="N192" s="425"/>
      <c r="O192" s="425"/>
      <c r="P192" s="425"/>
      <c r="Q192" s="425"/>
      <c r="R192" s="403"/>
      <c r="S192" s="425"/>
      <c r="T192" s="425"/>
      <c r="U192" s="425"/>
      <c r="V192" s="425"/>
      <c r="W192" s="404"/>
      <c r="X192" s="425"/>
      <c r="Y192" s="425"/>
      <c r="Z192" s="426"/>
      <c r="AA192" s="425"/>
      <c r="AB192" s="425"/>
      <c r="AC192" s="425"/>
      <c r="AD192" s="425"/>
      <c r="AE192" s="425"/>
      <c r="AF192" s="425"/>
      <c r="AG192" s="425"/>
      <c r="AH192" s="426"/>
      <c r="AI192" s="425"/>
      <c r="AJ192" s="425"/>
      <c r="AK192" s="425"/>
      <c r="AL192" s="425"/>
      <c r="AM192" s="425"/>
      <c r="AN192" s="425"/>
      <c r="AO192" s="425"/>
      <c r="AP192" s="426"/>
      <c r="AQ192" s="425"/>
      <c r="AR192" s="425"/>
      <c r="AS192" s="425"/>
      <c r="AT192" s="425"/>
      <c r="AU192" s="425"/>
      <c r="AV192" s="425"/>
      <c r="AW192" s="404"/>
      <c r="AX192" s="409"/>
      <c r="AY192" s="404"/>
      <c r="AZ192" s="404"/>
      <c r="BA192" s="404"/>
      <c r="BB192" s="404"/>
      <c r="BC192" s="404"/>
      <c r="BD192" s="404"/>
      <c r="BE192" s="338"/>
      <c r="BF192" s="403"/>
      <c r="BG192" s="338"/>
      <c r="BH192" s="338"/>
      <c r="BI192" s="338"/>
      <c r="BJ192" s="338"/>
      <c r="BK192" s="338"/>
      <c r="BL192" s="338"/>
    </row>
    <row r="193" spans="1:64" s="52" customFormat="1" ht="8.4499999999999993" customHeight="1">
      <c r="I193" s="404"/>
      <c r="J193" s="409"/>
      <c r="K193" s="404"/>
      <c r="L193" s="404"/>
      <c r="M193" s="404"/>
      <c r="N193" s="404"/>
      <c r="O193" s="404"/>
      <c r="P193" s="404"/>
      <c r="Q193" s="404"/>
      <c r="R193" s="403"/>
      <c r="S193" s="404"/>
      <c r="T193" s="404"/>
      <c r="U193" s="404"/>
      <c r="V193" s="404"/>
      <c r="W193" s="404"/>
      <c r="X193" s="404"/>
      <c r="Y193" s="404"/>
      <c r="Z193" s="409"/>
      <c r="AA193" s="404"/>
      <c r="AB193" s="404"/>
      <c r="AC193" s="404"/>
      <c r="AD193" s="404"/>
      <c r="AE193" s="404"/>
      <c r="AF193" s="404"/>
      <c r="AG193" s="404"/>
      <c r="AH193" s="409"/>
      <c r="AI193" s="404"/>
      <c r="AJ193" s="404"/>
      <c r="AK193" s="404"/>
      <c r="AL193" s="404"/>
      <c r="AM193" s="404"/>
      <c r="AN193" s="404"/>
      <c r="AO193" s="404"/>
      <c r="AP193" s="409"/>
      <c r="AQ193" s="404"/>
      <c r="AR193" s="404"/>
      <c r="AS193" s="404"/>
      <c r="AT193" s="404"/>
      <c r="AU193" s="404"/>
      <c r="AV193" s="404"/>
      <c r="AW193" s="404"/>
      <c r="AX193" s="409"/>
      <c r="AY193" s="404"/>
      <c r="AZ193" s="404"/>
      <c r="BA193" s="404"/>
      <c r="BB193" s="404"/>
      <c r="BC193" s="404"/>
      <c r="BD193" s="404"/>
      <c r="BE193" s="338"/>
      <c r="BF193" s="403"/>
      <c r="BG193" s="338"/>
      <c r="BH193" s="338"/>
      <c r="BI193" s="338"/>
      <c r="BJ193" s="338"/>
      <c r="BK193" s="338"/>
      <c r="BL193" s="338"/>
    </row>
    <row r="194" spans="1:64" s="52" customFormat="1" ht="8.4499999999999993" customHeight="1">
      <c r="I194" s="404"/>
      <c r="J194" s="409"/>
      <c r="K194" s="404"/>
      <c r="L194" s="404"/>
      <c r="M194" s="404"/>
      <c r="N194" s="404"/>
      <c r="O194" s="404"/>
      <c r="P194" s="404"/>
      <c r="Q194" s="404"/>
      <c r="R194" s="403"/>
      <c r="S194" s="404"/>
      <c r="T194" s="404"/>
      <c r="U194" s="404"/>
      <c r="V194" s="404"/>
      <c r="W194" s="404"/>
      <c r="X194" s="404"/>
      <c r="Y194" s="404"/>
      <c r="Z194" s="409"/>
      <c r="AA194" s="404"/>
      <c r="AB194" s="404"/>
      <c r="AC194" s="404"/>
      <c r="AD194" s="404"/>
      <c r="AE194" s="404"/>
      <c r="AF194" s="404"/>
      <c r="AG194" s="404"/>
      <c r="AH194" s="409"/>
      <c r="AI194" s="404"/>
      <c r="AJ194" s="404"/>
      <c r="AK194" s="404"/>
      <c r="AL194" s="404"/>
      <c r="AM194" s="404"/>
      <c r="AN194" s="404"/>
      <c r="AO194" s="404"/>
      <c r="AP194" s="409"/>
      <c r="AQ194" s="404"/>
      <c r="AR194" s="404"/>
      <c r="AS194" s="404"/>
      <c r="AT194" s="404"/>
      <c r="AU194" s="404"/>
      <c r="AV194" s="404"/>
      <c r="AW194" s="404"/>
      <c r="AX194" s="409"/>
      <c r="AY194" s="404"/>
      <c r="AZ194" s="404"/>
      <c r="BA194" s="404"/>
      <c r="BB194" s="404"/>
      <c r="BC194" s="404"/>
      <c r="BD194" s="404"/>
      <c r="BE194" s="425"/>
      <c r="BF194" s="426"/>
      <c r="BG194" s="425"/>
      <c r="BH194" s="425"/>
      <c r="BI194" s="425"/>
      <c r="BJ194" s="425"/>
      <c r="BK194" s="425"/>
      <c r="BL194" s="425"/>
    </row>
    <row r="195" spans="1:64" s="52" customFormat="1" ht="8.4499999999999993" customHeight="1">
      <c r="I195" s="404"/>
      <c r="J195" s="409"/>
      <c r="K195" s="404"/>
      <c r="L195" s="404"/>
      <c r="M195" s="404"/>
      <c r="N195" s="404"/>
      <c r="O195" s="404"/>
      <c r="P195" s="404"/>
      <c r="Q195" s="404"/>
      <c r="R195" s="403"/>
      <c r="S195" s="404"/>
      <c r="T195" s="404"/>
      <c r="U195" s="404"/>
      <c r="V195" s="404"/>
      <c r="W195" s="404"/>
      <c r="X195" s="404"/>
      <c r="Y195" s="404"/>
      <c r="Z195" s="409"/>
      <c r="AA195" s="404"/>
      <c r="AB195" s="404"/>
      <c r="AC195" s="404"/>
      <c r="AD195" s="404"/>
      <c r="AE195" s="404"/>
      <c r="AF195" s="404"/>
      <c r="AG195" s="404"/>
      <c r="AH195" s="409"/>
      <c r="AI195" s="404"/>
      <c r="AJ195" s="404"/>
      <c r="AK195" s="404"/>
      <c r="AL195" s="404"/>
      <c r="AM195" s="404"/>
      <c r="AN195" s="404"/>
      <c r="AO195" s="404"/>
      <c r="AP195" s="409"/>
      <c r="AQ195" s="404"/>
      <c r="AR195" s="404"/>
      <c r="AS195" s="404"/>
      <c r="AT195" s="404"/>
      <c r="AU195" s="404"/>
      <c r="AV195" s="404"/>
      <c r="AW195" s="404"/>
      <c r="AX195" s="409"/>
      <c r="AY195" s="404"/>
      <c r="AZ195" s="404"/>
      <c r="BA195" s="404"/>
      <c r="BB195" s="404"/>
      <c r="BC195" s="404"/>
      <c r="BD195" s="404"/>
      <c r="BE195" s="425"/>
      <c r="BF195" s="426"/>
      <c r="BG195" s="425"/>
      <c r="BH195" s="425"/>
      <c r="BI195" s="425"/>
      <c r="BJ195" s="425"/>
      <c r="BK195" s="425"/>
      <c r="BL195" s="425"/>
    </row>
    <row r="196" spans="1:64" s="52" customFormat="1" ht="8.4499999999999993" customHeight="1">
      <c r="I196" s="404"/>
      <c r="J196" s="409"/>
      <c r="K196" s="404"/>
      <c r="L196" s="404"/>
      <c r="M196" s="404"/>
      <c r="N196" s="404"/>
      <c r="O196" s="404"/>
      <c r="P196" s="404"/>
      <c r="Q196" s="404"/>
      <c r="R196" s="403"/>
      <c r="S196" s="404"/>
      <c r="T196" s="404"/>
      <c r="U196" s="404"/>
      <c r="V196" s="404"/>
      <c r="W196" s="404"/>
      <c r="X196" s="404"/>
      <c r="Y196" s="404"/>
      <c r="Z196" s="409"/>
      <c r="AA196" s="404"/>
      <c r="AB196" s="404"/>
      <c r="AC196" s="404"/>
      <c r="AD196" s="404"/>
      <c r="AE196" s="404"/>
      <c r="AF196" s="404"/>
      <c r="AG196" s="404"/>
      <c r="AH196" s="409"/>
      <c r="AI196" s="404"/>
      <c r="AJ196" s="404"/>
      <c r="AK196" s="404"/>
      <c r="AL196" s="404"/>
      <c r="AM196" s="404"/>
      <c r="AN196" s="404"/>
      <c r="AO196" s="404"/>
      <c r="AP196" s="409"/>
      <c r="AQ196" s="404"/>
      <c r="AR196" s="404"/>
      <c r="AS196" s="404"/>
      <c r="AT196" s="404"/>
      <c r="AU196" s="404"/>
      <c r="AV196" s="404"/>
      <c r="AW196" s="404"/>
      <c r="AX196" s="409"/>
      <c r="AY196" s="404"/>
      <c r="AZ196" s="404"/>
      <c r="BA196" s="404"/>
      <c r="BB196" s="404"/>
      <c r="BC196" s="404"/>
      <c r="BD196" s="404"/>
      <c r="BE196" s="425"/>
      <c r="BF196" s="426"/>
      <c r="BG196" s="425"/>
      <c r="BH196" s="425"/>
      <c r="BI196" s="425"/>
      <c r="BJ196" s="425"/>
      <c r="BK196" s="425"/>
      <c r="BL196" s="425"/>
    </row>
    <row r="197" spans="1:64" s="52" customFormat="1" ht="8.4499999999999993" customHeight="1">
      <c r="I197" s="404"/>
      <c r="J197" s="409"/>
      <c r="K197" s="404"/>
      <c r="L197" s="404"/>
      <c r="M197" s="404"/>
      <c r="N197" s="404"/>
      <c r="O197" s="404"/>
      <c r="P197" s="404"/>
      <c r="Q197" s="404"/>
      <c r="R197" s="403"/>
      <c r="S197" s="404"/>
      <c r="T197" s="404"/>
      <c r="U197" s="404"/>
      <c r="V197" s="404"/>
      <c r="W197" s="404"/>
      <c r="X197" s="404"/>
      <c r="Y197" s="404"/>
      <c r="Z197" s="409"/>
      <c r="AA197" s="404"/>
      <c r="AB197" s="404"/>
      <c r="AC197" s="404"/>
      <c r="AD197" s="404"/>
      <c r="AE197" s="404"/>
      <c r="AF197" s="404"/>
      <c r="AG197" s="404"/>
      <c r="AH197" s="409"/>
      <c r="AI197" s="404"/>
      <c r="AJ197" s="404"/>
      <c r="AK197" s="404"/>
      <c r="AL197" s="404"/>
      <c r="AM197" s="404"/>
      <c r="AN197" s="404"/>
      <c r="AO197" s="404"/>
      <c r="AP197" s="409"/>
      <c r="AQ197" s="404"/>
      <c r="AR197" s="404"/>
      <c r="AS197" s="404"/>
      <c r="AT197" s="404"/>
      <c r="AU197" s="404"/>
      <c r="AV197" s="404"/>
      <c r="AW197" s="404"/>
      <c r="AX197" s="409"/>
      <c r="AY197" s="404"/>
      <c r="AZ197" s="404"/>
      <c r="BA197" s="404"/>
      <c r="BB197" s="404"/>
      <c r="BC197" s="404"/>
      <c r="BD197" s="404"/>
      <c r="BE197" s="404"/>
      <c r="BF197" s="409"/>
      <c r="BG197" s="404"/>
      <c r="BH197" s="404"/>
      <c r="BI197" s="404"/>
      <c r="BJ197" s="404"/>
      <c r="BK197" s="404"/>
      <c r="BL197" s="404"/>
    </row>
    <row r="198" spans="1:64" s="52" customFormat="1" ht="8.4499999999999993" customHeight="1">
      <c r="I198" s="404"/>
      <c r="J198" s="409"/>
      <c r="K198" s="404"/>
      <c r="L198" s="404"/>
      <c r="M198" s="404"/>
      <c r="N198" s="404"/>
      <c r="O198" s="404"/>
      <c r="P198" s="404"/>
      <c r="Q198" s="404"/>
      <c r="R198" s="403"/>
      <c r="S198" s="404"/>
      <c r="T198" s="404"/>
      <c r="U198" s="404"/>
      <c r="V198" s="404"/>
      <c r="W198" s="404"/>
      <c r="X198" s="404"/>
      <c r="Y198" s="404"/>
      <c r="Z198" s="409"/>
      <c r="AA198" s="404"/>
      <c r="AB198" s="404"/>
      <c r="AC198" s="404"/>
      <c r="AD198" s="404"/>
      <c r="AE198" s="404"/>
      <c r="AF198" s="404"/>
      <c r="AG198" s="404"/>
      <c r="AH198" s="409"/>
      <c r="AI198" s="404"/>
      <c r="AJ198" s="404"/>
      <c r="AK198" s="404"/>
      <c r="AL198" s="404"/>
      <c r="AM198" s="404"/>
      <c r="AN198" s="404"/>
      <c r="AO198" s="404"/>
      <c r="AP198" s="409"/>
      <c r="AQ198" s="404"/>
      <c r="AR198" s="404"/>
      <c r="AS198" s="404"/>
      <c r="AT198" s="404"/>
      <c r="AU198" s="404"/>
      <c r="AV198" s="404"/>
      <c r="AW198" s="404"/>
      <c r="AX198" s="409"/>
      <c r="AY198" s="404"/>
      <c r="AZ198" s="404"/>
      <c r="BA198" s="404"/>
      <c r="BB198" s="404"/>
      <c r="BC198" s="404"/>
      <c r="BD198" s="404"/>
      <c r="BE198" s="404"/>
      <c r="BF198" s="409"/>
      <c r="BG198" s="404"/>
      <c r="BH198" s="404"/>
      <c r="BI198" s="404"/>
      <c r="BJ198" s="404"/>
      <c r="BK198" s="404"/>
      <c r="BL198" s="404"/>
    </row>
    <row r="199" spans="1:64" s="52" customFormat="1" ht="8.1" customHeight="1">
      <c r="I199" s="404"/>
      <c r="J199" s="409"/>
      <c r="K199" s="404"/>
      <c r="L199" s="404"/>
      <c r="M199" s="404"/>
      <c r="N199" s="404"/>
      <c r="O199" s="404"/>
      <c r="P199" s="404"/>
      <c r="Q199" s="404"/>
      <c r="R199" s="403"/>
      <c r="S199" s="404"/>
      <c r="T199" s="404"/>
      <c r="U199" s="404"/>
      <c r="V199" s="404"/>
      <c r="W199" s="404"/>
      <c r="X199" s="404"/>
      <c r="Y199" s="404"/>
      <c r="Z199" s="409"/>
      <c r="AA199" s="404"/>
      <c r="AB199" s="404"/>
      <c r="AC199" s="404"/>
      <c r="AD199" s="404"/>
      <c r="AE199" s="404"/>
      <c r="AF199" s="404"/>
      <c r="AG199" s="404"/>
      <c r="AH199" s="409"/>
      <c r="AI199" s="404"/>
      <c r="AJ199" s="404"/>
      <c r="AK199" s="404"/>
      <c r="AL199" s="404"/>
      <c r="AM199" s="404"/>
      <c r="AN199" s="404"/>
      <c r="AO199" s="404"/>
      <c r="AP199" s="409"/>
      <c r="AQ199" s="404"/>
      <c r="AR199" s="404"/>
      <c r="AS199" s="404"/>
      <c r="AT199" s="404"/>
      <c r="AU199" s="404"/>
      <c r="AV199" s="404"/>
      <c r="AW199" s="404"/>
      <c r="AX199" s="409"/>
      <c r="AY199" s="404"/>
      <c r="AZ199" s="404"/>
      <c r="BA199" s="404"/>
      <c r="BB199" s="404"/>
      <c r="BC199" s="404"/>
      <c r="BD199" s="404"/>
      <c r="BE199" s="404"/>
      <c r="BF199" s="409"/>
      <c r="BG199" s="404"/>
      <c r="BH199" s="404"/>
      <c r="BI199" s="404"/>
      <c r="BJ199" s="404"/>
      <c r="BK199" s="404"/>
      <c r="BL199" s="404"/>
    </row>
    <row r="200" spans="1:64" s="52" customFormat="1" ht="8.1" customHeight="1">
      <c r="I200" s="404"/>
      <c r="J200" s="409"/>
      <c r="K200" s="404"/>
      <c r="L200" s="404"/>
      <c r="M200" s="404"/>
      <c r="N200" s="404"/>
      <c r="O200" s="404"/>
      <c r="P200" s="404"/>
      <c r="Q200" s="404"/>
      <c r="R200" s="403"/>
      <c r="S200" s="404"/>
      <c r="T200" s="404"/>
      <c r="U200" s="404"/>
      <c r="V200" s="404"/>
      <c r="W200" s="404"/>
      <c r="X200" s="404"/>
      <c r="Y200" s="404"/>
      <c r="Z200" s="409"/>
      <c r="AA200" s="404"/>
      <c r="AB200" s="404"/>
      <c r="AC200" s="404"/>
      <c r="AD200" s="404"/>
      <c r="AE200" s="404"/>
      <c r="AF200" s="404"/>
      <c r="AG200" s="404"/>
      <c r="AH200" s="409"/>
      <c r="AI200" s="404"/>
      <c r="AJ200" s="404"/>
      <c r="AK200" s="404"/>
      <c r="AL200" s="404"/>
      <c r="AM200" s="404"/>
      <c r="AN200" s="404"/>
      <c r="AO200" s="404"/>
      <c r="AP200" s="409"/>
      <c r="AQ200" s="404"/>
      <c r="AR200" s="404"/>
      <c r="AS200" s="404"/>
      <c r="AT200" s="404"/>
      <c r="AU200" s="404"/>
      <c r="AV200" s="404"/>
      <c r="AW200" s="404"/>
      <c r="AX200" s="409"/>
      <c r="AY200" s="404"/>
      <c r="AZ200" s="404"/>
      <c r="BA200" s="404"/>
      <c r="BB200" s="404"/>
      <c r="BC200" s="404"/>
      <c r="BD200" s="404"/>
      <c r="BE200" s="404"/>
      <c r="BF200" s="409"/>
      <c r="BG200" s="404"/>
      <c r="BH200" s="404"/>
      <c r="BI200" s="404"/>
      <c r="BJ200" s="404"/>
      <c r="BK200" s="404"/>
      <c r="BL200" s="404"/>
    </row>
    <row r="201" spans="1:64" s="52" customFormat="1" ht="8.1" customHeight="1">
      <c r="A201" s="158"/>
      <c r="I201" s="404"/>
      <c r="J201" s="409"/>
      <c r="K201" s="404"/>
      <c r="L201" s="404"/>
      <c r="M201" s="404"/>
      <c r="N201" s="404"/>
      <c r="O201" s="404"/>
      <c r="P201" s="404"/>
      <c r="Q201" s="418"/>
      <c r="R201" s="403"/>
      <c r="S201" s="427"/>
      <c r="T201" s="428"/>
      <c r="U201" s="429"/>
      <c r="V201" s="428"/>
      <c r="W201" s="383"/>
      <c r="X201" s="383"/>
      <c r="Y201" s="404"/>
      <c r="Z201" s="409"/>
      <c r="AA201" s="404"/>
      <c r="AB201" s="404"/>
      <c r="AC201" s="404"/>
      <c r="AD201" s="404"/>
      <c r="AE201" s="404"/>
      <c r="AF201" s="404"/>
      <c r="AG201" s="404"/>
      <c r="AH201" s="409"/>
      <c r="AI201" s="404"/>
      <c r="AJ201" s="404"/>
      <c r="AK201" s="404"/>
      <c r="AL201" s="404"/>
      <c r="AM201" s="404"/>
      <c r="AN201" s="404"/>
      <c r="AO201" s="404"/>
      <c r="AP201" s="409"/>
      <c r="AQ201" s="404"/>
      <c r="AR201" s="404"/>
      <c r="AS201" s="404"/>
      <c r="AT201" s="404"/>
      <c r="AU201" s="404"/>
      <c r="AV201" s="404"/>
      <c r="AW201" s="404"/>
      <c r="AX201" s="409"/>
      <c r="AY201" s="404"/>
      <c r="AZ201" s="404"/>
      <c r="BA201" s="404"/>
      <c r="BB201" s="404"/>
      <c r="BC201" s="404"/>
      <c r="BD201" s="404"/>
      <c r="BE201" s="404"/>
      <c r="BF201" s="409"/>
      <c r="BG201" s="404"/>
      <c r="BH201" s="404"/>
      <c r="BI201" s="404"/>
      <c r="BJ201" s="404"/>
      <c r="BK201" s="404"/>
      <c r="BL201" s="404"/>
    </row>
    <row r="202" spans="1:64" s="52" customFormat="1" ht="8.1" customHeight="1">
      <c r="A202" s="158"/>
      <c r="I202" s="404"/>
      <c r="J202" s="409"/>
      <c r="K202" s="404"/>
      <c r="L202" s="404"/>
      <c r="M202" s="404"/>
      <c r="N202" s="404"/>
      <c r="O202" s="404"/>
      <c r="P202" s="404"/>
      <c r="Q202" s="418"/>
      <c r="R202" s="403"/>
      <c r="S202" s="427"/>
      <c r="T202" s="428"/>
      <c r="U202" s="429"/>
      <c r="V202" s="428"/>
      <c r="W202" s="383"/>
      <c r="X202" s="383"/>
      <c r="Y202" s="404"/>
      <c r="Z202" s="409"/>
      <c r="AA202" s="404"/>
      <c r="AB202" s="404"/>
      <c r="AC202" s="404"/>
      <c r="AD202" s="404"/>
      <c r="AE202" s="404"/>
      <c r="AF202" s="404"/>
      <c r="AG202" s="404"/>
      <c r="AH202" s="409"/>
      <c r="AI202" s="404"/>
      <c r="AJ202" s="404"/>
      <c r="AK202" s="404"/>
      <c r="AL202" s="404"/>
      <c r="AM202" s="404"/>
      <c r="AN202" s="404"/>
      <c r="AO202" s="404"/>
      <c r="AP202" s="409"/>
      <c r="AQ202" s="404"/>
      <c r="AR202" s="404"/>
      <c r="AS202" s="404"/>
      <c r="AT202" s="404"/>
      <c r="AU202" s="404"/>
      <c r="AV202" s="404"/>
      <c r="AW202" s="404"/>
      <c r="AX202" s="409"/>
      <c r="AY202" s="404"/>
      <c r="AZ202" s="404"/>
      <c r="BA202" s="404"/>
      <c r="BB202" s="404"/>
      <c r="BC202" s="404"/>
      <c r="BD202" s="404"/>
      <c r="BE202" s="404"/>
      <c r="BF202" s="409"/>
      <c r="BG202" s="404"/>
      <c r="BH202" s="404"/>
      <c r="BI202" s="404"/>
      <c r="BJ202" s="404"/>
      <c r="BK202" s="404"/>
      <c r="BL202" s="404"/>
    </row>
    <row r="203" spans="1:64" s="52" customFormat="1" ht="8.1" customHeight="1">
      <c r="A203" s="158"/>
      <c r="B203" s="158"/>
      <c r="C203" s="13"/>
      <c r="D203" s="157"/>
      <c r="E203" s="160"/>
      <c r="F203" s="157"/>
      <c r="G203" s="157"/>
      <c r="H203" s="157"/>
      <c r="I203" s="404"/>
      <c r="J203" s="409"/>
      <c r="K203" s="404"/>
      <c r="L203" s="404"/>
      <c r="M203" s="404"/>
      <c r="N203" s="404"/>
      <c r="O203" s="404"/>
      <c r="P203" s="404"/>
      <c r="Q203" s="418"/>
      <c r="R203" s="403"/>
      <c r="S203" s="427"/>
      <c r="T203" s="428"/>
      <c r="U203" s="429"/>
      <c r="V203" s="428"/>
      <c r="W203" s="383"/>
      <c r="X203" s="383"/>
      <c r="Y203" s="404"/>
      <c r="Z203" s="409"/>
      <c r="AA203" s="404"/>
      <c r="AB203" s="404"/>
      <c r="AC203" s="404"/>
      <c r="AD203" s="404"/>
      <c r="AE203" s="404"/>
      <c r="AF203" s="404"/>
      <c r="AG203" s="404"/>
      <c r="AH203" s="409"/>
      <c r="AI203" s="404"/>
      <c r="AJ203" s="404"/>
      <c r="AK203" s="404"/>
      <c r="AL203" s="404"/>
      <c r="AM203" s="404"/>
      <c r="AN203" s="404"/>
      <c r="AO203" s="404"/>
      <c r="AP203" s="409"/>
      <c r="AQ203" s="404"/>
      <c r="AR203" s="404"/>
      <c r="AS203" s="404"/>
      <c r="AT203" s="404"/>
      <c r="AU203" s="404"/>
      <c r="AV203" s="404"/>
      <c r="AW203" s="404"/>
      <c r="AX203" s="409"/>
      <c r="AY203" s="404"/>
      <c r="AZ203" s="404"/>
      <c r="BA203" s="404"/>
      <c r="BB203" s="404"/>
      <c r="BC203" s="404"/>
      <c r="BD203" s="404"/>
      <c r="BE203" s="404"/>
      <c r="BF203" s="409"/>
      <c r="BG203" s="404"/>
      <c r="BH203" s="404"/>
      <c r="BI203" s="404"/>
      <c r="BJ203" s="404"/>
      <c r="BK203" s="404"/>
      <c r="BL203" s="404"/>
    </row>
    <row r="204" spans="1:64" s="52" customFormat="1" ht="8.1" customHeight="1">
      <c r="A204" s="158"/>
      <c r="B204" s="158"/>
      <c r="C204" s="13"/>
      <c r="D204" s="157"/>
      <c r="E204" s="160"/>
      <c r="F204" s="157"/>
      <c r="G204" s="157"/>
      <c r="H204" s="157"/>
      <c r="I204" s="404"/>
      <c r="J204" s="409"/>
      <c r="K204" s="404"/>
      <c r="L204" s="404"/>
      <c r="M204" s="404"/>
      <c r="N204" s="404"/>
      <c r="O204" s="404"/>
      <c r="P204" s="404"/>
      <c r="Q204" s="418"/>
      <c r="R204" s="403"/>
      <c r="S204" s="427"/>
      <c r="T204" s="428"/>
      <c r="U204" s="429"/>
      <c r="V204" s="428"/>
      <c r="W204" s="383"/>
      <c r="X204" s="383"/>
      <c r="Y204" s="404"/>
      <c r="Z204" s="409"/>
      <c r="AA204" s="404"/>
      <c r="AB204" s="404"/>
      <c r="AC204" s="404"/>
      <c r="AD204" s="404"/>
      <c r="AE204" s="404"/>
      <c r="AF204" s="404"/>
      <c r="AG204" s="404"/>
      <c r="AH204" s="409"/>
      <c r="AI204" s="404"/>
      <c r="AJ204" s="404"/>
      <c r="AK204" s="404"/>
      <c r="AL204" s="404"/>
      <c r="AM204" s="404"/>
      <c r="AN204" s="404"/>
      <c r="AO204" s="404"/>
      <c r="AP204" s="409"/>
      <c r="AQ204" s="404"/>
      <c r="AR204" s="404"/>
      <c r="AS204" s="404"/>
      <c r="AT204" s="404"/>
      <c r="AU204" s="404"/>
      <c r="AV204" s="404"/>
      <c r="AW204" s="254"/>
      <c r="AX204" s="409"/>
      <c r="AY204" s="404"/>
      <c r="AZ204" s="404"/>
      <c r="BA204" s="404"/>
      <c r="BB204" s="404"/>
      <c r="BC204" s="404"/>
      <c r="BD204" s="404"/>
      <c r="BE204" s="404"/>
      <c r="BF204" s="409"/>
      <c r="BG204" s="404"/>
      <c r="BH204" s="404"/>
      <c r="BI204" s="404"/>
      <c r="BJ204" s="404"/>
      <c r="BK204" s="404"/>
      <c r="BL204" s="404"/>
    </row>
    <row r="205" spans="1:64" s="52" customFormat="1" ht="8.1" customHeight="1">
      <c r="A205" s="158"/>
      <c r="B205" s="158"/>
      <c r="C205" s="13"/>
      <c r="D205" s="157"/>
      <c r="E205" s="160"/>
      <c r="F205" s="157"/>
      <c r="G205" s="157"/>
      <c r="H205" s="157"/>
      <c r="I205" s="404"/>
      <c r="J205" s="409"/>
      <c r="K205" s="404"/>
      <c r="L205" s="404"/>
      <c r="M205" s="404"/>
      <c r="N205" s="404"/>
      <c r="O205" s="404"/>
      <c r="P205" s="404"/>
      <c r="Q205" s="418"/>
      <c r="R205" s="403"/>
      <c r="S205" s="427"/>
      <c r="T205" s="428"/>
      <c r="U205" s="429"/>
      <c r="V205" s="428"/>
      <c r="W205" s="383"/>
      <c r="X205" s="383"/>
      <c r="Y205" s="404"/>
      <c r="Z205" s="409"/>
      <c r="AA205" s="404"/>
      <c r="AB205" s="404"/>
      <c r="AC205" s="404"/>
      <c r="AD205" s="404"/>
      <c r="AE205" s="404"/>
      <c r="AF205" s="404"/>
      <c r="AG205" s="404"/>
      <c r="AH205" s="409"/>
      <c r="AI205" s="404"/>
      <c r="AJ205" s="404"/>
      <c r="AK205" s="404"/>
      <c r="AL205" s="404"/>
      <c r="AM205" s="404"/>
      <c r="AN205" s="404"/>
      <c r="AO205" s="404"/>
      <c r="AP205" s="409"/>
      <c r="AQ205" s="404"/>
      <c r="AR205" s="404"/>
      <c r="AS205" s="404"/>
      <c r="AT205" s="404"/>
      <c r="AU205" s="404"/>
      <c r="AV205" s="404"/>
      <c r="AW205" s="254"/>
      <c r="AX205" s="405"/>
      <c r="AY205" s="254"/>
      <c r="AZ205" s="254"/>
      <c r="BA205" s="254"/>
      <c r="BB205" s="254"/>
      <c r="BC205" s="254"/>
      <c r="BD205" s="254"/>
      <c r="BE205" s="404"/>
      <c r="BF205" s="409"/>
      <c r="BG205" s="404"/>
      <c r="BH205" s="404"/>
      <c r="BI205" s="404"/>
      <c r="BJ205" s="404"/>
      <c r="BK205" s="404"/>
      <c r="BL205" s="404"/>
    </row>
    <row r="206" spans="1:64">
      <c r="BE206" s="404"/>
      <c r="BF206" s="409"/>
      <c r="BG206" s="404"/>
      <c r="BH206" s="404"/>
      <c r="BI206" s="404"/>
      <c r="BJ206" s="404"/>
      <c r="BK206" s="404"/>
      <c r="BL206" s="404"/>
    </row>
    <row r="207" spans="1:64">
      <c r="BE207" s="404"/>
      <c r="BF207" s="409"/>
      <c r="BG207" s="404"/>
      <c r="BH207" s="404"/>
      <c r="BI207" s="404"/>
      <c r="BJ207" s="404"/>
      <c r="BK207" s="404"/>
      <c r="BL207" s="404"/>
    </row>
    <row r="208" spans="1:64">
      <c r="BE208" s="404"/>
      <c r="BF208" s="409"/>
      <c r="BG208" s="404"/>
      <c r="BH208" s="404"/>
      <c r="BI208" s="404"/>
      <c r="BJ208" s="404"/>
      <c r="BK208" s="404"/>
      <c r="BL208" s="404"/>
    </row>
    <row r="209" spans="57:64">
      <c r="BE209" s="404"/>
      <c r="BF209" s="409"/>
      <c r="BG209" s="404"/>
      <c r="BH209" s="404"/>
      <c r="BI209" s="404"/>
      <c r="BJ209" s="404"/>
      <c r="BK209" s="404"/>
      <c r="BL209" s="404"/>
    </row>
  </sheetData>
  <mergeCells count="55">
    <mergeCell ref="A56:B56"/>
    <mergeCell ref="BI2:BI3"/>
    <mergeCell ref="BJ2:BJ3"/>
    <mergeCell ref="BK2:BL2"/>
    <mergeCell ref="AY1:BD1"/>
    <mergeCell ref="BE1:BI1"/>
    <mergeCell ref="BJ1:BL1"/>
    <mergeCell ref="AW2:AY3"/>
    <mergeCell ref="AZ2:AZ3"/>
    <mergeCell ref="BA2:BA3"/>
    <mergeCell ref="BB2:BB3"/>
    <mergeCell ref="BC2:BD2"/>
    <mergeCell ref="BE2:BG3"/>
    <mergeCell ref="BH2:BH3"/>
    <mergeCell ref="A1:H1"/>
    <mergeCell ref="I1:M1"/>
    <mergeCell ref="N1:P1"/>
    <mergeCell ref="S1:X1"/>
    <mergeCell ref="Y1:AC1"/>
    <mergeCell ref="AD1:AF1"/>
    <mergeCell ref="AI1:AN1"/>
    <mergeCell ref="AO1:AS1"/>
    <mergeCell ref="AT1:AV1"/>
    <mergeCell ref="A2:C3"/>
    <mergeCell ref="D2:D3"/>
    <mergeCell ref="E2:E3"/>
    <mergeCell ref="F2:F3"/>
    <mergeCell ref="G2:H2"/>
    <mergeCell ref="I2:K3"/>
    <mergeCell ref="L2:L3"/>
    <mergeCell ref="M2:M3"/>
    <mergeCell ref="N2:N3"/>
    <mergeCell ref="O2:P2"/>
    <mergeCell ref="Q2:S3"/>
    <mergeCell ref="T2:T3"/>
    <mergeCell ref="U2:U3"/>
    <mergeCell ref="AK2:AK3"/>
    <mergeCell ref="AL2:AL3"/>
    <mergeCell ref="AM2:AN2"/>
    <mergeCell ref="V2:V3"/>
    <mergeCell ref="W2:X2"/>
    <mergeCell ref="Y2:AA3"/>
    <mergeCell ref="AB2:AB3"/>
    <mergeCell ref="AC2:AC3"/>
    <mergeCell ref="AD2:AD3"/>
    <mergeCell ref="AO2:AQ3"/>
    <mergeCell ref="AR2:AR3"/>
    <mergeCell ref="AS2:AS3"/>
    <mergeCell ref="AT2:AT3"/>
    <mergeCell ref="AU2:AV2"/>
    <mergeCell ref="A4:C4"/>
    <mergeCell ref="F4:H4"/>
    <mergeCell ref="AE2:AF2"/>
    <mergeCell ref="AG2:AI3"/>
    <mergeCell ref="AJ2:AJ3"/>
  </mergeCells>
  <pageMargins left="0.62992125984252001" right="0.511811023622047" top="0.39370078740157499" bottom="0.511811023622047" header="0.25" footer="0"/>
  <pageSetup paperSize="141" firstPageNumber="56" orientation="portrait" useFirstPageNumber="1" r:id="rId1"/>
  <headerFooter alignWithMargins="0">
    <oddFooter>&amp;C&amp;"Times New Roman,Regular"&amp;8&amp;P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6"/>
  <dimension ref="A1:U57"/>
  <sheetViews>
    <sheetView zoomScale="130" zoomScaleNormal="130" workbookViewId="0">
      <pane xSplit="4" ySplit="3" topLeftCell="E25" activePane="bottomRight" state="frozen"/>
      <selection pane="topRight" activeCell="E1" sqref="E1"/>
      <selection pane="bottomLeft" activeCell="A5" sqref="A5"/>
      <selection pane="bottomRight" activeCell="D52" sqref="D52"/>
    </sheetView>
  </sheetViews>
  <sheetFormatPr defaultColWidth="9.140625" defaultRowHeight="12.75"/>
  <cols>
    <col min="1" max="1" width="2.28515625" style="630" customWidth="1"/>
    <col min="2" max="2" width="3" style="10" customWidth="1"/>
    <col min="3" max="3" width="2.85546875" style="58" customWidth="1"/>
    <col min="4" max="4" width="33.42578125" style="10" customWidth="1"/>
    <col min="5" max="5" width="7.140625" style="10" customWidth="1"/>
    <col min="6" max="6" width="7" style="10" customWidth="1"/>
    <col min="7" max="7" width="6.5703125" style="10" customWidth="1"/>
    <col min="8" max="9" width="7" style="10" customWidth="1"/>
    <col min="10" max="11" width="6.140625" style="10" customWidth="1"/>
    <col min="12" max="12" width="6.42578125" style="10" customWidth="1"/>
    <col min="13" max="13" width="6.28515625" style="10" customWidth="1"/>
    <col min="14" max="14" width="6.85546875" style="10" customWidth="1"/>
    <col min="15" max="15" width="7.28515625" style="10" customWidth="1"/>
    <col min="16" max="16" width="6.42578125" style="10" customWidth="1"/>
    <col min="17" max="17" width="6" style="10" customWidth="1"/>
    <col min="18" max="19" width="6.7109375" style="10" customWidth="1"/>
    <col min="20" max="20" width="5.7109375" style="10" customWidth="1"/>
    <col min="21" max="21" width="7.28515625" style="10" customWidth="1"/>
    <col min="22" max="16384" width="9.140625" style="10"/>
  </cols>
  <sheetData>
    <row r="1" spans="1:21" s="532" customFormat="1" ht="14.25" customHeight="1">
      <c r="A1" s="2102" t="s">
        <v>2237</v>
      </c>
      <c r="B1" s="2102"/>
      <c r="C1" s="2102"/>
      <c r="D1" s="2102"/>
      <c r="E1" s="2102"/>
      <c r="F1" s="2102"/>
      <c r="G1" s="2102"/>
      <c r="H1" s="2102"/>
      <c r="I1" s="2102"/>
      <c r="J1" s="2103" t="s">
        <v>2238</v>
      </c>
      <c r="K1" s="2103"/>
      <c r="L1" s="2103"/>
      <c r="M1" s="2103"/>
      <c r="N1" s="2103"/>
      <c r="O1" s="2103"/>
      <c r="P1" s="2103"/>
      <c r="Q1" s="2103"/>
      <c r="R1" s="2103"/>
      <c r="S1" s="2101" t="s">
        <v>1856</v>
      </c>
      <c r="T1" s="2101"/>
      <c r="U1" s="2101"/>
    </row>
    <row r="2" spans="1:21" s="111" customFormat="1" ht="48" customHeight="1">
      <c r="A2" s="2104" t="s">
        <v>43</v>
      </c>
      <c r="B2" s="2105"/>
      <c r="C2" s="2105"/>
      <c r="D2" s="2106"/>
      <c r="E2" s="168" t="s">
        <v>1436</v>
      </c>
      <c r="F2" s="42" t="s">
        <v>1437</v>
      </c>
      <c r="G2" s="42" t="s">
        <v>1438</v>
      </c>
      <c r="H2" s="42" t="s">
        <v>1439</v>
      </c>
      <c r="I2" s="42" t="s">
        <v>1440</v>
      </c>
      <c r="J2" s="42" t="s">
        <v>1441</v>
      </c>
      <c r="K2" s="42" t="s">
        <v>1442</v>
      </c>
      <c r="L2" s="42" t="s">
        <v>1443</v>
      </c>
      <c r="M2" s="42" t="s">
        <v>1444</v>
      </c>
      <c r="N2" s="42" t="s">
        <v>1445</v>
      </c>
      <c r="O2" s="42" t="s">
        <v>1429</v>
      </c>
      <c r="P2" s="42" t="s">
        <v>1446</v>
      </c>
      <c r="Q2" s="42" t="s">
        <v>1447</v>
      </c>
      <c r="R2" s="42" t="s">
        <v>1448</v>
      </c>
      <c r="S2" s="169" t="s">
        <v>1449</v>
      </c>
      <c r="T2" s="211" t="s">
        <v>1945</v>
      </c>
      <c r="U2" s="211" t="s">
        <v>1946</v>
      </c>
    </row>
    <row r="3" spans="1:21" s="111" customFormat="1" ht="10.5" customHeight="1">
      <c r="A3" s="2107"/>
      <c r="B3" s="2108"/>
      <c r="C3" s="2108"/>
      <c r="D3" s="2109"/>
      <c r="E3" s="42">
        <v>1</v>
      </c>
      <c r="F3" s="42">
        <v>2</v>
      </c>
      <c r="G3" s="42">
        <v>3</v>
      </c>
      <c r="H3" s="42">
        <v>4</v>
      </c>
      <c r="I3" s="42">
        <v>5</v>
      </c>
      <c r="J3" s="42">
        <v>6</v>
      </c>
      <c r="K3" s="42">
        <v>7</v>
      </c>
      <c r="L3" s="42">
        <v>8</v>
      </c>
      <c r="M3" s="42">
        <v>9</v>
      </c>
      <c r="N3" s="42">
        <v>10</v>
      </c>
      <c r="O3" s="42">
        <v>11</v>
      </c>
      <c r="P3" s="42">
        <v>12</v>
      </c>
      <c r="Q3" s="42">
        <v>13</v>
      </c>
      <c r="R3" s="42">
        <v>14</v>
      </c>
      <c r="S3" s="42">
        <v>15</v>
      </c>
      <c r="T3" s="42">
        <v>16</v>
      </c>
      <c r="U3" s="42">
        <v>17</v>
      </c>
    </row>
    <row r="4" spans="1:21" s="70" customFormat="1" ht="13.5" customHeight="1">
      <c r="A4" s="623" t="s">
        <v>111</v>
      </c>
      <c r="B4" s="2092" t="s">
        <v>112</v>
      </c>
      <c r="C4" s="2092"/>
      <c r="D4" s="2092"/>
      <c r="E4" s="721">
        <v>7</v>
      </c>
      <c r="F4" s="721">
        <v>7.5</v>
      </c>
      <c r="G4" s="721">
        <v>8</v>
      </c>
      <c r="H4" s="721">
        <v>7</v>
      </c>
      <c r="I4" s="721">
        <v>6</v>
      </c>
      <c r="J4" s="721">
        <v>6</v>
      </c>
      <c r="K4" s="721">
        <v>6</v>
      </c>
      <c r="L4" s="721">
        <v>5</v>
      </c>
      <c r="M4" s="721">
        <v>5</v>
      </c>
      <c r="N4" s="721">
        <v>5</v>
      </c>
      <c r="O4" s="721">
        <v>5</v>
      </c>
      <c r="P4" s="721">
        <v>5</v>
      </c>
      <c r="Q4" s="721">
        <v>5</v>
      </c>
      <c r="R4" s="721">
        <v>5</v>
      </c>
      <c r="S4" s="721">
        <v>5</v>
      </c>
      <c r="T4" s="721">
        <v>5</v>
      </c>
      <c r="U4" s="721">
        <v>5</v>
      </c>
    </row>
    <row r="5" spans="1:21" s="589" customFormat="1" ht="13.5" customHeight="1">
      <c r="A5" s="624" t="s">
        <v>790</v>
      </c>
      <c r="B5" s="2097" t="s">
        <v>1430</v>
      </c>
      <c r="C5" s="2097"/>
      <c r="D5" s="2097"/>
      <c r="E5" s="722"/>
      <c r="F5" s="722"/>
      <c r="G5" s="722"/>
      <c r="H5" s="722"/>
      <c r="I5" s="722"/>
      <c r="J5" s="722"/>
      <c r="K5" s="722"/>
      <c r="L5" s="722"/>
      <c r="M5" s="722"/>
      <c r="N5" s="722"/>
      <c r="O5" s="722"/>
      <c r="P5" s="722"/>
      <c r="Q5" s="722"/>
      <c r="R5" s="722"/>
      <c r="S5" s="722"/>
      <c r="T5" s="722"/>
      <c r="U5" s="722"/>
    </row>
    <row r="6" spans="1:21" s="589" customFormat="1" ht="12">
      <c r="A6" s="2092" t="s">
        <v>1537</v>
      </c>
      <c r="B6" s="2092"/>
      <c r="C6" s="2092"/>
      <c r="D6" s="2092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</row>
    <row r="7" spans="1:21" s="589" customFormat="1" ht="12" customHeight="1">
      <c r="A7" s="626"/>
      <c r="B7" s="2098" t="s">
        <v>1412</v>
      </c>
      <c r="C7" s="2098"/>
      <c r="D7" s="2098"/>
      <c r="E7" s="388">
        <v>8.5</v>
      </c>
      <c r="F7" s="388">
        <v>8.5</v>
      </c>
      <c r="G7" s="388">
        <v>8.5</v>
      </c>
      <c r="H7" s="388">
        <v>8.5</v>
      </c>
      <c r="I7" s="388">
        <v>8.5</v>
      </c>
      <c r="J7" s="388">
        <v>8.5</v>
      </c>
      <c r="K7" s="388">
        <v>8.5</v>
      </c>
      <c r="L7" s="388">
        <v>8.5</v>
      </c>
      <c r="M7" s="388">
        <v>7.5</v>
      </c>
      <c r="N7" s="388">
        <v>7.5</v>
      </c>
      <c r="O7" s="388">
        <v>7.5</v>
      </c>
      <c r="P7" s="388">
        <v>7.5</v>
      </c>
      <c r="Q7" s="388">
        <v>7.5</v>
      </c>
      <c r="R7" s="388">
        <v>7.5</v>
      </c>
      <c r="S7" s="388">
        <v>7.5</v>
      </c>
      <c r="T7" s="388">
        <v>7.5</v>
      </c>
      <c r="U7" s="388">
        <v>7.5</v>
      </c>
    </row>
    <row r="8" spans="1:21" s="590" customFormat="1" ht="13.5" customHeight="1">
      <c r="A8" s="634"/>
      <c r="B8" s="2100" t="s">
        <v>1422</v>
      </c>
      <c r="C8" s="2100"/>
      <c r="D8" s="2100"/>
      <c r="E8" s="723"/>
      <c r="F8" s="723"/>
      <c r="G8" s="723"/>
      <c r="H8" s="723"/>
      <c r="I8" s="723"/>
      <c r="J8" s="723"/>
      <c r="K8" s="723"/>
      <c r="L8" s="723"/>
      <c r="M8" s="723"/>
      <c r="N8" s="723"/>
      <c r="O8" s="723"/>
      <c r="P8" s="723"/>
      <c r="Q8" s="723"/>
      <c r="R8" s="723"/>
      <c r="S8" s="723"/>
      <c r="T8" s="723"/>
      <c r="U8" s="723"/>
    </row>
    <row r="9" spans="1:21" s="589" customFormat="1" ht="12.75" customHeight="1">
      <c r="A9" s="626"/>
      <c r="B9" s="592"/>
      <c r="C9" s="2093" t="s">
        <v>1421</v>
      </c>
      <c r="D9" s="2093"/>
      <c r="E9" s="388">
        <v>10.5</v>
      </c>
      <c r="F9" s="388">
        <v>10.5</v>
      </c>
      <c r="G9" s="388">
        <v>10.5</v>
      </c>
      <c r="H9" s="388">
        <v>10.5</v>
      </c>
      <c r="I9" s="388">
        <v>10.5</v>
      </c>
      <c r="J9" s="388">
        <v>10.5</v>
      </c>
      <c r="K9" s="388">
        <v>10.5</v>
      </c>
      <c r="L9" s="388">
        <v>10.5</v>
      </c>
      <c r="M9" s="388">
        <v>9.5</v>
      </c>
      <c r="N9" s="388">
        <v>9.5</v>
      </c>
      <c r="O9" s="388">
        <v>9.5</v>
      </c>
      <c r="P9" s="388">
        <v>9.5</v>
      </c>
      <c r="Q9" s="388">
        <v>9.5</v>
      </c>
      <c r="R9" s="388">
        <v>9.5</v>
      </c>
      <c r="S9" s="388">
        <v>10.4</v>
      </c>
      <c r="T9" s="388">
        <v>10.4</v>
      </c>
      <c r="U9" s="388">
        <v>10.4</v>
      </c>
    </row>
    <row r="10" spans="1:21" s="589" customFormat="1" ht="12.75" customHeight="1">
      <c r="A10" s="625"/>
      <c r="B10" s="597"/>
      <c r="C10" s="2094" t="s">
        <v>1420</v>
      </c>
      <c r="D10" s="2094"/>
      <c r="E10" s="479">
        <v>11.5</v>
      </c>
      <c r="F10" s="479">
        <v>11.5</v>
      </c>
      <c r="G10" s="479">
        <v>11.5</v>
      </c>
      <c r="H10" s="479">
        <v>11.5</v>
      </c>
      <c r="I10" s="479">
        <v>11.5</v>
      </c>
      <c r="J10" s="479">
        <v>11.5</v>
      </c>
      <c r="K10" s="479">
        <v>11.5</v>
      </c>
      <c r="L10" s="479">
        <v>11.5</v>
      </c>
      <c r="M10" s="479">
        <v>10.5</v>
      </c>
      <c r="N10" s="479">
        <v>10.5</v>
      </c>
      <c r="O10" s="479">
        <v>10.5</v>
      </c>
      <c r="P10" s="479">
        <v>10.5</v>
      </c>
      <c r="Q10" s="479">
        <v>10.5</v>
      </c>
      <c r="R10" s="479">
        <v>10.5</v>
      </c>
      <c r="S10" s="479">
        <v>11.4</v>
      </c>
      <c r="T10" s="479">
        <v>11.4</v>
      </c>
      <c r="U10" s="479">
        <v>11.4</v>
      </c>
    </row>
    <row r="11" spans="1:21" s="589" customFormat="1" ht="12.75" customHeight="1">
      <c r="A11" s="626"/>
      <c r="B11" s="592"/>
      <c r="C11" s="2093" t="s">
        <v>1419</v>
      </c>
      <c r="D11" s="2093"/>
      <c r="E11" s="388">
        <v>12.5</v>
      </c>
      <c r="F11" s="388">
        <v>12.5</v>
      </c>
      <c r="G11" s="388">
        <v>12.5</v>
      </c>
      <c r="H11" s="388">
        <v>12.5</v>
      </c>
      <c r="I11" s="388">
        <v>12.5</v>
      </c>
      <c r="J11" s="388">
        <v>12.5</v>
      </c>
      <c r="K11" s="388">
        <v>12.5</v>
      </c>
      <c r="L11" s="388">
        <v>12.5</v>
      </c>
      <c r="M11" s="388">
        <v>11.5</v>
      </c>
      <c r="N11" s="388">
        <v>11.5</v>
      </c>
      <c r="O11" s="388">
        <v>11.5</v>
      </c>
      <c r="P11" s="388">
        <v>11.5</v>
      </c>
      <c r="Q11" s="388">
        <v>11.5</v>
      </c>
      <c r="R11" s="388">
        <v>11.5</v>
      </c>
      <c r="S11" s="388" t="s">
        <v>1644</v>
      </c>
      <c r="T11" s="388" t="s">
        <v>1644</v>
      </c>
      <c r="U11" s="388" t="s">
        <v>1947</v>
      </c>
    </row>
    <row r="12" spans="1:21" s="590" customFormat="1" ht="12.75" customHeight="1">
      <c r="A12" s="634"/>
      <c r="B12" s="2100" t="s">
        <v>1415</v>
      </c>
      <c r="C12" s="2100"/>
      <c r="D12" s="2100"/>
      <c r="E12" s="723"/>
      <c r="F12" s="723"/>
      <c r="G12" s="723"/>
      <c r="H12" s="723"/>
      <c r="I12" s="723"/>
      <c r="J12" s="723"/>
      <c r="K12" s="723"/>
      <c r="L12" s="723"/>
      <c r="M12" s="723"/>
      <c r="N12" s="723"/>
      <c r="O12" s="723"/>
      <c r="P12" s="723"/>
      <c r="Q12" s="723"/>
      <c r="R12" s="723"/>
      <c r="S12" s="723"/>
      <c r="T12" s="723"/>
      <c r="U12" s="723"/>
    </row>
    <row r="13" spans="1:21" s="589" customFormat="1" ht="12.75" customHeight="1">
      <c r="A13" s="626"/>
      <c r="B13" s="592"/>
      <c r="C13" s="2098" t="s">
        <v>1421</v>
      </c>
      <c r="D13" s="2098"/>
      <c r="E13" s="388">
        <v>9.5</v>
      </c>
      <c r="F13" s="388">
        <v>9.5</v>
      </c>
      <c r="G13" s="388">
        <v>9.5</v>
      </c>
      <c r="H13" s="388">
        <v>9.5</v>
      </c>
      <c r="I13" s="388">
        <v>9.5</v>
      </c>
      <c r="J13" s="388">
        <v>9.5</v>
      </c>
      <c r="K13" s="388">
        <v>9.5</v>
      </c>
      <c r="L13" s="388">
        <v>9.5</v>
      </c>
      <c r="M13" s="388">
        <v>8.5</v>
      </c>
      <c r="N13" s="388">
        <v>8.5</v>
      </c>
      <c r="O13" s="388">
        <v>8.5</v>
      </c>
      <c r="P13" s="388">
        <v>8.5</v>
      </c>
      <c r="Q13" s="388">
        <v>8.5</v>
      </c>
      <c r="R13" s="388">
        <v>8.5</v>
      </c>
      <c r="S13" s="388">
        <v>10</v>
      </c>
      <c r="T13" s="388">
        <v>10</v>
      </c>
      <c r="U13" s="388">
        <v>10</v>
      </c>
    </row>
    <row r="14" spans="1:21" s="589" customFormat="1" ht="12.75" customHeight="1">
      <c r="A14" s="625"/>
      <c r="B14" s="597"/>
      <c r="C14" s="2099" t="s">
        <v>1420</v>
      </c>
      <c r="D14" s="2099"/>
      <c r="E14" s="479">
        <v>10</v>
      </c>
      <c r="F14" s="479">
        <v>10</v>
      </c>
      <c r="G14" s="479">
        <v>10</v>
      </c>
      <c r="H14" s="479">
        <v>10</v>
      </c>
      <c r="I14" s="479">
        <v>10</v>
      </c>
      <c r="J14" s="479">
        <v>10</v>
      </c>
      <c r="K14" s="479">
        <v>10</v>
      </c>
      <c r="L14" s="479">
        <v>10</v>
      </c>
      <c r="M14" s="479">
        <v>9</v>
      </c>
      <c r="N14" s="479">
        <v>9</v>
      </c>
      <c r="O14" s="479">
        <v>9</v>
      </c>
      <c r="P14" s="479">
        <v>9</v>
      </c>
      <c r="Q14" s="479">
        <v>9</v>
      </c>
      <c r="R14" s="479">
        <v>9</v>
      </c>
      <c r="S14" s="479">
        <v>10.5</v>
      </c>
      <c r="T14" s="479">
        <v>10.5</v>
      </c>
      <c r="U14" s="479">
        <v>10.5</v>
      </c>
    </row>
    <row r="15" spans="1:21" s="589" customFormat="1" ht="12.75" customHeight="1">
      <c r="A15" s="626"/>
      <c r="B15" s="592"/>
      <c r="C15" s="2098" t="s">
        <v>1419</v>
      </c>
      <c r="D15" s="2098"/>
      <c r="E15" s="388">
        <v>10.5</v>
      </c>
      <c r="F15" s="388">
        <v>10.5</v>
      </c>
      <c r="G15" s="388">
        <v>10.5</v>
      </c>
      <c r="H15" s="388">
        <v>10.5</v>
      </c>
      <c r="I15" s="388">
        <v>10.5</v>
      </c>
      <c r="J15" s="388">
        <v>10.5</v>
      </c>
      <c r="K15" s="388">
        <v>10.5</v>
      </c>
      <c r="L15" s="388">
        <v>10.5</v>
      </c>
      <c r="M15" s="388">
        <v>9.5</v>
      </c>
      <c r="N15" s="388">
        <v>9.5</v>
      </c>
      <c r="O15" s="388">
        <v>9.5</v>
      </c>
      <c r="P15" s="388">
        <v>9.5</v>
      </c>
      <c r="Q15" s="388">
        <v>9.5</v>
      </c>
      <c r="R15" s="388">
        <v>9.5</v>
      </c>
      <c r="S15" s="388">
        <v>11</v>
      </c>
      <c r="T15" s="388">
        <v>11</v>
      </c>
      <c r="U15" s="388">
        <v>11</v>
      </c>
    </row>
    <row r="16" spans="1:21" s="589" customFormat="1" ht="13.5" customHeight="1">
      <c r="A16" s="2113" t="s">
        <v>1538</v>
      </c>
      <c r="B16" s="2113"/>
      <c r="C16" s="2113"/>
      <c r="D16" s="2113"/>
      <c r="E16" s="433"/>
      <c r="F16" s="433"/>
      <c r="G16" s="433"/>
      <c r="H16" s="433"/>
      <c r="I16" s="433"/>
      <c r="J16" s="433"/>
      <c r="K16" s="433"/>
      <c r="L16" s="433"/>
      <c r="M16" s="433"/>
      <c r="N16" s="433"/>
      <c r="O16" s="439"/>
      <c r="P16" s="439"/>
      <c r="Q16" s="439"/>
      <c r="R16" s="439"/>
      <c r="S16" s="439"/>
      <c r="T16" s="439"/>
      <c r="U16" s="439"/>
    </row>
    <row r="17" spans="1:21" s="589" customFormat="1" ht="12" customHeight="1">
      <c r="A17" s="628"/>
      <c r="B17" s="2096" t="s">
        <v>1431</v>
      </c>
      <c r="C17" s="2096"/>
      <c r="D17" s="2096"/>
      <c r="E17" s="724" t="s">
        <v>890</v>
      </c>
      <c r="F17" s="724" t="s">
        <v>890</v>
      </c>
      <c r="G17" s="724" t="s">
        <v>890</v>
      </c>
      <c r="H17" s="349">
        <v>13.5</v>
      </c>
      <c r="I17" s="349">
        <v>13.5</v>
      </c>
      <c r="J17" s="349">
        <v>12</v>
      </c>
      <c r="K17" s="349">
        <v>12</v>
      </c>
      <c r="L17" s="349">
        <v>12</v>
      </c>
      <c r="M17" s="349">
        <v>12</v>
      </c>
      <c r="N17" s="349">
        <v>11.5</v>
      </c>
      <c r="O17" s="349">
        <v>11.5</v>
      </c>
      <c r="P17" s="394">
        <v>10</v>
      </c>
      <c r="Q17" s="394">
        <v>10</v>
      </c>
      <c r="R17" s="394">
        <v>10</v>
      </c>
      <c r="S17" s="394" t="s">
        <v>1815</v>
      </c>
      <c r="T17" s="394" t="s">
        <v>1815</v>
      </c>
      <c r="U17" s="394" t="s">
        <v>1948</v>
      </c>
    </row>
    <row r="18" spans="1:21" s="589" customFormat="1" ht="12" customHeight="1">
      <c r="A18" s="627"/>
      <c r="B18" s="2095" t="s">
        <v>1432</v>
      </c>
      <c r="C18" s="2095"/>
      <c r="D18" s="2095"/>
      <c r="E18" s="433">
        <v>14.5</v>
      </c>
      <c r="F18" s="433">
        <v>14.5</v>
      </c>
      <c r="G18" s="433">
        <v>14.5</v>
      </c>
      <c r="H18" s="433">
        <v>14.5</v>
      </c>
      <c r="I18" s="433">
        <v>14.5</v>
      </c>
      <c r="J18" s="433">
        <v>12.5</v>
      </c>
      <c r="K18" s="433">
        <v>12.5</v>
      </c>
      <c r="L18" s="433">
        <v>12.5</v>
      </c>
      <c r="M18" s="433">
        <v>12.5</v>
      </c>
      <c r="N18" s="433">
        <v>12</v>
      </c>
      <c r="O18" s="433">
        <v>12</v>
      </c>
      <c r="P18" s="439">
        <v>10.5</v>
      </c>
      <c r="Q18" s="439">
        <v>10.5</v>
      </c>
      <c r="R18" s="439">
        <v>10.5</v>
      </c>
      <c r="S18" s="433" t="s">
        <v>1816</v>
      </c>
      <c r="T18" s="433" t="s">
        <v>1816</v>
      </c>
      <c r="U18" s="433" t="s">
        <v>1949</v>
      </c>
    </row>
    <row r="19" spans="1:21" s="589" customFormat="1" ht="12" customHeight="1">
      <c r="A19" s="628"/>
      <c r="B19" s="2112" t="s">
        <v>1433</v>
      </c>
      <c r="C19" s="2112"/>
      <c r="D19" s="2112"/>
      <c r="E19" s="724" t="s">
        <v>890</v>
      </c>
      <c r="F19" s="724" t="s">
        <v>890</v>
      </c>
      <c r="G19" s="724" t="s">
        <v>890</v>
      </c>
      <c r="H19" s="724" t="s">
        <v>890</v>
      </c>
      <c r="I19" s="724" t="s">
        <v>890</v>
      </c>
      <c r="J19" s="724" t="s">
        <v>890</v>
      </c>
      <c r="K19" s="724" t="s">
        <v>890</v>
      </c>
      <c r="L19" s="724" t="s">
        <v>890</v>
      </c>
      <c r="M19" s="724" t="s">
        <v>890</v>
      </c>
      <c r="N19" s="563">
        <v>12.5</v>
      </c>
      <c r="O19" s="349">
        <v>12.5</v>
      </c>
      <c r="P19" s="349">
        <v>12.5</v>
      </c>
      <c r="Q19" s="394">
        <v>11</v>
      </c>
      <c r="R19" s="394">
        <v>11</v>
      </c>
      <c r="S19" s="394" t="s">
        <v>1816</v>
      </c>
      <c r="T19" s="394" t="s">
        <v>1816</v>
      </c>
      <c r="U19" s="394" t="s">
        <v>1950</v>
      </c>
    </row>
    <row r="20" spans="1:21" s="589" customFormat="1" ht="12.75" customHeight="1">
      <c r="A20" s="627"/>
      <c r="B20" s="2115" t="s">
        <v>1434</v>
      </c>
      <c r="C20" s="2115"/>
      <c r="D20" s="2115"/>
      <c r="E20" s="725" t="s">
        <v>890</v>
      </c>
      <c r="F20" s="725" t="s">
        <v>890</v>
      </c>
      <c r="G20" s="725" t="s">
        <v>890</v>
      </c>
      <c r="H20" s="725" t="s">
        <v>890</v>
      </c>
      <c r="I20" s="725" t="s">
        <v>890</v>
      </c>
      <c r="J20" s="725" t="s">
        <v>890</v>
      </c>
      <c r="K20" s="725" t="s">
        <v>890</v>
      </c>
      <c r="L20" s="725" t="s">
        <v>890</v>
      </c>
      <c r="M20" s="725" t="s">
        <v>890</v>
      </c>
      <c r="N20" s="725" t="s">
        <v>890</v>
      </c>
      <c r="O20" s="725" t="s">
        <v>890</v>
      </c>
      <c r="P20" s="725" t="s">
        <v>890</v>
      </c>
      <c r="Q20" s="439">
        <v>11.04</v>
      </c>
      <c r="R20" s="439">
        <v>11.04</v>
      </c>
      <c r="S20" s="438" t="s">
        <v>1817</v>
      </c>
      <c r="T20" s="438" t="s">
        <v>1817</v>
      </c>
      <c r="U20" s="438" t="s">
        <v>1951</v>
      </c>
    </row>
    <row r="21" spans="1:21" s="589" customFormat="1" ht="12.75" customHeight="1">
      <c r="A21" s="2114" t="s">
        <v>2367</v>
      </c>
      <c r="B21" s="2114"/>
      <c r="C21" s="2114"/>
      <c r="D21" s="2114"/>
      <c r="E21" s="262"/>
      <c r="F21" s="587"/>
      <c r="G21" s="260"/>
      <c r="H21" s="260"/>
      <c r="I21" s="260"/>
      <c r="J21" s="260"/>
      <c r="K21" s="631"/>
      <c r="L21" s="631"/>
      <c r="M21" s="631"/>
      <c r="N21" s="631"/>
      <c r="O21" s="631"/>
      <c r="P21" s="631"/>
      <c r="Q21" s="631"/>
      <c r="R21" s="631"/>
      <c r="S21" s="631"/>
      <c r="T21" s="631"/>
      <c r="U21" s="631"/>
    </row>
    <row r="22" spans="1:21" s="589" customFormat="1" ht="12.75" customHeight="1">
      <c r="A22" s="627"/>
      <c r="B22" s="599"/>
      <c r="C22" s="2084" t="s">
        <v>1406</v>
      </c>
      <c r="D22" s="2084"/>
      <c r="E22" s="622" t="s">
        <v>1405</v>
      </c>
      <c r="F22" s="622" t="s">
        <v>1405</v>
      </c>
      <c r="G22" s="622" t="s">
        <v>1405</v>
      </c>
      <c r="H22" s="622" t="s">
        <v>1405</v>
      </c>
      <c r="I22" s="622" t="s">
        <v>1405</v>
      </c>
      <c r="J22" s="622" t="s">
        <v>1405</v>
      </c>
      <c r="K22" s="622" t="s">
        <v>1405</v>
      </c>
      <c r="L22" s="622" t="s">
        <v>1405</v>
      </c>
      <c r="M22" s="622" t="s">
        <v>1405</v>
      </c>
      <c r="N22" s="622" t="s">
        <v>1405</v>
      </c>
      <c r="O22" s="622" t="s">
        <v>1405</v>
      </c>
      <c r="P22" s="622" t="s">
        <v>1405</v>
      </c>
      <c r="Q22" s="622" t="s">
        <v>1405</v>
      </c>
      <c r="R22" s="622" t="s">
        <v>1405</v>
      </c>
      <c r="S22" s="622" t="s">
        <v>1405</v>
      </c>
      <c r="T22" s="622" t="s">
        <v>1405</v>
      </c>
      <c r="U22" s="622" t="s">
        <v>1405</v>
      </c>
    </row>
    <row r="23" spans="1:21" s="589" customFormat="1" ht="12.75" customHeight="1">
      <c r="A23" s="628"/>
      <c r="B23" s="260"/>
      <c r="C23" s="2085" t="s">
        <v>1407</v>
      </c>
      <c r="D23" s="2085"/>
      <c r="E23" s="726">
        <v>9</v>
      </c>
      <c r="F23" s="646">
        <v>9</v>
      </c>
      <c r="G23" s="646">
        <v>9</v>
      </c>
      <c r="H23" s="646">
        <v>9</v>
      </c>
      <c r="I23" s="646">
        <v>9</v>
      </c>
      <c r="J23" s="646">
        <v>9</v>
      </c>
      <c r="K23" s="646">
        <v>9</v>
      </c>
      <c r="L23" s="646">
        <v>9</v>
      </c>
      <c r="M23" s="646">
        <v>9</v>
      </c>
      <c r="N23" s="646">
        <v>9</v>
      </c>
      <c r="O23" s="646">
        <v>9</v>
      </c>
      <c r="P23" s="646">
        <v>9</v>
      </c>
      <c r="Q23" s="646">
        <v>7.5</v>
      </c>
      <c r="R23" s="646">
        <v>8.5</v>
      </c>
      <c r="S23" s="646">
        <v>8.5</v>
      </c>
      <c r="T23" s="646">
        <v>8.6999999999999993</v>
      </c>
      <c r="U23" s="646">
        <v>8.6999999999999993</v>
      </c>
    </row>
    <row r="24" spans="1:21" s="589" customFormat="1" ht="12.75" customHeight="1">
      <c r="A24" s="627"/>
      <c r="B24" s="599"/>
      <c r="C24" s="2084" t="s">
        <v>1408</v>
      </c>
      <c r="D24" s="2084"/>
      <c r="E24" s="727">
        <v>10</v>
      </c>
      <c r="F24" s="448">
        <v>10</v>
      </c>
      <c r="G24" s="448">
        <v>10</v>
      </c>
      <c r="H24" s="448">
        <v>10</v>
      </c>
      <c r="I24" s="448">
        <v>10</v>
      </c>
      <c r="J24" s="448">
        <v>10</v>
      </c>
      <c r="K24" s="448">
        <v>10</v>
      </c>
      <c r="L24" s="448">
        <v>10</v>
      </c>
      <c r="M24" s="448">
        <v>10</v>
      </c>
      <c r="N24" s="448">
        <v>10</v>
      </c>
      <c r="O24" s="448">
        <v>10</v>
      </c>
      <c r="P24" s="448">
        <v>10</v>
      </c>
      <c r="Q24" s="448">
        <v>8.25</v>
      </c>
      <c r="R24" s="448">
        <v>9.25</v>
      </c>
      <c r="S24" s="448">
        <v>9.25</v>
      </c>
      <c r="T24" s="448">
        <v>9.4499999999999993</v>
      </c>
      <c r="U24" s="448">
        <v>9.4499999999999993</v>
      </c>
    </row>
    <row r="25" spans="1:21" s="589" customFormat="1" ht="12.75" customHeight="1">
      <c r="A25" s="628"/>
      <c r="B25" s="260"/>
      <c r="C25" s="2085" t="s">
        <v>1409</v>
      </c>
      <c r="D25" s="2085"/>
      <c r="E25" s="728">
        <v>11</v>
      </c>
      <c r="F25" s="646">
        <v>11</v>
      </c>
      <c r="G25" s="646">
        <v>11</v>
      </c>
      <c r="H25" s="646">
        <v>11</v>
      </c>
      <c r="I25" s="646">
        <v>11</v>
      </c>
      <c r="J25" s="646">
        <v>11</v>
      </c>
      <c r="K25" s="646">
        <v>11</v>
      </c>
      <c r="L25" s="646">
        <v>11</v>
      </c>
      <c r="M25" s="646">
        <v>11</v>
      </c>
      <c r="N25" s="646">
        <v>11</v>
      </c>
      <c r="O25" s="646">
        <v>11</v>
      </c>
      <c r="P25" s="646">
        <v>11</v>
      </c>
      <c r="Q25" s="646">
        <v>9</v>
      </c>
      <c r="R25" s="646">
        <v>10</v>
      </c>
      <c r="S25" s="646">
        <v>10</v>
      </c>
      <c r="T25" s="646">
        <v>10.199999999999999</v>
      </c>
      <c r="U25" s="646">
        <v>10.199999999999999</v>
      </c>
    </row>
    <row r="26" spans="1:21" s="589" customFormat="1" ht="12.75" customHeight="1">
      <c r="A26" s="627"/>
      <c r="B26" s="599"/>
      <c r="C26" s="2116" t="s">
        <v>1410</v>
      </c>
      <c r="D26" s="2116"/>
      <c r="E26" s="729">
        <v>12</v>
      </c>
      <c r="F26" s="445">
        <v>12</v>
      </c>
      <c r="G26" s="445">
        <v>12</v>
      </c>
      <c r="H26" s="445">
        <v>12</v>
      </c>
      <c r="I26" s="445">
        <v>12</v>
      </c>
      <c r="J26" s="445">
        <v>12</v>
      </c>
      <c r="K26" s="445">
        <v>12</v>
      </c>
      <c r="L26" s="445">
        <v>12</v>
      </c>
      <c r="M26" s="445">
        <v>12</v>
      </c>
      <c r="N26" s="445">
        <v>12</v>
      </c>
      <c r="O26" s="445">
        <v>12</v>
      </c>
      <c r="P26" s="445">
        <v>12</v>
      </c>
      <c r="Q26" s="445">
        <v>10.5</v>
      </c>
      <c r="R26" s="445">
        <v>11</v>
      </c>
      <c r="S26" s="445">
        <v>11</v>
      </c>
      <c r="T26" s="445">
        <v>11.2</v>
      </c>
      <c r="U26" s="445">
        <v>11.2</v>
      </c>
    </row>
    <row r="27" spans="1:21" s="595" customFormat="1" ht="12.75" customHeight="1">
      <c r="A27" s="628"/>
      <c r="B27" s="262"/>
      <c r="C27" s="2117" t="s">
        <v>1411</v>
      </c>
      <c r="D27" s="2117"/>
      <c r="E27" s="381">
        <v>12</v>
      </c>
      <c r="F27" s="40">
        <v>12</v>
      </c>
      <c r="G27" s="40">
        <v>12</v>
      </c>
      <c r="H27" s="40">
        <v>12</v>
      </c>
      <c r="I27" s="40">
        <v>12</v>
      </c>
      <c r="J27" s="40">
        <v>12</v>
      </c>
      <c r="K27" s="40">
        <v>12</v>
      </c>
      <c r="L27" s="40">
        <v>12</v>
      </c>
      <c r="M27" s="40">
        <v>12</v>
      </c>
      <c r="N27" s="40">
        <v>12</v>
      </c>
      <c r="O27" s="40">
        <v>12</v>
      </c>
      <c r="P27" s="40">
        <v>12</v>
      </c>
      <c r="Q27" s="40">
        <v>10.5</v>
      </c>
      <c r="R27" s="40" t="s">
        <v>1818</v>
      </c>
      <c r="S27" s="40" t="s">
        <v>1818</v>
      </c>
      <c r="T27" s="40" t="s">
        <v>1819</v>
      </c>
      <c r="U27" s="40" t="s">
        <v>1819</v>
      </c>
    </row>
    <row r="28" spans="1:21" s="589" customFormat="1">
      <c r="A28" s="2110" t="s">
        <v>2368</v>
      </c>
      <c r="B28" s="2110"/>
      <c r="C28" s="2110"/>
      <c r="D28" s="2110"/>
      <c r="E28" s="510"/>
      <c r="F28" s="636"/>
      <c r="G28" s="596"/>
      <c r="H28" s="596"/>
      <c r="I28" s="596"/>
      <c r="J28" s="596"/>
      <c r="K28" s="596"/>
      <c r="L28" s="596"/>
      <c r="M28" s="596"/>
      <c r="N28" s="596"/>
      <c r="O28" s="598"/>
      <c r="P28" s="598"/>
      <c r="Q28" s="598"/>
      <c r="R28" s="598"/>
      <c r="S28" s="598"/>
      <c r="T28" s="598"/>
      <c r="U28" s="598"/>
    </row>
    <row r="29" spans="1:21" s="589" customFormat="1" ht="12.75" customHeight="1">
      <c r="A29" s="626"/>
      <c r="B29" s="592"/>
      <c r="C29" s="2083" t="s">
        <v>1416</v>
      </c>
      <c r="D29" s="2083"/>
      <c r="E29" s="591" t="s">
        <v>890</v>
      </c>
      <c r="F29" s="591" t="s">
        <v>890</v>
      </c>
      <c r="G29" s="591" t="s">
        <v>890</v>
      </c>
      <c r="H29" s="591" t="s">
        <v>890</v>
      </c>
      <c r="I29" s="591" t="s">
        <v>890</v>
      </c>
      <c r="J29" s="591" t="s">
        <v>890</v>
      </c>
      <c r="K29" s="632" t="s">
        <v>1403</v>
      </c>
      <c r="L29" s="632" t="s">
        <v>1403</v>
      </c>
      <c r="M29" s="632" t="s">
        <v>1403</v>
      </c>
      <c r="N29" s="632" t="s">
        <v>1403</v>
      </c>
      <c r="O29" s="632" t="s">
        <v>1403</v>
      </c>
      <c r="P29" s="632" t="s">
        <v>1403</v>
      </c>
      <c r="Q29" s="632" t="s">
        <v>1403</v>
      </c>
      <c r="R29" s="632" t="s">
        <v>1403</v>
      </c>
      <c r="S29" s="632" t="s">
        <v>1403</v>
      </c>
      <c r="T29" s="632" t="s">
        <v>1403</v>
      </c>
      <c r="U29" s="632" t="s">
        <v>1403</v>
      </c>
    </row>
    <row r="30" spans="1:21" s="589" customFormat="1" ht="12.75" customHeight="1">
      <c r="A30" s="625"/>
      <c r="B30" s="597"/>
      <c r="C30" s="2084" t="s">
        <v>1417</v>
      </c>
      <c r="D30" s="2084"/>
      <c r="E30" s="479" t="s">
        <v>890</v>
      </c>
      <c r="F30" s="479" t="s">
        <v>890</v>
      </c>
      <c r="G30" s="479" t="s">
        <v>890</v>
      </c>
      <c r="H30" s="479" t="s">
        <v>890</v>
      </c>
      <c r="I30" s="479" t="s">
        <v>890</v>
      </c>
      <c r="J30" s="479" t="s">
        <v>890</v>
      </c>
      <c r="K30" s="448">
        <v>6.5</v>
      </c>
      <c r="L30" s="448">
        <v>6.5</v>
      </c>
      <c r="M30" s="448">
        <v>6.5</v>
      </c>
      <c r="N30" s="448">
        <v>6.5</v>
      </c>
      <c r="O30" s="448">
        <v>6.5</v>
      </c>
      <c r="P30" s="448">
        <v>6.5</v>
      </c>
      <c r="Q30" s="448">
        <v>6.5</v>
      </c>
      <c r="R30" s="448">
        <v>6.5</v>
      </c>
      <c r="S30" s="448">
        <v>6.5</v>
      </c>
      <c r="T30" s="448">
        <v>6.5</v>
      </c>
      <c r="U30" s="448">
        <v>6.5</v>
      </c>
    </row>
    <row r="31" spans="1:21" s="589" customFormat="1" ht="12.75" customHeight="1">
      <c r="A31" s="626"/>
      <c r="B31" s="592"/>
      <c r="C31" s="2085" t="s">
        <v>1418</v>
      </c>
      <c r="D31" s="2085"/>
      <c r="E31" s="388" t="s">
        <v>890</v>
      </c>
      <c r="F31" s="388" t="s">
        <v>890</v>
      </c>
      <c r="G31" s="388" t="s">
        <v>890</v>
      </c>
      <c r="H31" s="388" t="s">
        <v>890</v>
      </c>
      <c r="I31" s="388" t="s">
        <v>890</v>
      </c>
      <c r="J31" s="388" t="s">
        <v>890</v>
      </c>
      <c r="K31" s="646">
        <v>7</v>
      </c>
      <c r="L31" s="646">
        <v>7</v>
      </c>
      <c r="M31" s="646">
        <v>7</v>
      </c>
      <c r="N31" s="646">
        <v>7</v>
      </c>
      <c r="O31" s="646">
        <v>7</v>
      </c>
      <c r="P31" s="646">
        <v>7</v>
      </c>
      <c r="Q31" s="646">
        <v>7</v>
      </c>
      <c r="R31" s="646">
        <v>7</v>
      </c>
      <c r="S31" s="646">
        <v>7</v>
      </c>
      <c r="T31" s="646">
        <v>7</v>
      </c>
      <c r="U31" s="646">
        <v>7</v>
      </c>
    </row>
    <row r="32" spans="1:21" s="589" customFormat="1" ht="12" customHeight="1">
      <c r="A32" s="625"/>
      <c r="B32" s="597"/>
      <c r="C32" s="2086" t="s">
        <v>1435</v>
      </c>
      <c r="D32" s="2086"/>
      <c r="E32" s="479" t="s">
        <v>890</v>
      </c>
      <c r="F32" s="479" t="s">
        <v>890</v>
      </c>
      <c r="G32" s="479" t="s">
        <v>890</v>
      </c>
      <c r="H32" s="479" t="s">
        <v>890</v>
      </c>
      <c r="I32" s="479" t="s">
        <v>890</v>
      </c>
      <c r="J32" s="479" t="s">
        <v>890</v>
      </c>
      <c r="K32" s="448">
        <v>7.5</v>
      </c>
      <c r="L32" s="448">
        <v>7.5</v>
      </c>
      <c r="M32" s="448">
        <v>7.5</v>
      </c>
      <c r="N32" s="448">
        <v>7.5</v>
      </c>
      <c r="O32" s="448">
        <v>7.5</v>
      </c>
      <c r="P32" s="448">
        <v>7.5</v>
      </c>
      <c r="Q32" s="448">
        <v>7.5</v>
      </c>
      <c r="R32" s="448">
        <v>7.5</v>
      </c>
      <c r="S32" s="448">
        <v>7.5</v>
      </c>
      <c r="T32" s="448">
        <v>7.5</v>
      </c>
      <c r="U32" s="448">
        <v>7.5</v>
      </c>
    </row>
    <row r="33" spans="1:21" s="260" customFormat="1">
      <c r="A33" s="2111" t="s">
        <v>2369</v>
      </c>
      <c r="B33" s="2111"/>
      <c r="C33" s="2111"/>
      <c r="D33" s="2111"/>
      <c r="E33" s="262"/>
      <c r="F33" s="587"/>
      <c r="K33" s="631"/>
      <c r="L33" s="631"/>
      <c r="M33" s="631"/>
      <c r="N33" s="631"/>
      <c r="O33" s="631"/>
      <c r="P33" s="631"/>
      <c r="Q33" s="631"/>
      <c r="R33" s="631"/>
      <c r="S33" s="631"/>
      <c r="T33" s="631"/>
      <c r="U33" s="631"/>
    </row>
    <row r="34" spans="1:21" s="260" customFormat="1" ht="12.75" customHeight="1">
      <c r="A34" s="629"/>
      <c r="B34" s="599"/>
      <c r="C34" s="2086" t="s">
        <v>1416</v>
      </c>
      <c r="D34" s="2086"/>
      <c r="E34" s="596" t="s">
        <v>890</v>
      </c>
      <c r="F34" s="596" t="s">
        <v>890</v>
      </c>
      <c r="G34" s="596" t="s">
        <v>890</v>
      </c>
      <c r="H34" s="596" t="s">
        <v>890</v>
      </c>
      <c r="I34" s="596" t="s">
        <v>890</v>
      </c>
      <c r="J34" s="596" t="s">
        <v>890</v>
      </c>
      <c r="K34" s="621" t="s">
        <v>1404</v>
      </c>
      <c r="L34" s="621" t="s">
        <v>1404</v>
      </c>
      <c r="M34" s="621" t="s">
        <v>1404</v>
      </c>
      <c r="N34" s="621" t="s">
        <v>1404</v>
      </c>
      <c r="O34" s="621" t="s">
        <v>1404</v>
      </c>
      <c r="P34" s="621" t="s">
        <v>1404</v>
      </c>
      <c r="Q34" s="621" t="s">
        <v>1404</v>
      </c>
      <c r="R34" s="621" t="s">
        <v>1404</v>
      </c>
      <c r="S34" s="621" t="s">
        <v>1404</v>
      </c>
      <c r="T34" s="621" t="s">
        <v>1404</v>
      </c>
      <c r="U34" s="621" t="s">
        <v>1404</v>
      </c>
    </row>
    <row r="35" spans="1:21" s="260" customFormat="1" ht="12.75" customHeight="1">
      <c r="A35" s="633"/>
      <c r="C35" s="2085" t="s">
        <v>1417</v>
      </c>
      <c r="D35" s="2085"/>
      <c r="E35" s="388" t="s">
        <v>890</v>
      </c>
      <c r="F35" s="388" t="s">
        <v>890</v>
      </c>
      <c r="G35" s="388" t="s">
        <v>890</v>
      </c>
      <c r="H35" s="388" t="s">
        <v>890</v>
      </c>
      <c r="I35" s="388" t="s">
        <v>890</v>
      </c>
      <c r="J35" s="388" t="s">
        <v>890</v>
      </c>
      <c r="K35" s="646">
        <v>5.5</v>
      </c>
      <c r="L35" s="646">
        <v>5.5</v>
      </c>
      <c r="M35" s="646">
        <v>5.5</v>
      </c>
      <c r="N35" s="646">
        <v>5.5</v>
      </c>
      <c r="O35" s="646">
        <v>5.5</v>
      </c>
      <c r="P35" s="646">
        <v>5.5</v>
      </c>
      <c r="Q35" s="646">
        <v>5.5</v>
      </c>
      <c r="R35" s="646">
        <v>5.5</v>
      </c>
      <c r="S35" s="646">
        <v>5.5</v>
      </c>
      <c r="T35" s="646">
        <v>5.5</v>
      </c>
      <c r="U35" s="646">
        <v>5.5</v>
      </c>
    </row>
    <row r="36" spans="1:21" s="260" customFormat="1" ht="12.75" customHeight="1">
      <c r="A36" s="629"/>
      <c r="B36" s="599"/>
      <c r="C36" s="2084" t="s">
        <v>1418</v>
      </c>
      <c r="D36" s="2084"/>
      <c r="E36" s="479" t="s">
        <v>890</v>
      </c>
      <c r="F36" s="479" t="s">
        <v>890</v>
      </c>
      <c r="G36" s="479" t="s">
        <v>890</v>
      </c>
      <c r="H36" s="479" t="s">
        <v>890</v>
      </c>
      <c r="I36" s="479" t="s">
        <v>890</v>
      </c>
      <c r="J36" s="479" t="s">
        <v>890</v>
      </c>
      <c r="K36" s="448">
        <v>6</v>
      </c>
      <c r="L36" s="448">
        <v>6</v>
      </c>
      <c r="M36" s="448">
        <v>6</v>
      </c>
      <c r="N36" s="448">
        <v>6</v>
      </c>
      <c r="O36" s="448">
        <v>6</v>
      </c>
      <c r="P36" s="448">
        <v>6</v>
      </c>
      <c r="Q36" s="448">
        <v>6</v>
      </c>
      <c r="R36" s="448">
        <v>6</v>
      </c>
      <c r="S36" s="448">
        <v>6</v>
      </c>
      <c r="T36" s="448">
        <v>6</v>
      </c>
      <c r="U36" s="448">
        <v>6</v>
      </c>
    </row>
    <row r="37" spans="1:21" s="260" customFormat="1" ht="12.75" customHeight="1">
      <c r="A37" s="633"/>
      <c r="C37" s="2091" t="s">
        <v>1435</v>
      </c>
      <c r="D37" s="2091"/>
      <c r="E37" s="388" t="s">
        <v>890</v>
      </c>
      <c r="F37" s="388" t="s">
        <v>890</v>
      </c>
      <c r="G37" s="388" t="s">
        <v>890</v>
      </c>
      <c r="H37" s="388" t="s">
        <v>890</v>
      </c>
      <c r="I37" s="388" t="s">
        <v>890</v>
      </c>
      <c r="J37" s="388" t="s">
        <v>890</v>
      </c>
      <c r="K37" s="646">
        <v>6.5</v>
      </c>
      <c r="L37" s="646">
        <v>6.5</v>
      </c>
      <c r="M37" s="646">
        <v>6.5</v>
      </c>
      <c r="N37" s="646">
        <v>6.5</v>
      </c>
      <c r="O37" s="646">
        <v>6.5</v>
      </c>
      <c r="P37" s="646">
        <v>6.5</v>
      </c>
      <c r="Q37" s="646">
        <v>6.5</v>
      </c>
      <c r="R37" s="646">
        <v>6.5</v>
      </c>
      <c r="S37" s="646">
        <v>6.5</v>
      </c>
      <c r="T37" s="646">
        <v>6.5</v>
      </c>
      <c r="U37" s="646">
        <v>6.5</v>
      </c>
    </row>
    <row r="38" spans="1:21" s="260" customFormat="1" ht="22.5" customHeight="1">
      <c r="A38" s="637" t="s">
        <v>113</v>
      </c>
      <c r="B38" s="2088" t="s">
        <v>1450</v>
      </c>
      <c r="C38" s="2088"/>
      <c r="D38" s="2088"/>
      <c r="E38" s="635" t="s">
        <v>115</v>
      </c>
      <c r="F38" s="635"/>
      <c r="G38" s="635"/>
      <c r="H38" s="635"/>
      <c r="I38" s="635"/>
      <c r="J38" s="635"/>
      <c r="K38" s="635"/>
      <c r="L38" s="635"/>
      <c r="M38" s="635"/>
      <c r="N38" s="635"/>
      <c r="O38" s="638"/>
      <c r="P38" s="638"/>
      <c r="Q38" s="638"/>
      <c r="R38" s="638"/>
      <c r="S38" s="638"/>
      <c r="T38" s="638"/>
      <c r="U38" s="638"/>
    </row>
    <row r="39" spans="1:21" s="260" customFormat="1" ht="13.5" customHeight="1">
      <c r="A39" s="626"/>
      <c r="B39" s="2090" t="s">
        <v>1413</v>
      </c>
      <c r="C39" s="2090"/>
      <c r="D39" s="2090"/>
      <c r="E39" s="591"/>
      <c r="F39" s="591"/>
      <c r="G39" s="591"/>
      <c r="H39" s="591"/>
      <c r="I39" s="591"/>
      <c r="J39" s="591"/>
      <c r="K39" s="591"/>
      <c r="L39" s="591"/>
      <c r="M39" s="591"/>
      <c r="N39" s="591"/>
      <c r="O39" s="593"/>
      <c r="P39" s="593"/>
      <c r="Q39" s="593"/>
      <c r="R39" s="593"/>
      <c r="S39" s="593"/>
      <c r="T39" s="593"/>
      <c r="U39" s="593"/>
    </row>
    <row r="40" spans="1:21" s="260" customFormat="1" ht="13.5" customHeight="1">
      <c r="A40" s="625"/>
      <c r="B40" s="597"/>
      <c r="C40" s="2089" t="s">
        <v>496</v>
      </c>
      <c r="D40" s="2089"/>
      <c r="E40" s="596" t="s">
        <v>890</v>
      </c>
      <c r="F40" s="479">
        <v>13</v>
      </c>
      <c r="G40" s="479">
        <v>13</v>
      </c>
      <c r="H40" s="479">
        <v>13</v>
      </c>
      <c r="I40" s="479">
        <v>13</v>
      </c>
      <c r="J40" s="479">
        <v>13</v>
      </c>
      <c r="K40" s="479">
        <v>13</v>
      </c>
      <c r="L40" s="479">
        <v>13</v>
      </c>
      <c r="M40" s="479">
        <v>13</v>
      </c>
      <c r="N40" s="479">
        <v>13</v>
      </c>
      <c r="O40" s="436">
        <v>12</v>
      </c>
      <c r="P40" s="436">
        <v>12</v>
      </c>
      <c r="Q40" s="436">
        <v>12</v>
      </c>
      <c r="R40" s="436">
        <v>12</v>
      </c>
      <c r="S40" s="436">
        <v>12</v>
      </c>
      <c r="T40" s="436">
        <v>12</v>
      </c>
      <c r="U40" s="436">
        <v>12</v>
      </c>
    </row>
    <row r="41" spans="1:21" s="260" customFormat="1" ht="13.5" customHeight="1">
      <c r="A41" s="626"/>
      <c r="B41" s="592"/>
      <c r="C41" s="2087" t="s">
        <v>495</v>
      </c>
      <c r="D41" s="2087"/>
      <c r="E41" s="591" t="s">
        <v>890</v>
      </c>
      <c r="F41" s="388">
        <v>15</v>
      </c>
      <c r="G41" s="388">
        <v>15</v>
      </c>
      <c r="H41" s="388">
        <v>15</v>
      </c>
      <c r="I41" s="388">
        <v>15</v>
      </c>
      <c r="J41" s="388">
        <v>15</v>
      </c>
      <c r="K41" s="388">
        <v>15</v>
      </c>
      <c r="L41" s="388">
        <v>15</v>
      </c>
      <c r="M41" s="388">
        <v>15</v>
      </c>
      <c r="N41" s="388">
        <v>15</v>
      </c>
      <c r="O41" s="352">
        <v>12</v>
      </c>
      <c r="P41" s="352">
        <v>12</v>
      </c>
      <c r="Q41" s="352">
        <v>12</v>
      </c>
      <c r="R41" s="352">
        <v>12</v>
      </c>
      <c r="S41" s="352">
        <v>12</v>
      </c>
      <c r="T41" s="352">
        <v>12</v>
      </c>
      <c r="U41" s="352">
        <v>12</v>
      </c>
    </row>
    <row r="42" spans="1:21" s="260" customFormat="1" ht="13.5" customHeight="1" thickBot="1">
      <c r="A42" s="639"/>
      <c r="B42" s="2082" t="s">
        <v>1414</v>
      </c>
      <c r="C42" s="2082"/>
      <c r="D42" s="2082"/>
      <c r="E42" s="640" t="s">
        <v>890</v>
      </c>
      <c r="F42" s="522">
        <v>10</v>
      </c>
      <c r="G42" s="522">
        <v>10</v>
      </c>
      <c r="H42" s="522">
        <v>10</v>
      </c>
      <c r="I42" s="522">
        <v>10</v>
      </c>
      <c r="J42" s="522">
        <v>10</v>
      </c>
      <c r="K42" s="522">
        <v>10</v>
      </c>
      <c r="L42" s="522">
        <v>10</v>
      </c>
      <c r="M42" s="522">
        <v>10</v>
      </c>
      <c r="N42" s="522">
        <v>10</v>
      </c>
      <c r="O42" s="717">
        <v>10</v>
      </c>
      <c r="P42" s="717">
        <v>10</v>
      </c>
      <c r="Q42" s="717">
        <v>10</v>
      </c>
      <c r="R42" s="717">
        <v>10</v>
      </c>
      <c r="S42" s="717">
        <v>10</v>
      </c>
      <c r="T42" s="717">
        <v>10</v>
      </c>
      <c r="U42" s="717">
        <v>10</v>
      </c>
    </row>
    <row r="43" spans="1:21" s="262" customFormat="1" ht="10.5" customHeight="1">
      <c r="A43" s="641" t="s">
        <v>50</v>
      </c>
      <c r="B43" s="426"/>
      <c r="C43" s="2081" t="s">
        <v>2435</v>
      </c>
      <c r="D43" s="2081"/>
      <c r="E43" s="2081"/>
      <c r="F43" s="719"/>
      <c r="G43" s="719"/>
      <c r="H43" s="719"/>
      <c r="I43" s="719"/>
      <c r="K43" s="645" t="s">
        <v>2437</v>
      </c>
      <c r="L43" s="719"/>
      <c r="M43" s="719"/>
      <c r="N43" s="425"/>
      <c r="O43" s="643"/>
      <c r="P43" s="594"/>
      <c r="Q43" s="594"/>
      <c r="R43" s="594"/>
      <c r="S43" s="594"/>
      <c r="T43" s="594"/>
      <c r="U43" s="594"/>
    </row>
    <row r="44" spans="1:21" s="425" customFormat="1" ht="9.75" customHeight="1">
      <c r="A44" s="641"/>
      <c r="B44" s="426"/>
      <c r="C44" s="2081" t="s">
        <v>2370</v>
      </c>
      <c r="D44" s="2081"/>
      <c r="E44" s="2081"/>
      <c r="F44" s="2081"/>
      <c r="G44" s="2081"/>
      <c r="H44" s="2081"/>
      <c r="I44" s="2081"/>
      <c r="K44" s="645" t="s">
        <v>2438</v>
      </c>
      <c r="L44" s="199"/>
      <c r="M44" s="18"/>
      <c r="N44" s="199"/>
      <c r="O44" s="199"/>
      <c r="P44" s="643"/>
    </row>
    <row r="45" spans="1:21" s="425" customFormat="1" ht="9.75" customHeight="1">
      <c r="A45" s="642"/>
      <c r="B45" s="426"/>
      <c r="C45" s="2081" t="s">
        <v>2436</v>
      </c>
      <c r="D45" s="2081"/>
      <c r="E45" s="2081"/>
      <c r="G45" s="643"/>
      <c r="H45" s="643"/>
      <c r="I45" s="643"/>
      <c r="K45" s="645" t="s">
        <v>2439</v>
      </c>
      <c r="L45" s="643"/>
    </row>
    <row r="46" spans="1:21" s="425" customFormat="1" ht="9.75" customHeight="1">
      <c r="A46" s="642"/>
      <c r="B46" s="426"/>
      <c r="C46" s="199" t="s">
        <v>727</v>
      </c>
      <c r="H46" s="643"/>
      <c r="I46" s="643"/>
      <c r="J46" s="643"/>
      <c r="K46" s="645" t="s">
        <v>2440</v>
      </c>
    </row>
    <row r="47" spans="1:21" s="18" customFormat="1" ht="9.75" customHeight="1">
      <c r="A47" s="1059" t="s">
        <v>465</v>
      </c>
      <c r="C47" s="18" t="s">
        <v>2173</v>
      </c>
      <c r="H47" s="199"/>
      <c r="I47" s="199"/>
      <c r="J47" s="199"/>
      <c r="K47" s="645" t="s">
        <v>2441</v>
      </c>
    </row>
    <row r="48" spans="1:21" s="18" customFormat="1" ht="9.75" customHeight="1">
      <c r="A48" s="644"/>
      <c r="D48" s="199"/>
      <c r="E48" s="199"/>
      <c r="F48" s="199"/>
      <c r="G48" s="199"/>
      <c r="H48" s="199"/>
      <c r="I48" s="199"/>
      <c r="J48" s="199"/>
    </row>
    <row r="54" spans="2:10">
      <c r="B54" s="611"/>
      <c r="C54" s="614"/>
      <c r="D54" s="615"/>
      <c r="E54" s="607"/>
      <c r="F54" s="608"/>
      <c r="G54" s="609"/>
      <c r="H54" s="610"/>
      <c r="I54" s="609"/>
      <c r="J54" s="609"/>
    </row>
    <row r="55" spans="2:10">
      <c r="B55" s="616"/>
      <c r="C55" s="614"/>
      <c r="D55" s="617"/>
      <c r="E55" s="607"/>
      <c r="F55" s="618"/>
      <c r="G55" s="609"/>
      <c r="H55" s="610"/>
      <c r="I55" s="618"/>
      <c r="J55" s="618"/>
    </row>
    <row r="56" spans="2:10">
      <c r="B56" s="619"/>
      <c r="C56" s="619"/>
      <c r="D56" s="613"/>
      <c r="E56" s="619"/>
      <c r="F56" s="620"/>
      <c r="G56" s="619"/>
      <c r="H56" s="619"/>
      <c r="I56" s="619"/>
      <c r="J56" s="619"/>
    </row>
    <row r="57" spans="2:10">
      <c r="B57" s="612"/>
      <c r="C57" s="619"/>
      <c r="D57" s="613"/>
      <c r="E57" s="619"/>
      <c r="F57" s="620"/>
      <c r="G57" s="619"/>
      <c r="H57" s="619"/>
      <c r="I57" s="619"/>
      <c r="J57" s="619"/>
    </row>
  </sheetData>
  <mergeCells count="46">
    <mergeCell ref="A28:D28"/>
    <mergeCell ref="A33:D33"/>
    <mergeCell ref="B19:D19"/>
    <mergeCell ref="C11:D11"/>
    <mergeCell ref="B12:D12"/>
    <mergeCell ref="A16:D16"/>
    <mergeCell ref="A21:D21"/>
    <mergeCell ref="B20:D20"/>
    <mergeCell ref="C24:D24"/>
    <mergeCell ref="C25:D25"/>
    <mergeCell ref="C26:D26"/>
    <mergeCell ref="C27:D27"/>
    <mergeCell ref="B8:D8"/>
    <mergeCell ref="S1:U1"/>
    <mergeCell ref="A1:I1"/>
    <mergeCell ref="J1:R1"/>
    <mergeCell ref="A2:D3"/>
    <mergeCell ref="B7:D7"/>
    <mergeCell ref="C45:E45"/>
    <mergeCell ref="B39:D39"/>
    <mergeCell ref="C37:D37"/>
    <mergeCell ref="B4:D4"/>
    <mergeCell ref="C9:D9"/>
    <mergeCell ref="C10:D10"/>
    <mergeCell ref="B18:D18"/>
    <mergeCell ref="C32:D32"/>
    <mergeCell ref="B17:D17"/>
    <mergeCell ref="B5:D5"/>
    <mergeCell ref="C13:D13"/>
    <mergeCell ref="C23:D23"/>
    <mergeCell ref="C14:D14"/>
    <mergeCell ref="C15:D15"/>
    <mergeCell ref="C22:D22"/>
    <mergeCell ref="A6:D6"/>
    <mergeCell ref="C44:I44"/>
    <mergeCell ref="B42:D42"/>
    <mergeCell ref="C29:D29"/>
    <mergeCell ref="C30:D30"/>
    <mergeCell ref="C31:D31"/>
    <mergeCell ref="C36:D36"/>
    <mergeCell ref="C34:D34"/>
    <mergeCell ref="C35:D35"/>
    <mergeCell ref="C41:D41"/>
    <mergeCell ref="B38:D38"/>
    <mergeCell ref="C43:E43"/>
    <mergeCell ref="C40:D40"/>
  </mergeCells>
  <phoneticPr fontId="0" type="noConversion"/>
  <pageMargins left="0.511811023622047" right="0.511811023622047" top="0.511811023622047" bottom="0.511811023622047" header="0" footer="0.43307086614173201"/>
  <pageSetup paperSize="141" firstPageNumber="64" orientation="portrait" useFirstPageNumber="1" r:id="rId1"/>
  <headerFooter alignWithMargins="0">
    <oddFooter>&amp;C&amp;"Times New Roman,Regular"&amp;8&amp;P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7"/>
  <dimension ref="A1:BL50"/>
  <sheetViews>
    <sheetView topLeftCell="A25" zoomScale="160" zoomScaleNormal="160" workbookViewId="0">
      <selection activeCell="I36" sqref="I36"/>
    </sheetView>
  </sheetViews>
  <sheetFormatPr defaultColWidth="9.140625" defaultRowHeight="11.25"/>
  <cols>
    <col min="1" max="1" width="3" style="1204" customWidth="1"/>
    <col min="2" max="2" width="16.28515625" style="1205" customWidth="1"/>
    <col min="3" max="3" width="7.7109375" style="1204" customWidth="1"/>
    <col min="4" max="4" width="7.42578125" style="1204" customWidth="1"/>
    <col min="5" max="5" width="7.140625" style="1204" customWidth="1"/>
    <col min="6" max="9" width="7.85546875" style="1204" customWidth="1"/>
    <col min="10" max="10" width="7.7109375" style="1204" customWidth="1"/>
    <col min="11" max="11" width="8.5703125" style="1204" customWidth="1"/>
    <col min="12" max="12" width="8.85546875" style="1204" bestFit="1" customWidth="1"/>
    <col min="13" max="13" width="8.140625" style="1204" customWidth="1"/>
    <col min="14" max="14" width="7.5703125" style="1204" customWidth="1"/>
    <col min="15" max="15" width="8.85546875" style="1204" bestFit="1" customWidth="1"/>
    <col min="16" max="16" width="8" style="1204" customWidth="1"/>
    <col min="17" max="17" width="6.5703125" style="1204" customWidth="1"/>
    <col min="18" max="18" width="4.140625" style="1204" customWidth="1"/>
    <col min="19" max="19" width="18" style="1205" customWidth="1"/>
    <col min="20" max="20" width="6.7109375" style="1204" customWidth="1"/>
    <col min="21" max="21" width="15.5703125" style="1205" customWidth="1"/>
    <col min="22" max="22" width="10" style="1204" customWidth="1"/>
    <col min="23" max="23" width="8.42578125" style="1204" customWidth="1"/>
    <col min="24" max="24" width="10.42578125" style="1204" customWidth="1"/>
    <col min="25" max="25" width="9.85546875" style="1204" customWidth="1"/>
    <col min="26" max="27" width="9.7109375" style="1204" customWidth="1"/>
    <col min="28" max="28" width="10.5703125" style="1204" customWidth="1"/>
    <col min="29" max="30" width="9.28515625" style="1204" customWidth="1"/>
    <col min="31" max="31" width="11.85546875" style="1204" customWidth="1"/>
    <col min="32" max="32" width="10.140625" style="1204" customWidth="1"/>
    <col min="33" max="33" width="9.7109375" style="1204" customWidth="1"/>
    <col min="34" max="34" width="3" style="1204" customWidth="1"/>
    <col min="35" max="35" width="16.42578125" style="1205" customWidth="1"/>
    <col min="36" max="36" width="3" style="1204" customWidth="1"/>
    <col min="37" max="37" width="16.5703125" style="1205" customWidth="1"/>
    <col min="38" max="38" width="9.140625" style="1204" customWidth="1"/>
    <col min="39" max="39" width="10" style="1204" customWidth="1"/>
    <col min="40" max="40" width="9.28515625" style="1204" customWidth="1"/>
    <col min="41" max="41" width="9" style="1204" customWidth="1"/>
    <col min="42" max="42" width="10.42578125" style="1204" customWidth="1"/>
    <col min="43" max="43" width="10" style="1204" customWidth="1"/>
    <col min="44" max="44" width="10.140625" style="1204" customWidth="1"/>
    <col min="45" max="45" width="8.7109375" style="1204" customWidth="1"/>
    <col min="46" max="46" width="9.85546875" style="1204" customWidth="1"/>
    <col min="47" max="47" width="8.7109375" style="1204" customWidth="1"/>
    <col min="48" max="48" width="8" style="1204" customWidth="1"/>
    <col min="49" max="49" width="7.42578125" style="1204" customWidth="1"/>
    <col min="50" max="50" width="9.140625" style="1204" customWidth="1"/>
    <col min="51" max="51" width="3" style="1204" customWidth="1"/>
    <col min="52" max="52" width="15.42578125" style="1205" customWidth="1"/>
    <col min="53" max="53" width="3" style="1204" customWidth="1"/>
    <col min="54" max="54" width="18" style="1205" customWidth="1"/>
    <col min="55" max="55" width="13.5703125" style="1204" customWidth="1"/>
    <col min="56" max="56" width="13.85546875" style="1204" customWidth="1"/>
    <col min="57" max="57" width="15.42578125" style="1204" customWidth="1"/>
    <col min="58" max="58" width="14.28515625" style="1204" customWidth="1"/>
    <col min="59" max="59" width="15.7109375" style="1204" customWidth="1"/>
    <col min="60" max="61" width="14.28515625" style="1204" customWidth="1"/>
    <col min="62" max="62" width="13" style="1204" customWidth="1"/>
    <col min="63" max="63" width="3" style="1204" customWidth="1"/>
    <col min="64" max="64" width="16.7109375" style="1205" customWidth="1"/>
    <col min="65" max="16384" width="9.140625" style="1204"/>
  </cols>
  <sheetData>
    <row r="1" spans="1:64" s="1201" customFormat="1" ht="13.5" customHeight="1">
      <c r="B1" s="2121" t="s">
        <v>1340</v>
      </c>
      <c r="C1" s="2121"/>
      <c r="D1" s="2121"/>
      <c r="E1" s="2121"/>
      <c r="F1" s="2121"/>
      <c r="G1" s="2121"/>
      <c r="H1" s="2121"/>
      <c r="I1" s="2121"/>
      <c r="J1" s="2121"/>
      <c r="K1" s="2122" t="s">
        <v>2868</v>
      </c>
      <c r="L1" s="2123"/>
      <c r="M1" s="2123"/>
      <c r="N1" s="2123"/>
      <c r="O1" s="2123"/>
      <c r="P1" s="2123"/>
      <c r="Q1" s="2123"/>
      <c r="R1" s="2121" t="s">
        <v>1857</v>
      </c>
      <c r="S1" s="2121"/>
      <c r="T1" s="2121" t="s">
        <v>1823</v>
      </c>
      <c r="U1" s="2121"/>
      <c r="V1" s="2121"/>
      <c r="W1" s="2121"/>
      <c r="X1" s="2121"/>
      <c r="Y1" s="2121"/>
      <c r="Z1" s="2121"/>
      <c r="AA1" s="2121"/>
      <c r="AB1" s="2122" t="s">
        <v>2868</v>
      </c>
      <c r="AC1" s="2123"/>
      <c r="AD1" s="2123"/>
      <c r="AE1" s="2123"/>
      <c r="AF1" s="2123"/>
      <c r="AG1" s="2123"/>
      <c r="AH1" s="2121" t="s">
        <v>1857</v>
      </c>
      <c r="AI1" s="2121"/>
      <c r="AJ1" s="2121" t="s">
        <v>1712</v>
      </c>
      <c r="AK1" s="2121"/>
      <c r="AL1" s="2121"/>
      <c r="AM1" s="2121"/>
      <c r="AN1" s="2121"/>
      <c r="AO1" s="2121"/>
      <c r="AP1" s="2121"/>
      <c r="AQ1" s="2121"/>
      <c r="AR1" s="2142" t="s">
        <v>2868</v>
      </c>
      <c r="AS1" s="2142"/>
      <c r="AT1" s="2142"/>
      <c r="AU1" s="2142"/>
      <c r="AV1" s="2142"/>
      <c r="AW1" s="2142"/>
      <c r="AX1" s="1202"/>
      <c r="AY1" s="2121" t="s">
        <v>1857</v>
      </c>
      <c r="AZ1" s="2121"/>
      <c r="BB1" s="1203"/>
      <c r="BC1" s="2121" t="s">
        <v>1340</v>
      </c>
      <c r="BD1" s="2121"/>
      <c r="BE1" s="2121"/>
      <c r="BF1" s="2121"/>
      <c r="BG1" s="2124" t="s">
        <v>2868</v>
      </c>
      <c r="BH1" s="2125"/>
      <c r="BI1" s="2125"/>
      <c r="BJ1" s="2125"/>
      <c r="BK1" s="2121" t="s">
        <v>1858</v>
      </c>
      <c r="BL1" s="2121"/>
    </row>
    <row r="2" spans="1:64" ht="11.25" customHeight="1">
      <c r="C2" s="1206"/>
      <c r="D2" s="1206"/>
      <c r="E2" s="1206"/>
      <c r="F2" s="1206"/>
      <c r="G2" s="1206"/>
      <c r="H2" s="1206"/>
      <c r="I2" s="1206"/>
      <c r="J2" s="1206"/>
      <c r="K2" s="2128"/>
      <c r="L2" s="2128"/>
      <c r="M2" s="1207"/>
      <c r="N2" s="1207"/>
      <c r="O2" s="1207"/>
      <c r="P2" s="1207"/>
      <c r="R2" s="1208"/>
      <c r="S2" s="1209" t="s">
        <v>791</v>
      </c>
      <c r="X2" s="2143"/>
      <c r="Y2" s="2143"/>
      <c r="Z2" s="1210"/>
      <c r="AA2" s="1210"/>
      <c r="AB2" s="1210"/>
      <c r="AC2" s="1210"/>
      <c r="AD2" s="1210"/>
      <c r="AE2" s="1210"/>
      <c r="AF2" s="1210"/>
      <c r="AG2" s="1207"/>
      <c r="AH2" s="1208"/>
      <c r="AI2" s="1209" t="s">
        <v>791</v>
      </c>
      <c r="AJ2" s="1208"/>
      <c r="AK2" s="1209"/>
      <c r="AM2" s="1206"/>
      <c r="AN2" s="1206"/>
      <c r="AO2" s="1211"/>
      <c r="AP2" s="1210"/>
      <c r="AQ2" s="1210"/>
      <c r="AR2" s="1210"/>
      <c r="AS2" s="1210"/>
      <c r="AT2" s="1210"/>
      <c r="AU2" s="1210"/>
      <c r="AV2" s="1210"/>
      <c r="AW2" s="1207"/>
      <c r="AX2" s="1207"/>
      <c r="AY2" s="1208"/>
      <c r="AZ2" s="1209" t="s">
        <v>791</v>
      </c>
      <c r="BC2" s="1206"/>
      <c r="BD2" s="1206"/>
      <c r="BE2" s="2141"/>
      <c r="BF2" s="2141"/>
      <c r="BG2" s="2128"/>
      <c r="BH2" s="2128"/>
      <c r="BI2" s="2128"/>
      <c r="BJ2" s="1207"/>
      <c r="BK2" s="1208"/>
      <c r="BL2" s="1209" t="s">
        <v>791</v>
      </c>
    </row>
    <row r="3" spans="1:64" s="1212" customFormat="1" ht="13.5" customHeight="1">
      <c r="A3" s="2135" t="s">
        <v>194</v>
      </c>
      <c r="B3" s="2136"/>
      <c r="C3" s="2132" t="s">
        <v>127</v>
      </c>
      <c r="D3" s="2133"/>
      <c r="E3" s="2133"/>
      <c r="F3" s="2133"/>
      <c r="G3" s="2133"/>
      <c r="H3" s="2134"/>
      <c r="I3" s="2132" t="s">
        <v>195</v>
      </c>
      <c r="J3" s="2133"/>
      <c r="K3" s="2132" t="s">
        <v>196</v>
      </c>
      <c r="L3" s="2133"/>
      <c r="M3" s="2133"/>
      <c r="N3" s="2133"/>
      <c r="O3" s="2133"/>
      <c r="P3" s="2133"/>
      <c r="Q3" s="2134"/>
      <c r="R3" s="2135" t="s">
        <v>194</v>
      </c>
      <c r="S3" s="2136"/>
      <c r="T3" s="2135" t="s">
        <v>194</v>
      </c>
      <c r="U3" s="2136"/>
      <c r="V3" s="2132" t="s">
        <v>907</v>
      </c>
      <c r="W3" s="2133"/>
      <c r="X3" s="2133"/>
      <c r="Y3" s="2133"/>
      <c r="Z3" s="2133"/>
      <c r="AA3" s="2133"/>
      <c r="AB3" s="2133"/>
      <c r="AC3" s="2133"/>
      <c r="AD3" s="2133"/>
      <c r="AE3" s="2133"/>
      <c r="AF3" s="2133"/>
      <c r="AG3" s="2134"/>
      <c r="AH3" s="2135" t="s">
        <v>194</v>
      </c>
      <c r="AI3" s="2136"/>
      <c r="AJ3" s="2144" t="s">
        <v>194</v>
      </c>
      <c r="AK3" s="2145"/>
      <c r="AL3" s="2132" t="s">
        <v>908</v>
      </c>
      <c r="AM3" s="2133"/>
      <c r="AN3" s="2133"/>
      <c r="AO3" s="2133"/>
      <c r="AP3" s="2133"/>
      <c r="AQ3" s="2133"/>
      <c r="AR3" s="2133"/>
      <c r="AS3" s="2133"/>
      <c r="AT3" s="2133"/>
      <c r="AU3" s="2133"/>
      <c r="AV3" s="2133"/>
      <c r="AW3" s="2133"/>
      <c r="AX3" s="2134"/>
      <c r="AY3" s="2135" t="s">
        <v>194</v>
      </c>
      <c r="AZ3" s="2136"/>
      <c r="BA3" s="2135" t="s">
        <v>194</v>
      </c>
      <c r="BB3" s="2136"/>
      <c r="BC3" s="2132" t="s">
        <v>909</v>
      </c>
      <c r="BD3" s="2133"/>
      <c r="BE3" s="2133"/>
      <c r="BF3" s="2133"/>
      <c r="BG3" s="2133"/>
      <c r="BH3" s="2133"/>
      <c r="BI3" s="2133"/>
      <c r="BJ3" s="2134"/>
      <c r="BK3" s="2135" t="s">
        <v>194</v>
      </c>
      <c r="BL3" s="2136"/>
    </row>
    <row r="4" spans="1:64" s="1213" customFormat="1" ht="24" customHeight="1">
      <c r="A4" s="2137"/>
      <c r="B4" s="2138"/>
      <c r="C4" s="1566" t="s">
        <v>2693</v>
      </c>
      <c r="D4" s="1566" t="s">
        <v>2694</v>
      </c>
      <c r="E4" s="1566" t="s">
        <v>2695</v>
      </c>
      <c r="F4" s="1566" t="s">
        <v>2696</v>
      </c>
      <c r="G4" s="1566" t="s">
        <v>2697</v>
      </c>
      <c r="H4" s="1566" t="s">
        <v>735</v>
      </c>
      <c r="I4" s="1566" t="s">
        <v>2322</v>
      </c>
      <c r="J4" s="1566" t="s">
        <v>197</v>
      </c>
      <c r="K4" s="1565" t="s">
        <v>2698</v>
      </c>
      <c r="L4" s="1566" t="s">
        <v>198</v>
      </c>
      <c r="M4" s="1566" t="s">
        <v>2699</v>
      </c>
      <c r="N4" s="1566" t="s">
        <v>2700</v>
      </c>
      <c r="O4" s="1566" t="s">
        <v>2701</v>
      </c>
      <c r="P4" s="1566" t="s">
        <v>2702</v>
      </c>
      <c r="Q4" s="1566" t="s">
        <v>2703</v>
      </c>
      <c r="R4" s="2137"/>
      <c r="S4" s="2138"/>
      <c r="T4" s="2137"/>
      <c r="U4" s="2138"/>
      <c r="V4" s="1566" t="s">
        <v>2704</v>
      </c>
      <c r="W4" s="1566" t="s">
        <v>221</v>
      </c>
      <c r="X4" s="1566" t="s">
        <v>2705</v>
      </c>
      <c r="Y4" s="1566" t="s">
        <v>2706</v>
      </c>
      <c r="Z4" s="1566" t="s">
        <v>222</v>
      </c>
      <c r="AA4" s="1566" t="s">
        <v>2707</v>
      </c>
      <c r="AB4" s="1566" t="s">
        <v>2708</v>
      </c>
      <c r="AC4" s="1566" t="s">
        <v>2709</v>
      </c>
      <c r="AD4" s="1566" t="s">
        <v>2710</v>
      </c>
      <c r="AE4" s="1566" t="s">
        <v>2711</v>
      </c>
      <c r="AF4" s="1566" t="s">
        <v>2712</v>
      </c>
      <c r="AG4" s="1566" t="s">
        <v>2713</v>
      </c>
      <c r="AH4" s="2137"/>
      <c r="AI4" s="2138"/>
      <c r="AJ4" s="2146"/>
      <c r="AK4" s="2147"/>
      <c r="AL4" s="1566" t="s">
        <v>2714</v>
      </c>
      <c r="AM4" s="1566" t="s">
        <v>2715</v>
      </c>
      <c r="AN4" s="1566" t="s">
        <v>2716</v>
      </c>
      <c r="AO4" s="1566" t="s">
        <v>2717</v>
      </c>
      <c r="AP4" s="1566" t="s">
        <v>2718</v>
      </c>
      <c r="AQ4" s="1566" t="s">
        <v>2719</v>
      </c>
      <c r="AR4" s="1566" t="s">
        <v>2720</v>
      </c>
      <c r="AS4" s="1566" t="s">
        <v>2721</v>
      </c>
      <c r="AT4" s="1566" t="s">
        <v>2722</v>
      </c>
      <c r="AU4" s="1566" t="s">
        <v>2723</v>
      </c>
      <c r="AV4" s="1566" t="s">
        <v>223</v>
      </c>
      <c r="AW4" s="1566" t="s">
        <v>2724</v>
      </c>
      <c r="AX4" s="1566" t="s">
        <v>2725</v>
      </c>
      <c r="AY4" s="2137"/>
      <c r="AZ4" s="2138"/>
      <c r="BA4" s="2137"/>
      <c r="BB4" s="2138"/>
      <c r="BC4" s="1613" t="s">
        <v>2726</v>
      </c>
      <c r="BD4" s="1613" t="s">
        <v>2727</v>
      </c>
      <c r="BE4" s="1613" t="s">
        <v>2728</v>
      </c>
      <c r="BF4" s="171" t="s">
        <v>2371</v>
      </c>
      <c r="BG4" s="1612" t="s">
        <v>2729</v>
      </c>
      <c r="BH4" s="1612" t="s">
        <v>2730</v>
      </c>
      <c r="BI4" s="1566" t="s">
        <v>224</v>
      </c>
      <c r="BJ4" s="1566" t="s">
        <v>910</v>
      </c>
      <c r="BK4" s="2137"/>
      <c r="BL4" s="2138"/>
    </row>
    <row r="5" spans="1:64" s="1214" customFormat="1" ht="10.5" customHeight="1">
      <c r="A5" s="2139"/>
      <c r="B5" s="2140"/>
      <c r="C5" s="1567">
        <v>1</v>
      </c>
      <c r="D5" s="1568">
        <v>2</v>
      </c>
      <c r="E5" s="1567">
        <v>3</v>
      </c>
      <c r="F5" s="1568">
        <v>4</v>
      </c>
      <c r="G5" s="1567">
        <v>5</v>
      </c>
      <c r="H5" s="1567">
        <v>6</v>
      </c>
      <c r="I5" s="1567">
        <v>7</v>
      </c>
      <c r="J5" s="1568">
        <v>8</v>
      </c>
      <c r="K5" s="1569">
        <v>9</v>
      </c>
      <c r="L5" s="1568">
        <v>10</v>
      </c>
      <c r="M5" s="1567">
        <v>11</v>
      </c>
      <c r="N5" s="1568">
        <v>12</v>
      </c>
      <c r="O5" s="1567">
        <v>13</v>
      </c>
      <c r="P5" s="1568">
        <v>14</v>
      </c>
      <c r="Q5" s="1567">
        <v>15</v>
      </c>
      <c r="R5" s="2139"/>
      <c r="S5" s="2140"/>
      <c r="T5" s="2139"/>
      <c r="U5" s="2140"/>
      <c r="V5" s="1567">
        <v>16</v>
      </c>
      <c r="W5" s="1568">
        <v>17</v>
      </c>
      <c r="X5" s="1567">
        <v>18</v>
      </c>
      <c r="Y5" s="1567">
        <v>19</v>
      </c>
      <c r="Z5" s="1567">
        <v>20</v>
      </c>
      <c r="AA5" s="1567">
        <v>21</v>
      </c>
      <c r="AB5" s="1568">
        <v>22</v>
      </c>
      <c r="AC5" s="1568">
        <v>23</v>
      </c>
      <c r="AD5" s="1568">
        <v>24</v>
      </c>
      <c r="AE5" s="1568">
        <v>25</v>
      </c>
      <c r="AF5" s="1568">
        <v>26</v>
      </c>
      <c r="AG5" s="1514">
        <v>27</v>
      </c>
      <c r="AH5" s="2139"/>
      <c r="AI5" s="2140"/>
      <c r="AJ5" s="2148"/>
      <c r="AK5" s="2149"/>
      <c r="AL5" s="1567">
        <v>28</v>
      </c>
      <c r="AM5" s="1568">
        <v>29</v>
      </c>
      <c r="AN5" s="1567">
        <v>30</v>
      </c>
      <c r="AO5" s="1568">
        <v>31</v>
      </c>
      <c r="AP5" s="1567">
        <v>32</v>
      </c>
      <c r="AQ5" s="1568">
        <v>33</v>
      </c>
      <c r="AR5" s="1567">
        <v>34</v>
      </c>
      <c r="AS5" s="1568">
        <v>35</v>
      </c>
      <c r="AT5" s="1567">
        <v>36</v>
      </c>
      <c r="AU5" s="1568">
        <v>37</v>
      </c>
      <c r="AV5" s="1567">
        <v>38</v>
      </c>
      <c r="AW5" s="1567">
        <v>39</v>
      </c>
      <c r="AX5" s="1570">
        <v>40</v>
      </c>
      <c r="AY5" s="2139"/>
      <c r="AZ5" s="2140"/>
      <c r="BA5" s="2139"/>
      <c r="BB5" s="2140"/>
      <c r="BC5" s="1569">
        <v>41</v>
      </c>
      <c r="BD5" s="1568">
        <v>42</v>
      </c>
      <c r="BE5" s="1571" t="s">
        <v>2731</v>
      </c>
      <c r="BF5" s="1568">
        <v>44</v>
      </c>
      <c r="BG5" s="1569">
        <v>45</v>
      </c>
      <c r="BH5" s="1568">
        <v>46</v>
      </c>
      <c r="BI5" s="1569">
        <v>47</v>
      </c>
      <c r="BJ5" s="1568">
        <v>48</v>
      </c>
      <c r="BK5" s="2139"/>
      <c r="BL5" s="2140"/>
    </row>
    <row r="6" spans="1:64" s="1215" customFormat="1" ht="11.85" customHeight="1">
      <c r="A6" s="2131" t="s">
        <v>45</v>
      </c>
      <c r="B6" s="2131"/>
      <c r="C6" s="1572" t="s">
        <v>2732</v>
      </c>
      <c r="D6" s="1572" t="s">
        <v>2732</v>
      </c>
      <c r="E6" s="1572" t="s">
        <v>2732</v>
      </c>
      <c r="F6" s="1572" t="s">
        <v>2593</v>
      </c>
      <c r="G6" s="1572" t="s">
        <v>2733</v>
      </c>
      <c r="H6" s="1572" t="s">
        <v>2733</v>
      </c>
      <c r="I6" s="1572" t="s">
        <v>2732</v>
      </c>
      <c r="J6" s="1572" t="s">
        <v>2733</v>
      </c>
      <c r="K6" s="1572" t="s">
        <v>2619</v>
      </c>
      <c r="L6" s="1572" t="s">
        <v>2594</v>
      </c>
      <c r="M6" s="1572" t="s">
        <v>2732</v>
      </c>
      <c r="N6" s="1572" t="s">
        <v>2734</v>
      </c>
      <c r="O6" s="1572" t="s">
        <v>2735</v>
      </c>
      <c r="P6" s="1572" t="s">
        <v>2736</v>
      </c>
      <c r="Q6" s="1572" t="s">
        <v>2737</v>
      </c>
      <c r="R6" s="2118" t="s">
        <v>45</v>
      </c>
      <c r="S6" s="2118"/>
      <c r="T6" s="2118" t="s">
        <v>45</v>
      </c>
      <c r="U6" s="2118"/>
      <c r="V6" s="1572" t="s">
        <v>2817</v>
      </c>
      <c r="W6" s="1572" t="s">
        <v>2732</v>
      </c>
      <c r="X6" s="1572" t="s">
        <v>2600</v>
      </c>
      <c r="Y6" s="1572" t="s">
        <v>2329</v>
      </c>
      <c r="Z6" s="1572" t="s">
        <v>2618</v>
      </c>
      <c r="AA6" s="1572" t="s">
        <v>2619</v>
      </c>
      <c r="AB6" s="1572" t="s">
        <v>2733</v>
      </c>
      <c r="AC6" s="1572" t="s">
        <v>2854</v>
      </c>
      <c r="AD6" s="1572" t="s">
        <v>2733</v>
      </c>
      <c r="AE6" s="1572" t="s">
        <v>2733</v>
      </c>
      <c r="AF6" s="1572" t="s">
        <v>2738</v>
      </c>
      <c r="AG6" s="1572" t="s">
        <v>2733</v>
      </c>
      <c r="AH6" s="2118" t="s">
        <v>45</v>
      </c>
      <c r="AI6" s="2118"/>
      <c r="AJ6" s="2118" t="s">
        <v>45</v>
      </c>
      <c r="AK6" s="2118"/>
      <c r="AL6" s="1572" t="s">
        <v>2145</v>
      </c>
      <c r="AM6" s="1572" t="s">
        <v>2593</v>
      </c>
      <c r="AN6" s="1572" t="s">
        <v>2733</v>
      </c>
      <c r="AO6" s="1572" t="s">
        <v>2859</v>
      </c>
      <c r="AP6" s="1572" t="s">
        <v>2735</v>
      </c>
      <c r="AQ6" s="1572" t="s">
        <v>2765</v>
      </c>
      <c r="AR6" s="1572" t="s">
        <v>2624</v>
      </c>
      <c r="AS6" s="1572" t="s">
        <v>2625</v>
      </c>
      <c r="AT6" s="1572" t="s">
        <v>2159</v>
      </c>
      <c r="AU6" s="1572" t="s">
        <v>2732</v>
      </c>
      <c r="AV6" s="1572" t="s">
        <v>2561</v>
      </c>
      <c r="AW6" s="1572" t="s">
        <v>2735</v>
      </c>
      <c r="AX6" s="1572" t="s">
        <v>2505</v>
      </c>
      <c r="AY6" s="2118" t="s">
        <v>45</v>
      </c>
      <c r="AZ6" s="2118"/>
      <c r="BA6" s="2118" t="s">
        <v>45</v>
      </c>
      <c r="BB6" s="2118"/>
      <c r="BC6" s="1572" t="s">
        <v>2631</v>
      </c>
      <c r="BD6" s="1572" t="s">
        <v>2055</v>
      </c>
      <c r="BE6" s="1572" t="s">
        <v>2732</v>
      </c>
      <c r="BF6" s="1572" t="s">
        <v>2733</v>
      </c>
      <c r="BG6" s="1572" t="s">
        <v>2738</v>
      </c>
      <c r="BH6" s="1572" t="s">
        <v>2740</v>
      </c>
      <c r="BI6" s="1572" t="s">
        <v>2732</v>
      </c>
      <c r="BJ6" s="1572" t="s">
        <v>2536</v>
      </c>
      <c r="BK6" s="2118" t="s">
        <v>45</v>
      </c>
      <c r="BL6" s="2118"/>
    </row>
    <row r="7" spans="1:64" ht="11.85" customHeight="1">
      <c r="A7" s="2129" t="s">
        <v>1310</v>
      </c>
      <c r="B7" s="2130"/>
      <c r="C7" s="1384"/>
      <c r="D7" s="1384"/>
      <c r="E7" s="1384"/>
      <c r="F7" s="1272"/>
      <c r="G7" s="1272"/>
      <c r="H7" s="1272"/>
      <c r="I7" s="1272"/>
      <c r="J7" s="1272"/>
      <c r="K7" s="1272"/>
      <c r="L7" s="1272"/>
      <c r="M7" s="1272"/>
      <c r="N7" s="1272"/>
      <c r="O7" s="1272"/>
      <c r="P7" s="1272"/>
      <c r="Q7" s="1272"/>
      <c r="R7" s="2129" t="s">
        <v>1310</v>
      </c>
      <c r="S7" s="2130"/>
      <c r="T7" s="2129" t="s">
        <v>1310</v>
      </c>
      <c r="U7" s="2130"/>
      <c r="V7" s="1573"/>
      <c r="W7" s="1274"/>
      <c r="X7" s="1274"/>
      <c r="Y7" s="1274"/>
      <c r="Z7" s="1274"/>
      <c r="AA7" s="1274"/>
      <c r="AB7" s="1274"/>
      <c r="AC7" s="1274"/>
      <c r="AD7" s="1274"/>
      <c r="AE7" s="1274"/>
      <c r="AF7" s="1274"/>
      <c r="AG7" s="1274"/>
      <c r="AH7" s="2129" t="s">
        <v>1310</v>
      </c>
      <c r="AI7" s="2130"/>
      <c r="AJ7" s="2129" t="s">
        <v>1310</v>
      </c>
      <c r="AK7" s="2130"/>
      <c r="AL7" s="1272" t="s">
        <v>2039</v>
      </c>
      <c r="AM7" s="1272"/>
      <c r="AN7" s="1272"/>
      <c r="AO7" s="1272"/>
      <c r="AP7" s="1272"/>
      <c r="AQ7" s="1272"/>
      <c r="AR7" s="1272"/>
      <c r="AS7" s="1272"/>
      <c r="AT7" s="1272"/>
      <c r="AU7" s="1272"/>
      <c r="AV7" s="1272"/>
      <c r="AW7" s="1272"/>
      <c r="AX7" s="1272"/>
      <c r="AY7" s="2129" t="s">
        <v>1310</v>
      </c>
      <c r="AZ7" s="2130"/>
      <c r="BA7" s="2129" t="s">
        <v>1310</v>
      </c>
      <c r="BB7" s="2130"/>
      <c r="BC7" s="1276"/>
      <c r="BD7" s="1276"/>
      <c r="BE7" s="1272"/>
      <c r="BF7" s="1272"/>
      <c r="BG7" s="1272"/>
      <c r="BH7" s="1272"/>
      <c r="BI7" s="1272"/>
      <c r="BJ7" s="1272"/>
      <c r="BK7" s="2129" t="s">
        <v>1310</v>
      </c>
      <c r="BL7" s="2130"/>
    </row>
    <row r="8" spans="1:64" ht="11.85" customHeight="1">
      <c r="A8" s="1574" t="s">
        <v>541</v>
      </c>
      <c r="B8" s="1575" t="s">
        <v>1301</v>
      </c>
      <c r="C8" s="1572" t="s">
        <v>2732</v>
      </c>
      <c r="D8" s="1572" t="s">
        <v>2732</v>
      </c>
      <c r="E8" s="1572" t="s">
        <v>2741</v>
      </c>
      <c r="F8" s="1572" t="s">
        <v>2733</v>
      </c>
      <c r="G8" s="1572" t="s">
        <v>2733</v>
      </c>
      <c r="H8" s="1572" t="s">
        <v>2732</v>
      </c>
      <c r="I8" s="1572" t="s">
        <v>2733</v>
      </c>
      <c r="J8" s="1572" t="s">
        <v>2733</v>
      </c>
      <c r="K8" s="1572" t="s">
        <v>2742</v>
      </c>
      <c r="L8" s="1572" t="s">
        <v>2739</v>
      </c>
      <c r="M8" s="1572" t="s">
        <v>2739</v>
      </c>
      <c r="N8" s="1572" t="s">
        <v>2743</v>
      </c>
      <c r="O8" s="1572" t="s">
        <v>2744</v>
      </c>
      <c r="P8" s="1572" t="s">
        <v>2732</v>
      </c>
      <c r="Q8" s="1572" t="s">
        <v>2732</v>
      </c>
      <c r="R8" s="1574" t="s">
        <v>541</v>
      </c>
      <c r="S8" s="1575" t="s">
        <v>1301</v>
      </c>
      <c r="T8" s="1574" t="s">
        <v>541</v>
      </c>
      <c r="U8" s="1575" t="s">
        <v>1301</v>
      </c>
      <c r="V8" s="1273" t="s">
        <v>2745</v>
      </c>
      <c r="W8" s="1273" t="s">
        <v>2743</v>
      </c>
      <c r="X8" s="1273" t="s">
        <v>2735</v>
      </c>
      <c r="Y8" s="1273" t="s">
        <v>2739</v>
      </c>
      <c r="Z8" s="1273" t="s">
        <v>2739</v>
      </c>
      <c r="AA8" s="1273" t="s">
        <v>2743</v>
      </c>
      <c r="AB8" s="1273" t="s">
        <v>2743</v>
      </c>
      <c r="AC8" s="1273" t="s">
        <v>2735</v>
      </c>
      <c r="AD8" s="1273" t="s">
        <v>2733</v>
      </c>
      <c r="AE8" s="1273" t="s">
        <v>2733</v>
      </c>
      <c r="AF8" s="1273" t="s">
        <v>2738</v>
      </c>
      <c r="AG8" s="1273" t="s">
        <v>2739</v>
      </c>
      <c r="AH8" s="1574" t="s">
        <v>541</v>
      </c>
      <c r="AI8" s="1575" t="s">
        <v>1301</v>
      </c>
      <c r="AJ8" s="1574" t="s">
        <v>541</v>
      </c>
      <c r="AK8" s="1575" t="s">
        <v>1301</v>
      </c>
      <c r="AL8" s="1271" t="s">
        <v>2732</v>
      </c>
      <c r="AM8" s="1271" t="s">
        <v>2739</v>
      </c>
      <c r="AN8" s="1271" t="s">
        <v>2746</v>
      </c>
      <c r="AO8" s="1271" t="s">
        <v>2745</v>
      </c>
      <c r="AP8" s="1271" t="s">
        <v>2735</v>
      </c>
      <c r="AQ8" s="1271" t="s">
        <v>2744</v>
      </c>
      <c r="AR8" s="1271" t="s">
        <v>2747</v>
      </c>
      <c r="AS8" s="1271" t="s">
        <v>2735</v>
      </c>
      <c r="AT8" s="1271" t="s">
        <v>2743</v>
      </c>
      <c r="AU8" s="1271" t="s">
        <v>2739</v>
      </c>
      <c r="AV8" s="1271" t="s">
        <v>2739</v>
      </c>
      <c r="AW8" s="1271" t="s">
        <v>2743</v>
      </c>
      <c r="AX8" s="1271" t="s">
        <v>2748</v>
      </c>
      <c r="AY8" s="1574" t="s">
        <v>541</v>
      </c>
      <c r="AZ8" s="1575" t="s">
        <v>1301</v>
      </c>
      <c r="BA8" s="1574" t="s">
        <v>541</v>
      </c>
      <c r="BB8" s="1575" t="s">
        <v>1301</v>
      </c>
      <c r="BC8" s="1271" t="s">
        <v>2743</v>
      </c>
      <c r="BD8" s="1271" t="s">
        <v>2749</v>
      </c>
      <c r="BE8" s="1271" t="s">
        <v>2745</v>
      </c>
      <c r="BF8" s="1271" t="s">
        <v>2735</v>
      </c>
      <c r="BG8" s="1271" t="s">
        <v>2743</v>
      </c>
      <c r="BH8" s="1271" t="s">
        <v>2750</v>
      </c>
      <c r="BI8" s="1271" t="s">
        <v>2746</v>
      </c>
      <c r="BJ8" s="1271" t="s">
        <v>2749</v>
      </c>
      <c r="BK8" s="1574" t="s">
        <v>541</v>
      </c>
      <c r="BL8" s="1575" t="s">
        <v>1301</v>
      </c>
    </row>
    <row r="9" spans="1:64" ht="11.85" customHeight="1">
      <c r="A9" s="1576" t="s">
        <v>754</v>
      </c>
      <c r="B9" s="1577" t="s">
        <v>1302</v>
      </c>
      <c r="C9" s="1384" t="s">
        <v>2732</v>
      </c>
      <c r="D9" s="1384" t="s">
        <v>2732</v>
      </c>
      <c r="E9" s="1384" t="s">
        <v>2741</v>
      </c>
      <c r="F9" s="1272" t="s">
        <v>2733</v>
      </c>
      <c r="G9" s="1272" t="s">
        <v>2733</v>
      </c>
      <c r="H9" s="1272" t="s">
        <v>2732</v>
      </c>
      <c r="I9" s="1272" t="s">
        <v>2733</v>
      </c>
      <c r="J9" s="1272" t="s">
        <v>2733</v>
      </c>
      <c r="K9" s="1272" t="s">
        <v>2735</v>
      </c>
      <c r="L9" s="1272" t="s">
        <v>2739</v>
      </c>
      <c r="M9" s="1272" t="s">
        <v>2748</v>
      </c>
      <c r="N9" s="1272" t="s">
        <v>2735</v>
      </c>
      <c r="O9" s="1272" t="s">
        <v>2744</v>
      </c>
      <c r="P9" s="1272" t="s">
        <v>2747</v>
      </c>
      <c r="Q9" s="1272" t="s">
        <v>2733</v>
      </c>
      <c r="R9" s="1576" t="s">
        <v>754</v>
      </c>
      <c r="S9" s="1577" t="s">
        <v>1302</v>
      </c>
      <c r="T9" s="1576" t="s">
        <v>754</v>
      </c>
      <c r="U9" s="1577" t="s">
        <v>1302</v>
      </c>
      <c r="V9" s="1274" t="s">
        <v>2743</v>
      </c>
      <c r="W9" s="1274" t="s">
        <v>2743</v>
      </c>
      <c r="X9" s="1274" t="s">
        <v>2735</v>
      </c>
      <c r="Y9" s="1274" t="s">
        <v>2737</v>
      </c>
      <c r="Z9" s="1274" t="s">
        <v>2735</v>
      </c>
      <c r="AA9" s="1274" t="s">
        <v>2739</v>
      </c>
      <c r="AB9" s="1274" t="s">
        <v>2735</v>
      </c>
      <c r="AC9" s="1274" t="s">
        <v>2735</v>
      </c>
      <c r="AD9" s="1274" t="s">
        <v>2733</v>
      </c>
      <c r="AE9" s="1274" t="s">
        <v>2744</v>
      </c>
      <c r="AF9" s="1274" t="s">
        <v>2751</v>
      </c>
      <c r="AG9" s="1274" t="s">
        <v>2735</v>
      </c>
      <c r="AH9" s="1576" t="s">
        <v>754</v>
      </c>
      <c r="AI9" s="1577" t="s">
        <v>1302</v>
      </c>
      <c r="AJ9" s="1576" t="s">
        <v>754</v>
      </c>
      <c r="AK9" s="1577" t="s">
        <v>1302</v>
      </c>
      <c r="AL9" s="1272" t="s">
        <v>2732</v>
      </c>
      <c r="AM9" s="1272" t="s">
        <v>2735</v>
      </c>
      <c r="AN9" s="1272" t="s">
        <v>2752</v>
      </c>
      <c r="AO9" s="1272" t="s">
        <v>2746</v>
      </c>
      <c r="AP9" s="1272" t="s">
        <v>2733</v>
      </c>
      <c r="AQ9" s="1272" t="s">
        <v>2738</v>
      </c>
      <c r="AR9" s="1272" t="s">
        <v>2753</v>
      </c>
      <c r="AS9" s="1272" t="s">
        <v>2733</v>
      </c>
      <c r="AT9" s="1272" t="s">
        <v>2735</v>
      </c>
      <c r="AU9" s="1272" t="s">
        <v>2737</v>
      </c>
      <c r="AV9" s="1272" t="s">
        <v>2733</v>
      </c>
      <c r="AW9" s="1272" t="s">
        <v>2739</v>
      </c>
      <c r="AX9" s="1272" t="s">
        <v>2748</v>
      </c>
      <c r="AY9" s="1576" t="s">
        <v>754</v>
      </c>
      <c r="AZ9" s="1577" t="s">
        <v>1302</v>
      </c>
      <c r="BA9" s="1576" t="s">
        <v>754</v>
      </c>
      <c r="BB9" s="1577" t="s">
        <v>1302</v>
      </c>
      <c r="BC9" s="1272" t="s">
        <v>2743</v>
      </c>
      <c r="BD9" s="1272" t="s">
        <v>2749</v>
      </c>
      <c r="BE9" s="1272" t="s">
        <v>2746</v>
      </c>
      <c r="BF9" s="1272" t="s">
        <v>2735</v>
      </c>
      <c r="BG9" s="1272" t="s">
        <v>2742</v>
      </c>
      <c r="BH9" s="1272" t="s">
        <v>2754</v>
      </c>
      <c r="BI9" s="1272" t="s">
        <v>2746</v>
      </c>
      <c r="BJ9" s="1272" t="s">
        <v>2862</v>
      </c>
      <c r="BK9" s="1576" t="s">
        <v>754</v>
      </c>
      <c r="BL9" s="1577" t="s">
        <v>1302</v>
      </c>
    </row>
    <row r="10" spans="1:64" ht="11.85" customHeight="1">
      <c r="A10" s="1574" t="s">
        <v>514</v>
      </c>
      <c r="B10" s="1575" t="s">
        <v>1303</v>
      </c>
      <c r="C10" s="1572" t="s">
        <v>2732</v>
      </c>
      <c r="D10" s="1572" t="s">
        <v>2732</v>
      </c>
      <c r="E10" s="1572" t="s">
        <v>2741</v>
      </c>
      <c r="F10" s="1271" t="s">
        <v>2733</v>
      </c>
      <c r="G10" s="1271" t="s">
        <v>2733</v>
      </c>
      <c r="H10" s="1271" t="s">
        <v>2732</v>
      </c>
      <c r="I10" s="1271" t="s">
        <v>2733</v>
      </c>
      <c r="J10" s="1271" t="s">
        <v>2733</v>
      </c>
      <c r="K10" s="1271" t="s">
        <v>2732</v>
      </c>
      <c r="L10" s="1271" t="s">
        <v>2739</v>
      </c>
      <c r="M10" s="1271" t="s">
        <v>2747</v>
      </c>
      <c r="N10" s="1271" t="s">
        <v>2735</v>
      </c>
      <c r="O10" s="1271" t="s">
        <v>2744</v>
      </c>
      <c r="P10" s="1271" t="s">
        <v>2738</v>
      </c>
      <c r="Q10" s="1271" t="s">
        <v>2738</v>
      </c>
      <c r="R10" s="1574" t="s">
        <v>514</v>
      </c>
      <c r="S10" s="1575" t="s">
        <v>1303</v>
      </c>
      <c r="T10" s="1574" t="s">
        <v>514</v>
      </c>
      <c r="U10" s="1575" t="s">
        <v>1303</v>
      </c>
      <c r="V10" s="1273" t="s">
        <v>2739</v>
      </c>
      <c r="W10" s="1273" t="s">
        <v>2743</v>
      </c>
      <c r="X10" s="1273" t="s">
        <v>2732</v>
      </c>
      <c r="Y10" s="1273" t="s">
        <v>2732</v>
      </c>
      <c r="Z10" s="1273" t="s">
        <v>2739</v>
      </c>
      <c r="AA10" s="1273" t="s">
        <v>2748</v>
      </c>
      <c r="AB10" s="1273" t="s">
        <v>2732</v>
      </c>
      <c r="AC10" s="1273" t="s">
        <v>2735</v>
      </c>
      <c r="AD10" s="1273" t="s">
        <v>2733</v>
      </c>
      <c r="AE10" s="1273" t="s">
        <v>2738</v>
      </c>
      <c r="AF10" s="1273" t="s">
        <v>2753</v>
      </c>
      <c r="AG10" s="1273" t="s">
        <v>2732</v>
      </c>
      <c r="AH10" s="1574" t="s">
        <v>514</v>
      </c>
      <c r="AI10" s="1575" t="s">
        <v>1303</v>
      </c>
      <c r="AJ10" s="1574" t="s">
        <v>514</v>
      </c>
      <c r="AK10" s="1575" t="s">
        <v>1303</v>
      </c>
      <c r="AL10" s="1271" t="s">
        <v>2733</v>
      </c>
      <c r="AM10" s="1271" t="s">
        <v>2732</v>
      </c>
      <c r="AN10" s="1271" t="s">
        <v>2755</v>
      </c>
      <c r="AO10" s="1271" t="s">
        <v>2743</v>
      </c>
      <c r="AP10" s="1271" t="s">
        <v>2738</v>
      </c>
      <c r="AQ10" s="1271" t="s">
        <v>2753</v>
      </c>
      <c r="AR10" s="1271" t="s">
        <v>2753</v>
      </c>
      <c r="AS10" s="1271" t="s">
        <v>2738</v>
      </c>
      <c r="AT10" s="1271" t="s">
        <v>2735</v>
      </c>
      <c r="AU10" s="1271" t="s">
        <v>2735</v>
      </c>
      <c r="AV10" s="1271" t="s">
        <v>2756</v>
      </c>
      <c r="AW10" s="1271" t="s">
        <v>2735</v>
      </c>
      <c r="AX10" s="1271" t="s">
        <v>2732</v>
      </c>
      <c r="AY10" s="1574" t="s">
        <v>514</v>
      </c>
      <c r="AZ10" s="1575" t="s">
        <v>1303</v>
      </c>
      <c r="BA10" s="1574" t="s">
        <v>514</v>
      </c>
      <c r="BB10" s="1575" t="s">
        <v>1303</v>
      </c>
      <c r="BC10" s="1271" t="s">
        <v>2742</v>
      </c>
      <c r="BD10" s="1271" t="s">
        <v>2757</v>
      </c>
      <c r="BE10" s="1271" t="s">
        <v>2746</v>
      </c>
      <c r="BF10" s="1271" t="s">
        <v>2735</v>
      </c>
      <c r="BG10" s="1271" t="s">
        <v>2739</v>
      </c>
      <c r="BH10" s="1271" t="s">
        <v>2758</v>
      </c>
      <c r="BI10" s="1271" t="s">
        <v>2746</v>
      </c>
      <c r="BJ10" s="1271" t="s">
        <v>2745</v>
      </c>
      <c r="BK10" s="1574" t="s">
        <v>514</v>
      </c>
      <c r="BL10" s="1575" t="s">
        <v>1303</v>
      </c>
    </row>
    <row r="11" spans="1:64" ht="11.85" customHeight="1">
      <c r="A11" s="1576" t="s">
        <v>515</v>
      </c>
      <c r="B11" s="1577" t="s">
        <v>1304</v>
      </c>
      <c r="C11" s="1384" t="s">
        <v>2741</v>
      </c>
      <c r="D11" s="1384" t="s">
        <v>2741</v>
      </c>
      <c r="E11" s="1384" t="s">
        <v>2741</v>
      </c>
      <c r="F11" s="1272" t="s">
        <v>2733</v>
      </c>
      <c r="G11" s="1272" t="s">
        <v>2733</v>
      </c>
      <c r="H11" s="1272" t="s">
        <v>2732</v>
      </c>
      <c r="I11" s="1272" t="s">
        <v>2733</v>
      </c>
      <c r="J11" s="1272" t="s">
        <v>2733</v>
      </c>
      <c r="K11" s="1272" t="s">
        <v>2732</v>
      </c>
      <c r="L11" s="1272" t="s">
        <v>2732</v>
      </c>
      <c r="M11" s="1272" t="s">
        <v>2738</v>
      </c>
      <c r="N11" s="1272" t="s">
        <v>2735</v>
      </c>
      <c r="O11" s="1272" t="s">
        <v>2744</v>
      </c>
      <c r="P11" s="1272" t="s">
        <v>2787</v>
      </c>
      <c r="Q11" s="1272" t="s">
        <v>2756</v>
      </c>
      <c r="R11" s="1576" t="s">
        <v>515</v>
      </c>
      <c r="S11" s="1577" t="s">
        <v>1304</v>
      </c>
      <c r="T11" s="1576" t="s">
        <v>515</v>
      </c>
      <c r="U11" s="1577" t="s">
        <v>1304</v>
      </c>
      <c r="V11" s="1274" t="s">
        <v>2735</v>
      </c>
      <c r="W11" s="1274" t="s">
        <v>2743</v>
      </c>
      <c r="X11" s="1274" t="s">
        <v>2733</v>
      </c>
      <c r="Y11" s="1274" t="s">
        <v>2741</v>
      </c>
      <c r="Z11" s="1274" t="s">
        <v>2739</v>
      </c>
      <c r="AA11" s="1274" t="s">
        <v>2748</v>
      </c>
      <c r="AB11" s="1274" t="s">
        <v>2732</v>
      </c>
      <c r="AC11" s="1274" t="s">
        <v>2732</v>
      </c>
      <c r="AD11" s="1274" t="s">
        <v>2733</v>
      </c>
      <c r="AE11" s="1274" t="s">
        <v>2753</v>
      </c>
      <c r="AF11" s="1274" t="s">
        <v>2760</v>
      </c>
      <c r="AG11" s="1274" t="s">
        <v>2738</v>
      </c>
      <c r="AH11" s="1576" t="s">
        <v>515</v>
      </c>
      <c r="AI11" s="1577" t="s">
        <v>1304</v>
      </c>
      <c r="AJ11" s="1576" t="s">
        <v>515</v>
      </c>
      <c r="AK11" s="1577" t="s">
        <v>1304</v>
      </c>
      <c r="AL11" s="1272" t="s">
        <v>2738</v>
      </c>
      <c r="AM11" s="1272" t="s">
        <v>2732</v>
      </c>
      <c r="AN11" s="1272" t="s">
        <v>2761</v>
      </c>
      <c r="AO11" s="1272" t="s">
        <v>2735</v>
      </c>
      <c r="AP11" s="1272" t="s">
        <v>2756</v>
      </c>
      <c r="AQ11" s="1272" t="s">
        <v>2760</v>
      </c>
      <c r="AR11" s="1272" t="s">
        <v>2760</v>
      </c>
      <c r="AS11" s="1272" t="s">
        <v>2738</v>
      </c>
      <c r="AT11" s="1272" t="s">
        <v>2732</v>
      </c>
      <c r="AU11" s="1272" t="s">
        <v>2748</v>
      </c>
      <c r="AV11" s="1272" t="s">
        <v>2756</v>
      </c>
      <c r="AW11" s="1272" t="s">
        <v>2732</v>
      </c>
      <c r="AX11" s="1272" t="s">
        <v>2732</v>
      </c>
      <c r="AY11" s="1576" t="s">
        <v>515</v>
      </c>
      <c r="AZ11" s="1577" t="s">
        <v>1304</v>
      </c>
      <c r="BA11" s="1576" t="s">
        <v>515</v>
      </c>
      <c r="BB11" s="1577" t="s">
        <v>1304</v>
      </c>
      <c r="BC11" s="1272" t="s">
        <v>2739</v>
      </c>
      <c r="BD11" s="1272" t="s">
        <v>2743</v>
      </c>
      <c r="BE11" s="1272" t="s">
        <v>2746</v>
      </c>
      <c r="BF11" s="1272" t="s">
        <v>2735</v>
      </c>
      <c r="BG11" s="1272" t="s">
        <v>2735</v>
      </c>
      <c r="BH11" s="1272" t="s">
        <v>2743</v>
      </c>
      <c r="BI11" s="1272" t="s">
        <v>2746</v>
      </c>
      <c r="BJ11" s="1272" t="s">
        <v>2755</v>
      </c>
      <c r="BK11" s="1576" t="s">
        <v>515</v>
      </c>
      <c r="BL11" s="1577" t="s">
        <v>1304</v>
      </c>
    </row>
    <row r="12" spans="1:64" ht="11.85" customHeight="1">
      <c r="A12" s="1574" t="s">
        <v>539</v>
      </c>
      <c r="B12" s="1575" t="s">
        <v>2240</v>
      </c>
      <c r="C12" s="1572" t="s">
        <v>2733</v>
      </c>
      <c r="D12" s="1572" t="s">
        <v>2733</v>
      </c>
      <c r="E12" s="1572" t="s">
        <v>2741</v>
      </c>
      <c r="F12" s="1271" t="s">
        <v>2733</v>
      </c>
      <c r="G12" s="1271" t="s">
        <v>2733</v>
      </c>
      <c r="H12" s="1271" t="s">
        <v>2732</v>
      </c>
      <c r="I12" s="1271" t="s">
        <v>2733</v>
      </c>
      <c r="J12" s="1271" t="s">
        <v>2733</v>
      </c>
      <c r="K12" s="1271" t="s">
        <v>2732</v>
      </c>
      <c r="L12" s="1271" t="s">
        <v>2732</v>
      </c>
      <c r="M12" s="1271" t="s">
        <v>2753</v>
      </c>
      <c r="N12" s="1271" t="s">
        <v>2756</v>
      </c>
      <c r="O12" s="1271" t="s">
        <v>2744</v>
      </c>
      <c r="P12" s="1271" t="s">
        <v>2767</v>
      </c>
      <c r="Q12" s="1271" t="s">
        <v>2756</v>
      </c>
      <c r="R12" s="1574" t="s">
        <v>539</v>
      </c>
      <c r="S12" s="1575" t="s">
        <v>2240</v>
      </c>
      <c r="T12" s="1574" t="s">
        <v>539</v>
      </c>
      <c r="U12" s="1575" t="s">
        <v>2240</v>
      </c>
      <c r="V12" s="1273" t="s">
        <v>2735</v>
      </c>
      <c r="W12" s="1273" t="s">
        <v>2743</v>
      </c>
      <c r="X12" s="1273" t="s">
        <v>2733</v>
      </c>
      <c r="Y12" s="1273" t="s">
        <v>2733</v>
      </c>
      <c r="Z12" s="1273" t="s">
        <v>2735</v>
      </c>
      <c r="AA12" s="1273" t="s">
        <v>2733</v>
      </c>
      <c r="AB12" s="1273" t="s">
        <v>2732</v>
      </c>
      <c r="AC12" s="1273" t="s">
        <v>2733</v>
      </c>
      <c r="AD12" s="1273" t="s">
        <v>2733</v>
      </c>
      <c r="AE12" s="1273" t="s">
        <v>2756</v>
      </c>
      <c r="AF12" s="1273" t="s">
        <v>2756</v>
      </c>
      <c r="AG12" s="1273" t="s">
        <v>2756</v>
      </c>
      <c r="AH12" s="1574" t="s">
        <v>539</v>
      </c>
      <c r="AI12" s="1575" t="s">
        <v>2240</v>
      </c>
      <c r="AJ12" s="1574" t="s">
        <v>539</v>
      </c>
      <c r="AK12" s="1575" t="s">
        <v>2240</v>
      </c>
      <c r="AL12" s="1271" t="s">
        <v>2756</v>
      </c>
      <c r="AM12" s="1271" t="s">
        <v>2733</v>
      </c>
      <c r="AN12" s="1271" t="s">
        <v>2743</v>
      </c>
      <c r="AO12" s="1271" t="s">
        <v>2744</v>
      </c>
      <c r="AP12" s="1271" t="s">
        <v>2756</v>
      </c>
      <c r="AQ12" s="1271" t="s">
        <v>2756</v>
      </c>
      <c r="AR12" s="1271" t="s">
        <v>2760</v>
      </c>
      <c r="AS12" s="1271" t="s">
        <v>2753</v>
      </c>
      <c r="AT12" s="1271" t="s">
        <v>2732</v>
      </c>
      <c r="AU12" s="1271" t="s">
        <v>2732</v>
      </c>
      <c r="AV12" s="1271" t="s">
        <v>2756</v>
      </c>
      <c r="AW12" s="1271" t="s">
        <v>2753</v>
      </c>
      <c r="AX12" s="1271" t="s">
        <v>2733</v>
      </c>
      <c r="AY12" s="1574" t="s">
        <v>539</v>
      </c>
      <c r="AZ12" s="1575" t="s">
        <v>2240</v>
      </c>
      <c r="BA12" s="1574" t="s">
        <v>539</v>
      </c>
      <c r="BB12" s="1575" t="s">
        <v>2240</v>
      </c>
      <c r="BC12" s="1271" t="s">
        <v>2733</v>
      </c>
      <c r="BD12" s="1271" t="s">
        <v>2743</v>
      </c>
      <c r="BE12" s="1271" t="s">
        <v>2746</v>
      </c>
      <c r="BF12" s="1271" t="s">
        <v>2735</v>
      </c>
      <c r="BG12" s="1271" t="s">
        <v>2732</v>
      </c>
      <c r="BH12" s="1271" t="s">
        <v>2745</v>
      </c>
      <c r="BI12" s="1271" t="s">
        <v>2746</v>
      </c>
      <c r="BJ12" s="1271" t="s">
        <v>2737</v>
      </c>
      <c r="BK12" s="1574" t="s">
        <v>539</v>
      </c>
      <c r="BL12" s="1575" t="s">
        <v>2240</v>
      </c>
    </row>
    <row r="13" spans="1:64" ht="11.85" customHeight="1">
      <c r="A13" s="2119" t="s">
        <v>46</v>
      </c>
      <c r="B13" s="2119"/>
      <c r="C13" s="1578"/>
      <c r="D13" s="1578"/>
      <c r="E13" s="1578"/>
      <c r="F13" s="1578"/>
      <c r="G13" s="1578"/>
      <c r="H13" s="1578"/>
      <c r="I13" s="1578"/>
      <c r="J13" s="1578"/>
      <c r="K13" s="1579"/>
      <c r="L13" s="1578"/>
      <c r="M13" s="1578"/>
      <c r="N13" s="1578"/>
      <c r="O13" s="1578"/>
      <c r="P13" s="1578"/>
      <c r="Q13" s="1578"/>
      <c r="R13" s="2119" t="s">
        <v>46</v>
      </c>
      <c r="S13" s="2119"/>
      <c r="T13" s="2119" t="s">
        <v>46</v>
      </c>
      <c r="U13" s="2119"/>
      <c r="V13" s="1573"/>
      <c r="W13" s="1573"/>
      <c r="X13" s="1573"/>
      <c r="Y13" s="1573"/>
      <c r="Z13" s="1573"/>
      <c r="AA13" s="1573"/>
      <c r="AB13" s="1573"/>
      <c r="AC13" s="1573"/>
      <c r="AD13" s="1573"/>
      <c r="AE13" s="1573"/>
      <c r="AF13" s="1573"/>
      <c r="AG13" s="1274"/>
      <c r="AH13" s="2119" t="s">
        <v>46</v>
      </c>
      <c r="AI13" s="2119"/>
      <c r="AJ13" s="2119" t="s">
        <v>46</v>
      </c>
      <c r="AK13" s="2119"/>
      <c r="AL13" s="1276"/>
      <c r="AM13" s="1276"/>
      <c r="AN13" s="1276"/>
      <c r="AO13" s="1276"/>
      <c r="AP13" s="1276"/>
      <c r="AQ13" s="1276"/>
      <c r="AR13" s="1276"/>
      <c r="AS13" s="1276"/>
      <c r="AT13" s="1276"/>
      <c r="AU13" s="1276"/>
      <c r="AV13" s="1276"/>
      <c r="AW13" s="1276"/>
      <c r="AX13" s="1276"/>
      <c r="AY13" s="2119" t="s">
        <v>46</v>
      </c>
      <c r="AZ13" s="2119"/>
      <c r="BA13" s="2119" t="s">
        <v>46</v>
      </c>
      <c r="BB13" s="2119"/>
      <c r="BC13" s="1276"/>
      <c r="BD13" s="1276"/>
      <c r="BE13" s="1276"/>
      <c r="BF13" s="1276"/>
      <c r="BG13" s="1276"/>
      <c r="BH13" s="1276"/>
      <c r="BI13" s="1272"/>
      <c r="BJ13" s="1272"/>
      <c r="BK13" s="2119" t="s">
        <v>46</v>
      </c>
      <c r="BL13" s="2119"/>
    </row>
    <row r="14" spans="1:64" ht="11.85" customHeight="1">
      <c r="A14" s="1574" t="s">
        <v>541</v>
      </c>
      <c r="B14" s="1575" t="s">
        <v>1305</v>
      </c>
      <c r="C14" s="1572" t="s">
        <v>2559</v>
      </c>
      <c r="D14" s="1572" t="s">
        <v>2760</v>
      </c>
      <c r="E14" s="1271" t="s">
        <v>2751</v>
      </c>
      <c r="F14" s="1271" t="s">
        <v>2751</v>
      </c>
      <c r="G14" s="1271" t="s">
        <v>2753</v>
      </c>
      <c r="H14" s="1271" t="s">
        <v>2756</v>
      </c>
      <c r="I14" s="1271" t="s">
        <v>2760</v>
      </c>
      <c r="J14" s="1273" t="s">
        <v>2531</v>
      </c>
      <c r="K14" s="1271" t="s">
        <v>2756</v>
      </c>
      <c r="L14" s="1271" t="s">
        <v>2535</v>
      </c>
      <c r="M14" s="1271" t="s">
        <v>2756</v>
      </c>
      <c r="N14" s="1271" t="s">
        <v>2756</v>
      </c>
      <c r="O14" s="1271" t="s">
        <v>2762</v>
      </c>
      <c r="P14" s="1271" t="s">
        <v>2756</v>
      </c>
      <c r="Q14" s="1271" t="s">
        <v>2535</v>
      </c>
      <c r="R14" s="1574" t="s">
        <v>541</v>
      </c>
      <c r="S14" s="1575" t="s">
        <v>1305</v>
      </c>
      <c r="T14" s="1574" t="s">
        <v>541</v>
      </c>
      <c r="U14" s="1575" t="s">
        <v>1305</v>
      </c>
      <c r="V14" s="1273" t="s">
        <v>2818</v>
      </c>
      <c r="W14" s="1273" t="s">
        <v>2756</v>
      </c>
      <c r="X14" s="1273" t="s">
        <v>2596</v>
      </c>
      <c r="Y14" s="1273" t="s">
        <v>2756</v>
      </c>
      <c r="Z14" s="1273" t="s">
        <v>2756</v>
      </c>
      <c r="AA14" s="1273" t="s">
        <v>2620</v>
      </c>
      <c r="AB14" s="1273" t="s">
        <v>2763</v>
      </c>
      <c r="AC14" s="1273" t="s">
        <v>2756</v>
      </c>
      <c r="AD14" s="1273" t="s">
        <v>2038</v>
      </c>
      <c r="AE14" s="1273" t="s">
        <v>2056</v>
      </c>
      <c r="AF14" s="1273" t="s">
        <v>2764</v>
      </c>
      <c r="AG14" s="1273" t="s">
        <v>2595</v>
      </c>
      <c r="AH14" s="1574" t="s">
        <v>541</v>
      </c>
      <c r="AI14" s="1575" t="s">
        <v>1305</v>
      </c>
      <c r="AJ14" s="1574" t="s">
        <v>541</v>
      </c>
      <c r="AK14" s="1575" t="s">
        <v>1305</v>
      </c>
      <c r="AL14" s="1271" t="s">
        <v>2756</v>
      </c>
      <c r="AM14" s="1271" t="s">
        <v>2504</v>
      </c>
      <c r="AN14" s="1271" t="s">
        <v>2765</v>
      </c>
      <c r="AO14" s="1275" t="s">
        <v>2860</v>
      </c>
      <c r="AP14" s="1271" t="s">
        <v>2756</v>
      </c>
      <c r="AQ14" s="1273" t="s">
        <v>2774</v>
      </c>
      <c r="AR14" s="1271" t="s">
        <v>2819</v>
      </c>
      <c r="AS14" s="1271" t="s">
        <v>2756</v>
      </c>
      <c r="AT14" s="1271" t="s">
        <v>2774</v>
      </c>
      <c r="AU14" s="1271" t="s">
        <v>2756</v>
      </c>
      <c r="AV14" s="1271" t="s">
        <v>2756</v>
      </c>
      <c r="AW14" s="1271" t="s">
        <v>2596</v>
      </c>
      <c r="AX14" s="1271" t="s">
        <v>2756</v>
      </c>
      <c r="AY14" s="1574" t="s">
        <v>541</v>
      </c>
      <c r="AZ14" s="1575" t="s">
        <v>1305</v>
      </c>
      <c r="BA14" s="1574" t="s">
        <v>541</v>
      </c>
      <c r="BB14" s="1575" t="s">
        <v>1305</v>
      </c>
      <c r="BC14" s="1271" t="s">
        <v>2535</v>
      </c>
      <c r="BD14" s="1271" t="s">
        <v>2765</v>
      </c>
      <c r="BE14" s="1271" t="s">
        <v>2738</v>
      </c>
      <c r="BF14" s="1271" t="s">
        <v>2504</v>
      </c>
      <c r="BG14" s="1271" t="s">
        <v>2756</v>
      </c>
      <c r="BH14" s="1271" t="s">
        <v>2863</v>
      </c>
      <c r="BI14" s="1271" t="s">
        <v>2054</v>
      </c>
      <c r="BJ14" s="1271" t="s">
        <v>2864</v>
      </c>
      <c r="BK14" s="1574" t="s">
        <v>541</v>
      </c>
      <c r="BL14" s="1575" t="s">
        <v>1305</v>
      </c>
    </row>
    <row r="15" spans="1:64" ht="11.85" customHeight="1">
      <c r="A15" s="1576" t="s">
        <v>754</v>
      </c>
      <c r="B15" s="1577" t="s">
        <v>1306</v>
      </c>
      <c r="C15" s="1384" t="s">
        <v>2491</v>
      </c>
      <c r="D15" s="1272" t="s">
        <v>2766</v>
      </c>
      <c r="E15" s="1272" t="s">
        <v>2753</v>
      </c>
      <c r="F15" s="1272" t="s">
        <v>2753</v>
      </c>
      <c r="G15" s="1272" t="s">
        <v>2760</v>
      </c>
      <c r="H15" s="1272" t="s">
        <v>2756</v>
      </c>
      <c r="I15" s="1272" t="s">
        <v>2766</v>
      </c>
      <c r="J15" s="1274" t="s">
        <v>2847</v>
      </c>
      <c r="K15" s="1272" t="s">
        <v>2504</v>
      </c>
      <c r="L15" s="1272" t="s">
        <v>2848</v>
      </c>
      <c r="M15" s="1272" t="s">
        <v>2764</v>
      </c>
      <c r="N15" s="1272" t="s">
        <v>2767</v>
      </c>
      <c r="O15" s="1272" t="s">
        <v>2764</v>
      </c>
      <c r="P15" s="1272" t="s">
        <v>2601</v>
      </c>
      <c r="Q15" s="1272" t="s">
        <v>2812</v>
      </c>
      <c r="R15" s="1576" t="s">
        <v>754</v>
      </c>
      <c r="S15" s="1577" t="s">
        <v>1306</v>
      </c>
      <c r="T15" s="1576" t="s">
        <v>754</v>
      </c>
      <c r="U15" s="1577" t="s">
        <v>1306</v>
      </c>
      <c r="V15" s="1274" t="s">
        <v>2818</v>
      </c>
      <c r="W15" s="1274" t="s">
        <v>2615</v>
      </c>
      <c r="X15" s="1274" t="s">
        <v>2596</v>
      </c>
      <c r="Y15" s="1274" t="s">
        <v>2532</v>
      </c>
      <c r="Z15" s="1274" t="s">
        <v>2767</v>
      </c>
      <c r="AA15" s="1274" t="s">
        <v>2596</v>
      </c>
      <c r="AB15" s="1274" t="s">
        <v>2768</v>
      </c>
      <c r="AC15" s="1274" t="s">
        <v>2325</v>
      </c>
      <c r="AD15" s="1274" t="s">
        <v>2621</v>
      </c>
      <c r="AE15" s="1274" t="s">
        <v>2056</v>
      </c>
      <c r="AF15" s="1274" t="s">
        <v>2769</v>
      </c>
      <c r="AG15" s="1274" t="s">
        <v>2615</v>
      </c>
      <c r="AH15" s="1576" t="s">
        <v>754</v>
      </c>
      <c r="AI15" s="1577" t="s">
        <v>1306</v>
      </c>
      <c r="AJ15" s="1576" t="s">
        <v>754</v>
      </c>
      <c r="AK15" s="1577" t="s">
        <v>1306</v>
      </c>
      <c r="AL15" s="1272" t="s">
        <v>2756</v>
      </c>
      <c r="AM15" s="1272" t="s">
        <v>2759</v>
      </c>
      <c r="AN15" s="1272" t="s">
        <v>2767</v>
      </c>
      <c r="AO15" s="1276" t="s">
        <v>2861</v>
      </c>
      <c r="AP15" s="1272" t="s">
        <v>2756</v>
      </c>
      <c r="AQ15" s="1274" t="s">
        <v>2820</v>
      </c>
      <c r="AR15" s="1272" t="s">
        <v>2821</v>
      </c>
      <c r="AS15" s="1272" t="s">
        <v>2615</v>
      </c>
      <c r="AT15" s="1272" t="s">
        <v>2821</v>
      </c>
      <c r="AU15" s="1272" t="s">
        <v>2601</v>
      </c>
      <c r="AV15" s="1272" t="s">
        <v>1765</v>
      </c>
      <c r="AW15" s="1272" t="s">
        <v>2596</v>
      </c>
      <c r="AX15" s="1272" t="s">
        <v>2504</v>
      </c>
      <c r="AY15" s="1576" t="s">
        <v>754</v>
      </c>
      <c r="AZ15" s="1577" t="s">
        <v>1306</v>
      </c>
      <c r="BA15" s="1576" t="s">
        <v>754</v>
      </c>
      <c r="BB15" s="1577" t="s">
        <v>1306</v>
      </c>
      <c r="BC15" s="1272" t="s">
        <v>1765</v>
      </c>
      <c r="BD15" s="1272" t="s">
        <v>2827</v>
      </c>
      <c r="BE15" s="1272" t="s">
        <v>2756</v>
      </c>
      <c r="BF15" s="1272" t="s">
        <v>2865</v>
      </c>
      <c r="BG15" s="1272" t="s">
        <v>2756</v>
      </c>
      <c r="BH15" s="1272" t="s">
        <v>2743</v>
      </c>
      <c r="BI15" s="1272" t="s">
        <v>2146</v>
      </c>
      <c r="BJ15" s="1272" t="s">
        <v>2866</v>
      </c>
      <c r="BK15" s="1576" t="s">
        <v>754</v>
      </c>
      <c r="BL15" s="1577" t="s">
        <v>1306</v>
      </c>
    </row>
    <row r="16" spans="1:64" ht="11.85" customHeight="1">
      <c r="A16" s="1574" t="s">
        <v>514</v>
      </c>
      <c r="B16" s="1575" t="s">
        <v>1307</v>
      </c>
      <c r="C16" s="1572" t="s">
        <v>2040</v>
      </c>
      <c r="D16" s="1572" t="s">
        <v>2756</v>
      </c>
      <c r="E16" s="1271" t="s">
        <v>2756</v>
      </c>
      <c r="F16" s="1271" t="s">
        <v>2756</v>
      </c>
      <c r="G16" s="1271" t="s">
        <v>2756</v>
      </c>
      <c r="H16" s="1271" t="s">
        <v>2756</v>
      </c>
      <c r="I16" s="1271" t="s">
        <v>2756</v>
      </c>
      <c r="J16" s="1273" t="s">
        <v>2849</v>
      </c>
      <c r="K16" s="1271" t="s">
        <v>2538</v>
      </c>
      <c r="L16" s="1271" t="s">
        <v>2056</v>
      </c>
      <c r="M16" s="1271" t="s">
        <v>2772</v>
      </c>
      <c r="N16" s="1271" t="s">
        <v>2759</v>
      </c>
      <c r="O16" s="1271" t="s">
        <v>2764</v>
      </c>
      <c r="P16" s="1271" t="s">
        <v>2813</v>
      </c>
      <c r="Q16" s="1271" t="s">
        <v>2767</v>
      </c>
      <c r="R16" s="1574" t="s">
        <v>514</v>
      </c>
      <c r="S16" s="1575" t="s">
        <v>1307</v>
      </c>
      <c r="T16" s="1574" t="s">
        <v>514</v>
      </c>
      <c r="U16" s="1575" t="s">
        <v>1307</v>
      </c>
      <c r="V16" s="1273" t="s">
        <v>2609</v>
      </c>
      <c r="W16" s="1273" t="s">
        <v>2855</v>
      </c>
      <c r="X16" s="1273" t="s">
        <v>2756</v>
      </c>
      <c r="Y16" s="1273" t="s">
        <v>2615</v>
      </c>
      <c r="Z16" s="1273" t="s">
        <v>2771</v>
      </c>
      <c r="AA16" s="1273" t="s">
        <v>2596</v>
      </c>
      <c r="AB16" s="1273" t="s">
        <v>2308</v>
      </c>
      <c r="AC16" s="1273" t="s">
        <v>2772</v>
      </c>
      <c r="AD16" s="1273" t="s">
        <v>2495</v>
      </c>
      <c r="AE16" s="1273" t="s">
        <v>2056</v>
      </c>
      <c r="AF16" s="1273" t="s">
        <v>2772</v>
      </c>
      <c r="AG16" s="1273" t="s">
        <v>2822</v>
      </c>
      <c r="AH16" s="1574" t="s">
        <v>514</v>
      </c>
      <c r="AI16" s="1575" t="s">
        <v>1307</v>
      </c>
      <c r="AJ16" s="1574" t="s">
        <v>514</v>
      </c>
      <c r="AK16" s="1575" t="s">
        <v>1307</v>
      </c>
      <c r="AL16" s="1271" t="s">
        <v>2756</v>
      </c>
      <c r="AM16" s="1271" t="s">
        <v>2605</v>
      </c>
      <c r="AN16" s="1271" t="s">
        <v>2759</v>
      </c>
      <c r="AO16" s="1275" t="s">
        <v>2085</v>
      </c>
      <c r="AP16" s="1271" t="s">
        <v>2756</v>
      </c>
      <c r="AQ16" s="1273" t="s">
        <v>2822</v>
      </c>
      <c r="AR16" s="1271" t="s">
        <v>2823</v>
      </c>
      <c r="AS16" s="1271" t="s">
        <v>2616</v>
      </c>
      <c r="AT16" s="1271" t="s">
        <v>2824</v>
      </c>
      <c r="AU16" s="1271" t="s">
        <v>2767</v>
      </c>
      <c r="AV16" s="1271" t="s">
        <v>2774</v>
      </c>
      <c r="AW16" s="1271" t="s">
        <v>2596</v>
      </c>
      <c r="AX16" s="1271" t="s">
        <v>2504</v>
      </c>
      <c r="AY16" s="1574" t="s">
        <v>514</v>
      </c>
      <c r="AZ16" s="1575" t="s">
        <v>1307</v>
      </c>
      <c r="BA16" s="1574" t="s">
        <v>514</v>
      </c>
      <c r="BB16" s="1575" t="s">
        <v>1307</v>
      </c>
      <c r="BC16" s="1275" t="s">
        <v>2867</v>
      </c>
      <c r="BD16" s="1275" t="s">
        <v>2734</v>
      </c>
      <c r="BE16" s="1271" t="s">
        <v>2756</v>
      </c>
      <c r="BF16" s="1271" t="s">
        <v>2773</v>
      </c>
      <c r="BG16" s="1271" t="s">
        <v>2770</v>
      </c>
      <c r="BH16" s="1271" t="s">
        <v>2743</v>
      </c>
      <c r="BI16" s="1271" t="s">
        <v>2491</v>
      </c>
      <c r="BJ16" s="1271" t="s">
        <v>2866</v>
      </c>
      <c r="BK16" s="1574" t="s">
        <v>514</v>
      </c>
      <c r="BL16" s="1575" t="s">
        <v>1307</v>
      </c>
    </row>
    <row r="17" spans="1:64" ht="11.85" customHeight="1">
      <c r="A17" s="1576" t="s">
        <v>515</v>
      </c>
      <c r="B17" s="1577" t="s">
        <v>1308</v>
      </c>
      <c r="C17" s="1384" t="s">
        <v>2040</v>
      </c>
      <c r="D17" s="1580" t="s">
        <v>80</v>
      </c>
      <c r="E17" s="1272" t="s">
        <v>80</v>
      </c>
      <c r="F17" s="1272" t="s">
        <v>2756</v>
      </c>
      <c r="G17" s="1272" t="s">
        <v>2756</v>
      </c>
      <c r="H17" s="1272" t="s">
        <v>80</v>
      </c>
      <c r="I17" s="1272" t="s">
        <v>80</v>
      </c>
      <c r="J17" s="1274" t="s">
        <v>1765</v>
      </c>
      <c r="K17" s="1272" t="s">
        <v>2850</v>
      </c>
      <c r="L17" s="1272" t="s">
        <v>2762</v>
      </c>
      <c r="M17" s="1272" t="s">
        <v>2772</v>
      </c>
      <c r="N17" s="1272" t="s">
        <v>2759</v>
      </c>
      <c r="O17" s="1272" t="s">
        <v>2764</v>
      </c>
      <c r="P17" s="1272" t="s">
        <v>2756</v>
      </c>
      <c r="Q17" s="1272" t="s">
        <v>2770</v>
      </c>
      <c r="R17" s="1576" t="s">
        <v>515</v>
      </c>
      <c r="S17" s="1577" t="s">
        <v>1308</v>
      </c>
      <c r="T17" s="1576" t="s">
        <v>515</v>
      </c>
      <c r="U17" s="1577" t="s">
        <v>1308</v>
      </c>
      <c r="V17" s="1274" t="s">
        <v>2738</v>
      </c>
      <c r="W17" s="1274" t="s">
        <v>80</v>
      </c>
      <c r="X17" s="1274" t="s">
        <v>2756</v>
      </c>
      <c r="Y17" s="1274" t="s">
        <v>2615</v>
      </c>
      <c r="Z17" s="1274" t="s">
        <v>80</v>
      </c>
      <c r="AA17" s="1274" t="s">
        <v>80</v>
      </c>
      <c r="AB17" s="1274" t="s">
        <v>2308</v>
      </c>
      <c r="AC17" s="1274" t="s">
        <v>80</v>
      </c>
      <c r="AD17" s="1274" t="s">
        <v>2495</v>
      </c>
      <c r="AE17" s="1274" t="s">
        <v>2056</v>
      </c>
      <c r="AF17" s="1274" t="s">
        <v>80</v>
      </c>
      <c r="AG17" s="1274" t="s">
        <v>80</v>
      </c>
      <c r="AH17" s="1576" t="s">
        <v>515</v>
      </c>
      <c r="AI17" s="1577" t="s">
        <v>1308</v>
      </c>
      <c r="AJ17" s="1576" t="s">
        <v>515</v>
      </c>
      <c r="AK17" s="1577" t="s">
        <v>1308</v>
      </c>
      <c r="AL17" s="1272" t="s">
        <v>2756</v>
      </c>
      <c r="AM17" s="1276" t="s">
        <v>2764</v>
      </c>
      <c r="AN17" s="1272" t="s">
        <v>2759</v>
      </c>
      <c r="AO17" s="1272" t="s">
        <v>2762</v>
      </c>
      <c r="AP17" s="1272" t="s">
        <v>2756</v>
      </c>
      <c r="AQ17" s="1274" t="s">
        <v>80</v>
      </c>
      <c r="AR17" s="1272" t="s">
        <v>80</v>
      </c>
      <c r="AS17" s="1272" t="s">
        <v>2616</v>
      </c>
      <c r="AT17" s="1272" t="s">
        <v>2825</v>
      </c>
      <c r="AU17" s="1272" t="s">
        <v>2759</v>
      </c>
      <c r="AV17" s="1272" t="s">
        <v>2774</v>
      </c>
      <c r="AW17" s="1272" t="s">
        <v>80</v>
      </c>
      <c r="AX17" s="1272" t="s">
        <v>2756</v>
      </c>
      <c r="AY17" s="1576" t="s">
        <v>515</v>
      </c>
      <c r="AZ17" s="1577" t="s">
        <v>1308</v>
      </c>
      <c r="BA17" s="1576" t="s">
        <v>515</v>
      </c>
      <c r="BB17" s="1577" t="s">
        <v>1308</v>
      </c>
      <c r="BC17" s="1272" t="s">
        <v>2632</v>
      </c>
      <c r="BD17" s="1276" t="s">
        <v>2620</v>
      </c>
      <c r="BE17" s="1272" t="s">
        <v>2328</v>
      </c>
      <c r="BF17" s="1272" t="s">
        <v>2744</v>
      </c>
      <c r="BG17" s="1272" t="s">
        <v>2775</v>
      </c>
      <c r="BH17" s="1581" t="s">
        <v>80</v>
      </c>
      <c r="BI17" s="1272" t="s">
        <v>2492</v>
      </c>
      <c r="BJ17" s="1272" t="s">
        <v>2866</v>
      </c>
      <c r="BK17" s="1576" t="s">
        <v>515</v>
      </c>
      <c r="BL17" s="1577" t="s">
        <v>1308</v>
      </c>
    </row>
    <row r="18" spans="1:64" ht="11.85" customHeight="1">
      <c r="A18" s="1574" t="s">
        <v>539</v>
      </c>
      <c r="B18" s="1575" t="s">
        <v>1309</v>
      </c>
      <c r="C18" s="1572" t="s">
        <v>80</v>
      </c>
      <c r="D18" s="1582" t="s">
        <v>80</v>
      </c>
      <c r="E18" s="1271" t="s">
        <v>80</v>
      </c>
      <c r="F18" s="1271" t="s">
        <v>2756</v>
      </c>
      <c r="G18" s="1271" t="s">
        <v>2756</v>
      </c>
      <c r="H18" s="1271" t="s">
        <v>80</v>
      </c>
      <c r="I18" s="1271" t="s">
        <v>80</v>
      </c>
      <c r="J18" s="1273" t="s">
        <v>2085</v>
      </c>
      <c r="K18" s="1271" t="s">
        <v>2776</v>
      </c>
      <c r="L18" s="1271" t="s">
        <v>2756</v>
      </c>
      <c r="M18" s="1271" t="s">
        <v>80</v>
      </c>
      <c r="N18" s="1271" t="s">
        <v>2759</v>
      </c>
      <c r="O18" s="1271" t="s">
        <v>2764</v>
      </c>
      <c r="P18" s="1271" t="s">
        <v>80</v>
      </c>
      <c r="Q18" s="1383" t="s">
        <v>2814</v>
      </c>
      <c r="R18" s="1574" t="s">
        <v>539</v>
      </c>
      <c r="S18" s="1575" t="s">
        <v>1309</v>
      </c>
      <c r="T18" s="1574" t="s">
        <v>539</v>
      </c>
      <c r="U18" s="1575" t="s">
        <v>1309</v>
      </c>
      <c r="V18" s="1273" t="s">
        <v>2738</v>
      </c>
      <c r="W18" s="1273" t="s">
        <v>80</v>
      </c>
      <c r="X18" s="1273" t="s">
        <v>2856</v>
      </c>
      <c r="Y18" s="1273" t="s">
        <v>80</v>
      </c>
      <c r="Z18" s="1273" t="s">
        <v>80</v>
      </c>
      <c r="AA18" s="1273" t="s">
        <v>80</v>
      </c>
      <c r="AB18" s="1273" t="s">
        <v>2308</v>
      </c>
      <c r="AC18" s="1273" t="s">
        <v>80</v>
      </c>
      <c r="AD18" s="1273" t="s">
        <v>2495</v>
      </c>
      <c r="AE18" s="1273" t="s">
        <v>2056</v>
      </c>
      <c r="AF18" s="1273" t="s">
        <v>80</v>
      </c>
      <c r="AG18" s="1273" t="s">
        <v>80</v>
      </c>
      <c r="AH18" s="1574" t="s">
        <v>539</v>
      </c>
      <c r="AI18" s="1575" t="s">
        <v>1309</v>
      </c>
      <c r="AJ18" s="1574" t="s">
        <v>539</v>
      </c>
      <c r="AK18" s="1575" t="s">
        <v>1309</v>
      </c>
      <c r="AL18" s="1271" t="s">
        <v>2756</v>
      </c>
      <c r="AM18" s="1271" t="s">
        <v>2753</v>
      </c>
      <c r="AN18" s="1271" t="s">
        <v>2759</v>
      </c>
      <c r="AO18" s="1271" t="s">
        <v>2762</v>
      </c>
      <c r="AP18" s="1271" t="s">
        <v>80</v>
      </c>
      <c r="AQ18" s="1273" t="s">
        <v>80</v>
      </c>
      <c r="AR18" s="1271" t="s">
        <v>80</v>
      </c>
      <c r="AS18" s="1271" t="s">
        <v>80</v>
      </c>
      <c r="AT18" s="1271" t="s">
        <v>2826</v>
      </c>
      <c r="AU18" s="1271" t="s">
        <v>2771</v>
      </c>
      <c r="AV18" s="1271" t="s">
        <v>2774</v>
      </c>
      <c r="AW18" s="1271" t="s">
        <v>80</v>
      </c>
      <c r="AX18" s="1271" t="s">
        <v>2756</v>
      </c>
      <c r="AY18" s="1574" t="s">
        <v>539</v>
      </c>
      <c r="AZ18" s="1575" t="s">
        <v>1309</v>
      </c>
      <c r="BA18" s="1574" t="s">
        <v>539</v>
      </c>
      <c r="BB18" s="1575" t="s">
        <v>1309</v>
      </c>
      <c r="BC18" s="1275" t="s">
        <v>2777</v>
      </c>
      <c r="BD18" s="1271" t="s">
        <v>2778</v>
      </c>
      <c r="BE18" s="1271" t="s">
        <v>2828</v>
      </c>
      <c r="BF18" s="1271" t="s">
        <v>2744</v>
      </c>
      <c r="BG18" s="1271" t="s">
        <v>2775</v>
      </c>
      <c r="BH18" s="1583" t="s">
        <v>80</v>
      </c>
      <c r="BI18" s="1271" t="s">
        <v>2493</v>
      </c>
      <c r="BJ18" s="1271" t="s">
        <v>2866</v>
      </c>
      <c r="BK18" s="1574" t="s">
        <v>539</v>
      </c>
      <c r="BL18" s="1575" t="s">
        <v>1309</v>
      </c>
    </row>
    <row r="19" spans="1:64" ht="11.85" customHeight="1">
      <c r="A19" s="2119" t="s">
        <v>202</v>
      </c>
      <c r="B19" s="2119"/>
      <c r="C19" s="1272"/>
      <c r="D19" s="1272"/>
      <c r="E19" s="1272"/>
      <c r="F19" s="1272"/>
      <c r="G19" s="1272"/>
      <c r="H19" s="1272"/>
      <c r="I19" s="1272"/>
      <c r="J19" s="1272"/>
      <c r="K19" s="1272"/>
      <c r="L19" s="1272"/>
      <c r="M19" s="1272"/>
      <c r="N19" s="1272"/>
      <c r="O19" s="1276" t="s">
        <v>183</v>
      </c>
      <c r="P19" s="1272"/>
      <c r="Q19" s="1276"/>
      <c r="R19" s="2119" t="s">
        <v>202</v>
      </c>
      <c r="S19" s="2119"/>
      <c r="T19" s="2119" t="s">
        <v>202</v>
      </c>
      <c r="U19" s="2119"/>
      <c r="V19" s="1274"/>
      <c r="W19" s="1274"/>
      <c r="X19" s="1274"/>
      <c r="Y19" s="1274"/>
      <c r="Z19" s="1274"/>
      <c r="AA19" s="1274"/>
      <c r="AB19" s="1573"/>
      <c r="AC19" s="1573"/>
      <c r="AD19" s="1573"/>
      <c r="AE19" s="1573"/>
      <c r="AF19" s="1573"/>
      <c r="AG19" s="1274"/>
      <c r="AH19" s="2119" t="s">
        <v>202</v>
      </c>
      <c r="AI19" s="2119"/>
      <c r="AJ19" s="2119" t="s">
        <v>202</v>
      </c>
      <c r="AK19" s="2119"/>
      <c r="AL19" s="1276"/>
      <c r="AM19" s="1276"/>
      <c r="AN19" s="1272"/>
      <c r="AO19" s="1276"/>
      <c r="AP19" s="1272"/>
      <c r="AQ19" s="1272"/>
      <c r="AR19" s="1272"/>
      <c r="AS19" s="1272"/>
      <c r="AT19" s="1272"/>
      <c r="AU19" s="1272"/>
      <c r="AV19" s="1272"/>
      <c r="AW19" s="1272"/>
      <c r="AX19" s="1272"/>
      <c r="AY19" s="2119" t="s">
        <v>202</v>
      </c>
      <c r="AZ19" s="2119"/>
      <c r="BA19" s="2119" t="s">
        <v>202</v>
      </c>
      <c r="BB19" s="2119"/>
      <c r="BC19" s="1276"/>
      <c r="BD19" s="1276"/>
      <c r="BE19" s="1276"/>
      <c r="BF19" s="1276"/>
      <c r="BG19" s="1276"/>
      <c r="BH19" s="1276"/>
      <c r="BI19" s="1272"/>
      <c r="BJ19" s="1272"/>
      <c r="BK19" s="2119" t="s">
        <v>202</v>
      </c>
      <c r="BL19" s="2119"/>
    </row>
    <row r="20" spans="1:64" ht="11.85" customHeight="1">
      <c r="A20" s="2118" t="s">
        <v>203</v>
      </c>
      <c r="B20" s="2118"/>
      <c r="C20" s="1271"/>
      <c r="D20" s="1271"/>
      <c r="E20" s="1271"/>
      <c r="F20" s="1271"/>
      <c r="G20" s="1271"/>
      <c r="H20" s="1271"/>
      <c r="I20" s="1271"/>
      <c r="J20" s="1271"/>
      <c r="K20" s="1271"/>
      <c r="L20" s="1271"/>
      <c r="M20" s="1271"/>
      <c r="N20" s="1271"/>
      <c r="O20" s="1275"/>
      <c r="P20" s="1271"/>
      <c r="Q20" s="1275"/>
      <c r="R20" s="2118" t="s">
        <v>203</v>
      </c>
      <c r="S20" s="2118"/>
      <c r="T20" s="2118" t="s">
        <v>203</v>
      </c>
      <c r="U20" s="2118"/>
      <c r="V20" s="1584"/>
      <c r="W20" s="1273"/>
      <c r="X20" s="1273"/>
      <c r="Y20" s="1273"/>
      <c r="Z20" s="1273"/>
      <c r="AA20" s="1273"/>
      <c r="AB20" s="1585"/>
      <c r="AC20" s="1585"/>
      <c r="AD20" s="1585"/>
      <c r="AE20" s="1585"/>
      <c r="AF20" s="1585"/>
      <c r="AG20" s="1273"/>
      <c r="AH20" s="2118" t="s">
        <v>203</v>
      </c>
      <c r="AI20" s="2118"/>
      <c r="AJ20" s="2118" t="s">
        <v>203</v>
      </c>
      <c r="AK20" s="2118"/>
      <c r="AL20" s="1275"/>
      <c r="AM20" s="1275"/>
      <c r="AN20" s="1271"/>
      <c r="AO20" s="1275"/>
      <c r="AP20" s="1271"/>
      <c r="AQ20" s="1271"/>
      <c r="AR20" s="1271"/>
      <c r="AS20" s="1271"/>
      <c r="AT20" s="1271"/>
      <c r="AU20" s="1271"/>
      <c r="AV20" s="1271"/>
      <c r="AW20" s="1271"/>
      <c r="AX20" s="1271"/>
      <c r="AY20" s="2118" t="s">
        <v>203</v>
      </c>
      <c r="AZ20" s="2118"/>
      <c r="BA20" s="2118" t="s">
        <v>203</v>
      </c>
      <c r="BB20" s="2118"/>
      <c r="BC20" s="1275"/>
      <c r="BD20" s="1275"/>
      <c r="BE20" s="1275"/>
      <c r="BF20" s="1275"/>
      <c r="BG20" s="1275"/>
      <c r="BH20" s="1275"/>
      <c r="BI20" s="1271"/>
      <c r="BJ20" s="1271"/>
      <c r="BK20" s="2118" t="s">
        <v>203</v>
      </c>
      <c r="BL20" s="2118"/>
    </row>
    <row r="21" spans="1:64" ht="11.85" customHeight="1">
      <c r="A21" s="1586"/>
      <c r="B21" s="482" t="s">
        <v>204</v>
      </c>
      <c r="C21" s="1274" t="s">
        <v>2321</v>
      </c>
      <c r="D21" s="1272" t="s">
        <v>2321</v>
      </c>
      <c r="E21" s="1274" t="s">
        <v>2321</v>
      </c>
      <c r="F21" s="1274" t="s">
        <v>2321</v>
      </c>
      <c r="G21" s="1272" t="s">
        <v>2772</v>
      </c>
      <c r="H21" s="1272" t="s">
        <v>2772</v>
      </c>
      <c r="I21" s="1274" t="s">
        <v>2772</v>
      </c>
      <c r="J21" s="1274" t="s">
        <v>2772</v>
      </c>
      <c r="K21" s="1272" t="s">
        <v>2759</v>
      </c>
      <c r="L21" s="1272" t="s">
        <v>2772</v>
      </c>
      <c r="M21" s="1272" t="s">
        <v>2772</v>
      </c>
      <c r="N21" s="1274" t="s">
        <v>2321</v>
      </c>
      <c r="O21" s="1272" t="s">
        <v>2772</v>
      </c>
      <c r="P21" s="1272" t="s">
        <v>2772</v>
      </c>
      <c r="Q21" s="1272" t="s">
        <v>2321</v>
      </c>
      <c r="R21" s="1345"/>
      <c r="S21" s="482" t="s">
        <v>204</v>
      </c>
      <c r="T21" s="1345"/>
      <c r="U21" s="482" t="s">
        <v>204</v>
      </c>
      <c r="V21" s="1274" t="s">
        <v>2324</v>
      </c>
      <c r="W21" s="1274" t="s">
        <v>2772</v>
      </c>
      <c r="X21" s="1274" t="s">
        <v>2085</v>
      </c>
      <c r="Y21" s="1274" t="s">
        <v>2772</v>
      </c>
      <c r="Z21" s="1274" t="s">
        <v>2772</v>
      </c>
      <c r="AA21" s="1274" t="s">
        <v>2085</v>
      </c>
      <c r="AB21" s="1274" t="s">
        <v>2323</v>
      </c>
      <c r="AC21" s="1274" t="s">
        <v>2772</v>
      </c>
      <c r="AD21" s="1274" t="s">
        <v>2321</v>
      </c>
      <c r="AE21" s="1274" t="s">
        <v>2772</v>
      </c>
      <c r="AF21" s="1274" t="s">
        <v>2321</v>
      </c>
      <c r="AG21" s="1274" t="s">
        <v>2772</v>
      </c>
      <c r="AH21" s="1345"/>
      <c r="AI21" s="482" t="s">
        <v>204</v>
      </c>
      <c r="AJ21" s="1345"/>
      <c r="AK21" s="482" t="s">
        <v>204</v>
      </c>
      <c r="AL21" s="1272" t="s">
        <v>2324</v>
      </c>
      <c r="AM21" s="1272" t="s">
        <v>2772</v>
      </c>
      <c r="AN21" s="1272" t="s">
        <v>2772</v>
      </c>
      <c r="AO21" s="1274" t="s">
        <v>2085</v>
      </c>
      <c r="AP21" s="1272" t="s">
        <v>2772</v>
      </c>
      <c r="AQ21" s="1272" t="s">
        <v>2772</v>
      </c>
      <c r="AR21" s="1272" t="s">
        <v>2772</v>
      </c>
      <c r="AS21" s="1272" t="s">
        <v>2772</v>
      </c>
      <c r="AT21" s="1272" t="s">
        <v>2324</v>
      </c>
      <c r="AU21" s="1272" t="s">
        <v>2772</v>
      </c>
      <c r="AV21" s="1272" t="s">
        <v>2772</v>
      </c>
      <c r="AW21" s="1272" t="s">
        <v>2772</v>
      </c>
      <c r="AX21" s="1272" t="s">
        <v>2772</v>
      </c>
      <c r="AY21" s="1345"/>
      <c r="AZ21" s="482" t="s">
        <v>204</v>
      </c>
      <c r="BA21" s="1345"/>
      <c r="BB21" s="482" t="s">
        <v>204</v>
      </c>
      <c r="BC21" s="1272" t="s">
        <v>2085</v>
      </c>
      <c r="BD21" s="1272" t="s">
        <v>2085</v>
      </c>
      <c r="BE21" s="1272" t="s">
        <v>2323</v>
      </c>
      <c r="BF21" s="1272" t="s">
        <v>2325</v>
      </c>
      <c r="BG21" s="1272" t="s">
        <v>2772</v>
      </c>
      <c r="BH21" s="1272" t="s">
        <v>2056</v>
      </c>
      <c r="BI21" s="1272" t="s">
        <v>2323</v>
      </c>
      <c r="BJ21" s="1272" t="s">
        <v>2772</v>
      </c>
      <c r="BK21" s="1345"/>
      <c r="BL21" s="482" t="s">
        <v>204</v>
      </c>
    </row>
    <row r="22" spans="1:64" ht="11.85" customHeight="1">
      <c r="A22" s="44"/>
      <c r="B22" s="1587" t="s">
        <v>205</v>
      </c>
      <c r="C22" s="1588" t="s">
        <v>80</v>
      </c>
      <c r="D22" s="1271" t="s">
        <v>80</v>
      </c>
      <c r="E22" s="1588" t="s">
        <v>80</v>
      </c>
      <c r="F22" s="1271" t="s">
        <v>80</v>
      </c>
      <c r="G22" s="1271" t="s">
        <v>80</v>
      </c>
      <c r="H22" s="1271" t="s">
        <v>80</v>
      </c>
      <c r="I22" s="1271" t="s">
        <v>80</v>
      </c>
      <c r="J22" s="1273" t="s">
        <v>80</v>
      </c>
      <c r="K22" s="1271" t="s">
        <v>80</v>
      </c>
      <c r="L22" s="1271" t="s">
        <v>80</v>
      </c>
      <c r="M22" s="1271" t="s">
        <v>80</v>
      </c>
      <c r="N22" s="145" t="s">
        <v>2772</v>
      </c>
      <c r="O22" s="1275" t="s">
        <v>80</v>
      </c>
      <c r="P22" s="1271" t="s">
        <v>80</v>
      </c>
      <c r="Q22" s="1271" t="s">
        <v>80</v>
      </c>
      <c r="R22" s="10"/>
      <c r="S22" s="1587" t="s">
        <v>205</v>
      </c>
      <c r="T22" s="10"/>
      <c r="U22" s="1587" t="s">
        <v>205</v>
      </c>
      <c r="V22" s="1273" t="s">
        <v>80</v>
      </c>
      <c r="W22" s="1273" t="s">
        <v>80</v>
      </c>
      <c r="X22" s="1273" t="s">
        <v>80</v>
      </c>
      <c r="Y22" s="1273" t="s">
        <v>80</v>
      </c>
      <c r="Z22" s="1273" t="s">
        <v>80</v>
      </c>
      <c r="AA22" s="1273" t="s">
        <v>80</v>
      </c>
      <c r="AB22" s="1273" t="s">
        <v>2323</v>
      </c>
      <c r="AC22" s="1273" t="s">
        <v>80</v>
      </c>
      <c r="AD22" s="1273" t="s">
        <v>80</v>
      </c>
      <c r="AE22" s="1273" t="s">
        <v>80</v>
      </c>
      <c r="AF22" s="1273" t="s">
        <v>2321</v>
      </c>
      <c r="AG22" s="1273" t="s">
        <v>80</v>
      </c>
      <c r="AH22" s="10"/>
      <c r="AI22" s="1587" t="s">
        <v>205</v>
      </c>
      <c r="AJ22" s="10"/>
      <c r="AK22" s="1587" t="s">
        <v>205</v>
      </c>
      <c r="AL22" s="1271" t="s">
        <v>80</v>
      </c>
      <c r="AM22" s="1271" t="s">
        <v>80</v>
      </c>
      <c r="AN22" s="1271" t="s">
        <v>80</v>
      </c>
      <c r="AO22" s="1271" t="s">
        <v>80</v>
      </c>
      <c r="AP22" s="1271" t="s">
        <v>80</v>
      </c>
      <c r="AQ22" s="1271" t="s">
        <v>80</v>
      </c>
      <c r="AR22" s="1271" t="s">
        <v>80</v>
      </c>
      <c r="AS22" s="1271" t="s">
        <v>80</v>
      </c>
      <c r="AT22" s="1271" t="s">
        <v>80</v>
      </c>
      <c r="AU22" s="1271" t="s">
        <v>80</v>
      </c>
      <c r="AV22" s="1271" t="s">
        <v>80</v>
      </c>
      <c r="AW22" s="1271" t="s">
        <v>80</v>
      </c>
      <c r="AX22" s="1271" t="s">
        <v>80</v>
      </c>
      <c r="AY22" s="10"/>
      <c r="AZ22" s="1587" t="s">
        <v>205</v>
      </c>
      <c r="BA22" s="10"/>
      <c r="BB22" s="1587" t="s">
        <v>205</v>
      </c>
      <c r="BC22" s="1271" t="s">
        <v>80</v>
      </c>
      <c r="BD22" s="1271" t="s">
        <v>80</v>
      </c>
      <c r="BE22" s="1271" t="s">
        <v>80</v>
      </c>
      <c r="BF22" s="1275" t="s">
        <v>80</v>
      </c>
      <c r="BG22" s="1271" t="s">
        <v>80</v>
      </c>
      <c r="BH22" s="1271" t="s">
        <v>80</v>
      </c>
      <c r="BI22" s="1271" t="s">
        <v>80</v>
      </c>
      <c r="BJ22" s="1589" t="s">
        <v>80</v>
      </c>
      <c r="BK22" s="10"/>
      <c r="BL22" s="1587" t="s">
        <v>205</v>
      </c>
    </row>
    <row r="23" spans="1:64" ht="21" customHeight="1">
      <c r="A23" s="2119" t="s">
        <v>212</v>
      </c>
      <c r="B23" s="2119"/>
      <c r="C23" s="1272"/>
      <c r="D23" s="1272"/>
      <c r="E23" s="1272"/>
      <c r="F23" s="1272"/>
      <c r="G23" s="1272"/>
      <c r="H23" s="1272"/>
      <c r="I23" s="1272"/>
      <c r="J23" s="1274"/>
      <c r="K23" s="1272"/>
      <c r="L23" s="1272"/>
      <c r="M23" s="1272"/>
      <c r="N23" s="1272"/>
      <c r="O23" s="1276"/>
      <c r="P23" s="1272"/>
      <c r="Q23" s="1276"/>
      <c r="R23" s="2119" t="s">
        <v>212</v>
      </c>
      <c r="S23" s="2119"/>
      <c r="T23" s="2119" t="s">
        <v>212</v>
      </c>
      <c r="U23" s="2119"/>
      <c r="V23" s="1274"/>
      <c r="W23" s="1274"/>
      <c r="X23" s="1274"/>
      <c r="Y23" s="1274"/>
      <c r="Z23" s="1274"/>
      <c r="AA23" s="1274"/>
      <c r="AB23" s="1274"/>
      <c r="AC23" s="1274"/>
      <c r="AD23" s="1274"/>
      <c r="AE23" s="1274"/>
      <c r="AF23" s="1274"/>
      <c r="AG23" s="1274"/>
      <c r="AH23" s="2119" t="s">
        <v>212</v>
      </c>
      <c r="AI23" s="2119"/>
      <c r="AJ23" s="2119" t="s">
        <v>212</v>
      </c>
      <c r="AK23" s="2119"/>
      <c r="AL23" s="1276"/>
      <c r="AM23" s="1276"/>
      <c r="AN23" s="1272"/>
      <c r="AO23" s="1272"/>
      <c r="AP23" s="1272"/>
      <c r="AQ23" s="1272"/>
      <c r="AR23" s="1272"/>
      <c r="AS23" s="1272"/>
      <c r="AT23" s="1272"/>
      <c r="AU23" s="1272"/>
      <c r="AV23" s="1272"/>
      <c r="AW23" s="1272"/>
      <c r="AX23" s="1272"/>
      <c r="AY23" s="2119" t="s">
        <v>212</v>
      </c>
      <c r="AZ23" s="2119"/>
      <c r="BA23" s="2119" t="s">
        <v>212</v>
      </c>
      <c r="BB23" s="2119"/>
      <c r="BC23" s="1276"/>
      <c r="BD23" s="1272"/>
      <c r="BE23" s="1272"/>
      <c r="BF23" s="1276"/>
      <c r="BG23" s="1272"/>
      <c r="BH23" s="1272"/>
      <c r="BI23" s="1272"/>
      <c r="BJ23" s="1272"/>
      <c r="BK23" s="2119" t="s">
        <v>212</v>
      </c>
      <c r="BL23" s="2119"/>
    </row>
    <row r="24" spans="1:64" ht="11.85" customHeight="1">
      <c r="A24" s="10"/>
      <c r="B24" s="1587" t="s">
        <v>204</v>
      </c>
      <c r="C24" s="1271" t="s">
        <v>2772</v>
      </c>
      <c r="D24" s="145" t="s">
        <v>2772</v>
      </c>
      <c r="E24" s="1273" t="s">
        <v>2772</v>
      </c>
      <c r="F24" s="1271" t="s">
        <v>2772</v>
      </c>
      <c r="G24" s="145" t="s">
        <v>2772</v>
      </c>
      <c r="H24" s="1273" t="s">
        <v>2772</v>
      </c>
      <c r="I24" s="1271" t="s">
        <v>80</v>
      </c>
      <c r="J24" s="1273" t="s">
        <v>2772</v>
      </c>
      <c r="K24" s="1271" t="s">
        <v>1300</v>
      </c>
      <c r="L24" s="1271" t="s">
        <v>1766</v>
      </c>
      <c r="M24" s="1273" t="s">
        <v>1766</v>
      </c>
      <c r="N24" s="145" t="s">
        <v>1766</v>
      </c>
      <c r="O24" s="1271" t="s">
        <v>2772</v>
      </c>
      <c r="P24" s="1588" t="s">
        <v>1766</v>
      </c>
      <c r="Q24" s="145" t="s">
        <v>2506</v>
      </c>
      <c r="R24" s="10"/>
      <c r="S24" s="1587" t="s">
        <v>204</v>
      </c>
      <c r="T24" s="10"/>
      <c r="U24" s="1587" t="s">
        <v>204</v>
      </c>
      <c r="V24" s="1273" t="s">
        <v>1766</v>
      </c>
      <c r="W24" s="1273" t="s">
        <v>1766</v>
      </c>
      <c r="X24" s="1273" t="s">
        <v>2772</v>
      </c>
      <c r="Y24" s="1273" t="s">
        <v>80</v>
      </c>
      <c r="Z24" s="1273" t="s">
        <v>2772</v>
      </c>
      <c r="AA24" s="1273" t="s">
        <v>1766</v>
      </c>
      <c r="AB24" s="1273" t="s">
        <v>1766</v>
      </c>
      <c r="AC24" s="1273" t="s">
        <v>2857</v>
      </c>
      <c r="AD24" s="1273" t="s">
        <v>2772</v>
      </c>
      <c r="AE24" s="1273" t="s">
        <v>2534</v>
      </c>
      <c r="AF24" s="1588" t="s">
        <v>2781</v>
      </c>
      <c r="AG24" s="1273" t="s">
        <v>2772</v>
      </c>
      <c r="AH24" s="10"/>
      <c r="AI24" s="1587" t="s">
        <v>204</v>
      </c>
      <c r="AJ24" s="10"/>
      <c r="AK24" s="1587" t="s">
        <v>204</v>
      </c>
      <c r="AL24" s="1271" t="s">
        <v>1207</v>
      </c>
      <c r="AM24" s="1271" t="s">
        <v>1766</v>
      </c>
      <c r="AN24" s="1271" t="s">
        <v>1766</v>
      </c>
      <c r="AO24" s="1271" t="s">
        <v>1766</v>
      </c>
      <c r="AP24" s="1271" t="s">
        <v>2772</v>
      </c>
      <c r="AQ24" s="1271" t="s">
        <v>1766</v>
      </c>
      <c r="AR24" s="1271" t="s">
        <v>1478</v>
      </c>
      <c r="AS24" s="1271" t="s">
        <v>1766</v>
      </c>
      <c r="AT24" s="1271" t="s">
        <v>2075</v>
      </c>
      <c r="AU24" s="1271" t="s">
        <v>2078</v>
      </c>
      <c r="AV24" s="1271" t="s">
        <v>1766</v>
      </c>
      <c r="AW24" s="1271" t="s">
        <v>1766</v>
      </c>
      <c r="AX24" s="1271" t="s">
        <v>2772</v>
      </c>
      <c r="AY24" s="10"/>
      <c r="AZ24" s="1587" t="s">
        <v>204</v>
      </c>
      <c r="BA24" s="10"/>
      <c r="BB24" s="1587" t="s">
        <v>204</v>
      </c>
      <c r="BC24" s="1271" t="s">
        <v>2610</v>
      </c>
      <c r="BD24" s="1271" t="s">
        <v>2611</v>
      </c>
      <c r="BE24" s="1271" t="s">
        <v>1766</v>
      </c>
      <c r="BF24" s="1271" t="s">
        <v>2560</v>
      </c>
      <c r="BG24" s="1271" t="s">
        <v>2633</v>
      </c>
      <c r="BH24" s="1271" t="s">
        <v>2085</v>
      </c>
      <c r="BI24" s="1271" t="s">
        <v>2085</v>
      </c>
      <c r="BJ24" s="1271" t="s">
        <v>2057</v>
      </c>
      <c r="BK24" s="10"/>
      <c r="BL24" s="1587" t="s">
        <v>204</v>
      </c>
    </row>
    <row r="25" spans="1:64" ht="11.85" customHeight="1">
      <c r="A25" s="1345"/>
      <c r="B25" s="482" t="s">
        <v>205</v>
      </c>
      <c r="C25" s="1272" t="s">
        <v>80</v>
      </c>
      <c r="D25" s="1272" t="s">
        <v>80</v>
      </c>
      <c r="E25" s="1272" t="s">
        <v>80</v>
      </c>
      <c r="F25" s="1272" t="s">
        <v>80</v>
      </c>
      <c r="G25" s="1272" t="s">
        <v>80</v>
      </c>
      <c r="H25" s="1272" t="s">
        <v>80</v>
      </c>
      <c r="I25" s="1272" t="s">
        <v>2772</v>
      </c>
      <c r="J25" s="1274" t="s">
        <v>80</v>
      </c>
      <c r="K25" s="1272" t="s">
        <v>80</v>
      </c>
      <c r="L25" s="1272" t="s">
        <v>1476</v>
      </c>
      <c r="M25" s="1272" t="s">
        <v>2780</v>
      </c>
      <c r="N25" s="1277" t="s">
        <v>1766</v>
      </c>
      <c r="O25" s="1272" t="s">
        <v>80</v>
      </c>
      <c r="P25" s="1276" t="s">
        <v>80</v>
      </c>
      <c r="Q25" s="1276" t="s">
        <v>80</v>
      </c>
      <c r="R25" s="1345"/>
      <c r="S25" s="482" t="s">
        <v>205</v>
      </c>
      <c r="T25" s="1345"/>
      <c r="U25" s="482" t="s">
        <v>205</v>
      </c>
      <c r="V25" s="1274" t="s">
        <v>80</v>
      </c>
      <c r="W25" s="1274" t="s">
        <v>80</v>
      </c>
      <c r="X25" s="1274" t="s">
        <v>80</v>
      </c>
      <c r="Y25" s="1274" t="s">
        <v>1766</v>
      </c>
      <c r="Z25" s="1274" t="s">
        <v>80</v>
      </c>
      <c r="AA25" s="1274" t="s">
        <v>80</v>
      </c>
      <c r="AB25" s="1274" t="s">
        <v>1766</v>
      </c>
      <c r="AC25" s="1274" t="s">
        <v>2622</v>
      </c>
      <c r="AD25" s="1274" t="s">
        <v>80</v>
      </c>
      <c r="AE25" s="1590" t="s">
        <v>1478</v>
      </c>
      <c r="AF25" s="457" t="s">
        <v>80</v>
      </c>
      <c r="AG25" s="1274" t="s">
        <v>80</v>
      </c>
      <c r="AH25" s="1345"/>
      <c r="AI25" s="482" t="s">
        <v>205</v>
      </c>
      <c r="AJ25" s="1345"/>
      <c r="AK25" s="482" t="s">
        <v>205</v>
      </c>
      <c r="AL25" s="1591" t="s">
        <v>80</v>
      </c>
      <c r="AM25" s="1272" t="s">
        <v>1766</v>
      </c>
      <c r="AN25" s="1272" t="s">
        <v>80</v>
      </c>
      <c r="AO25" s="1591" t="s">
        <v>80</v>
      </c>
      <c r="AP25" s="1272" t="s">
        <v>80</v>
      </c>
      <c r="AQ25" s="1272" t="s">
        <v>80</v>
      </c>
      <c r="AR25" s="1272" t="s">
        <v>80</v>
      </c>
      <c r="AS25" s="1272" t="s">
        <v>80</v>
      </c>
      <c r="AT25" s="1272" t="s">
        <v>80</v>
      </c>
      <c r="AU25" s="1272" t="s">
        <v>80</v>
      </c>
      <c r="AV25" s="1272" t="s">
        <v>80</v>
      </c>
      <c r="AW25" s="1272" t="s">
        <v>80</v>
      </c>
      <c r="AX25" s="1272" t="s">
        <v>80</v>
      </c>
      <c r="AY25" s="1345"/>
      <c r="AZ25" s="482" t="s">
        <v>205</v>
      </c>
      <c r="BA25" s="1345"/>
      <c r="BB25" s="482" t="s">
        <v>205</v>
      </c>
      <c r="BC25" s="1272" t="s">
        <v>80</v>
      </c>
      <c r="BD25" s="1272" t="s">
        <v>2611</v>
      </c>
      <c r="BE25" s="1272" t="s">
        <v>80</v>
      </c>
      <c r="BF25" s="1276" t="s">
        <v>80</v>
      </c>
      <c r="BG25" s="1272" t="s">
        <v>80</v>
      </c>
      <c r="BH25" s="1591" t="s">
        <v>80</v>
      </c>
      <c r="BI25" s="1272" t="s">
        <v>80</v>
      </c>
      <c r="BJ25" s="1591" t="s">
        <v>80</v>
      </c>
      <c r="BK25" s="1345"/>
      <c r="BL25" s="482" t="s">
        <v>205</v>
      </c>
    </row>
    <row r="26" spans="1:64" ht="11.85" customHeight="1">
      <c r="A26" s="2118" t="s">
        <v>48</v>
      </c>
      <c r="B26" s="2118"/>
      <c r="C26" s="1271"/>
      <c r="D26" s="1271"/>
      <c r="E26" s="1271"/>
      <c r="F26" s="1271"/>
      <c r="G26" s="1271"/>
      <c r="H26" s="1271"/>
      <c r="I26" s="1271"/>
      <c r="J26" s="1273"/>
      <c r="K26" s="1271"/>
      <c r="L26" s="1271"/>
      <c r="M26" s="1271"/>
      <c r="N26" s="1271"/>
      <c r="O26" s="1271"/>
      <c r="P26" s="1275"/>
      <c r="Q26" s="1275"/>
      <c r="R26" s="2118" t="s">
        <v>48</v>
      </c>
      <c r="S26" s="2118"/>
      <c r="T26" s="2118" t="s">
        <v>48</v>
      </c>
      <c r="U26" s="2118"/>
      <c r="V26" s="1273" t="s">
        <v>936</v>
      </c>
      <c r="W26" s="1273"/>
      <c r="X26" s="1273"/>
      <c r="Y26" s="1273"/>
      <c r="Z26" s="1273"/>
      <c r="AA26" s="1273"/>
      <c r="AB26" s="1273"/>
      <c r="AC26" s="1273"/>
      <c r="AD26" s="1273"/>
      <c r="AE26" s="1273"/>
      <c r="AF26" s="1273"/>
      <c r="AG26" s="1273"/>
      <c r="AH26" s="2118" t="s">
        <v>48</v>
      </c>
      <c r="AI26" s="2118"/>
      <c r="AJ26" s="2118" t="s">
        <v>48</v>
      </c>
      <c r="AK26" s="2118"/>
      <c r="AL26" s="1271"/>
      <c r="AM26" s="1271"/>
      <c r="AN26" s="1271"/>
      <c r="AO26" s="1271"/>
      <c r="AP26" s="1271"/>
      <c r="AQ26" s="1271"/>
      <c r="AR26" s="1271"/>
      <c r="AS26" s="1271"/>
      <c r="AT26" s="1271"/>
      <c r="AU26" s="1271"/>
      <c r="AV26" s="1271"/>
      <c r="AW26" s="1271"/>
      <c r="AX26" s="1271"/>
      <c r="AY26" s="2118" t="s">
        <v>48</v>
      </c>
      <c r="AZ26" s="2118"/>
      <c r="BA26" s="2118" t="s">
        <v>48</v>
      </c>
      <c r="BB26" s="2118"/>
      <c r="BC26" s="1271"/>
      <c r="BD26" s="1271"/>
      <c r="BE26" s="1271"/>
      <c r="BF26" s="1275"/>
      <c r="BG26" s="1271"/>
      <c r="BH26" s="1271"/>
      <c r="BI26" s="1271"/>
      <c r="BJ26" s="1271"/>
      <c r="BK26" s="2118" t="s">
        <v>48</v>
      </c>
      <c r="BL26" s="2118"/>
    </row>
    <row r="27" spans="1:64" ht="11.85" customHeight="1">
      <c r="A27" s="1345"/>
      <c r="B27" s="482" t="s">
        <v>204</v>
      </c>
      <c r="C27" s="1274" t="s">
        <v>2772</v>
      </c>
      <c r="D27" s="1277" t="s">
        <v>2772</v>
      </c>
      <c r="E27" s="1274" t="s">
        <v>2772</v>
      </c>
      <c r="F27" s="1272" t="s">
        <v>2772</v>
      </c>
      <c r="G27" s="1277" t="s">
        <v>2772</v>
      </c>
      <c r="H27" s="1277" t="s">
        <v>2772</v>
      </c>
      <c r="I27" s="1274" t="s">
        <v>80</v>
      </c>
      <c r="J27" s="1274" t="s">
        <v>2772</v>
      </c>
      <c r="K27" s="1272" t="s">
        <v>2782</v>
      </c>
      <c r="L27" s="1272" t="s">
        <v>2077</v>
      </c>
      <c r="M27" s="1274" t="s">
        <v>1766</v>
      </c>
      <c r="N27" s="1277" t="s">
        <v>1766</v>
      </c>
      <c r="O27" s="1272" t="s">
        <v>1479</v>
      </c>
      <c r="P27" s="1274" t="s">
        <v>1766</v>
      </c>
      <c r="Q27" s="1277" t="s">
        <v>2506</v>
      </c>
      <c r="R27" s="1345"/>
      <c r="S27" s="482" t="s">
        <v>204</v>
      </c>
      <c r="T27" s="1345"/>
      <c r="U27" s="482" t="s">
        <v>204</v>
      </c>
      <c r="V27" s="1274" t="s">
        <v>2075</v>
      </c>
      <c r="W27" s="1274" t="s">
        <v>1766</v>
      </c>
      <c r="X27" s="1274" t="s">
        <v>2772</v>
      </c>
      <c r="Y27" s="1274" t="s">
        <v>1766</v>
      </c>
      <c r="Z27" s="1274" t="s">
        <v>2772</v>
      </c>
      <c r="AA27" s="1274" t="s">
        <v>2076</v>
      </c>
      <c r="AB27" s="1274" t="s">
        <v>2191</v>
      </c>
      <c r="AC27" s="1274" t="s">
        <v>2623</v>
      </c>
      <c r="AD27" s="1274" t="s">
        <v>2772</v>
      </c>
      <c r="AE27" s="1274" t="s">
        <v>2534</v>
      </c>
      <c r="AF27" s="1274" t="s">
        <v>2783</v>
      </c>
      <c r="AG27" s="1274" t="s">
        <v>2772</v>
      </c>
      <c r="AH27" s="1345"/>
      <c r="AI27" s="482" t="s">
        <v>204</v>
      </c>
      <c r="AJ27" s="1345"/>
      <c r="AK27" s="482" t="s">
        <v>204</v>
      </c>
      <c r="AL27" s="1272" t="s">
        <v>1479</v>
      </c>
      <c r="AM27" s="1272" t="s">
        <v>1478</v>
      </c>
      <c r="AN27" s="1272" t="s">
        <v>2075</v>
      </c>
      <c r="AO27" s="1274" t="s">
        <v>1475</v>
      </c>
      <c r="AP27" s="1272" t="s">
        <v>2772</v>
      </c>
      <c r="AQ27" s="1272" t="s">
        <v>1479</v>
      </c>
      <c r="AR27" s="1272" t="s">
        <v>2077</v>
      </c>
      <c r="AS27" s="1272" t="s">
        <v>2606</v>
      </c>
      <c r="AT27" s="1272" t="s">
        <v>1479</v>
      </c>
      <c r="AU27" s="1272" t="s">
        <v>2784</v>
      </c>
      <c r="AV27" s="1272" t="s">
        <v>1766</v>
      </c>
      <c r="AW27" s="1272" t="s">
        <v>1766</v>
      </c>
      <c r="AX27" s="1272" t="s">
        <v>80</v>
      </c>
      <c r="AY27" s="1345"/>
      <c r="AZ27" s="482" t="s">
        <v>204</v>
      </c>
      <c r="BA27" s="1345"/>
      <c r="BB27" s="482" t="s">
        <v>204</v>
      </c>
      <c r="BC27" s="1272" t="s">
        <v>1766</v>
      </c>
      <c r="BD27" s="1272" t="s">
        <v>1476</v>
      </c>
      <c r="BE27" s="1272" t="s">
        <v>1207</v>
      </c>
      <c r="BF27" s="1272" t="s">
        <v>2634</v>
      </c>
      <c r="BG27" s="1272" t="s">
        <v>2635</v>
      </c>
      <c r="BH27" s="1272" t="s">
        <v>80</v>
      </c>
      <c r="BI27" s="1272" t="s">
        <v>1478</v>
      </c>
      <c r="BJ27" s="1272" t="s">
        <v>2074</v>
      </c>
      <c r="BK27" s="1345"/>
      <c r="BL27" s="482" t="s">
        <v>204</v>
      </c>
    </row>
    <row r="28" spans="1:64" ht="11.85" customHeight="1">
      <c r="A28" s="10"/>
      <c r="B28" s="1587" t="s">
        <v>205</v>
      </c>
      <c r="C28" s="1271" t="s">
        <v>80</v>
      </c>
      <c r="D28" s="1271" t="s">
        <v>80</v>
      </c>
      <c r="E28" s="1271" t="s">
        <v>80</v>
      </c>
      <c r="F28" s="1583" t="s">
        <v>80</v>
      </c>
      <c r="G28" s="1271" t="s">
        <v>80</v>
      </c>
      <c r="H28" s="1271" t="s">
        <v>80</v>
      </c>
      <c r="I28" s="1271" t="s">
        <v>2772</v>
      </c>
      <c r="J28" s="1273" t="s">
        <v>80</v>
      </c>
      <c r="K28" s="1583" t="s">
        <v>80</v>
      </c>
      <c r="L28" s="1271" t="s">
        <v>1476</v>
      </c>
      <c r="M28" s="1271" t="s">
        <v>2597</v>
      </c>
      <c r="N28" s="1271" t="s">
        <v>80</v>
      </c>
      <c r="O28" s="1271" t="s">
        <v>80</v>
      </c>
      <c r="P28" s="1275" t="s">
        <v>80</v>
      </c>
      <c r="Q28" s="1275" t="s">
        <v>80</v>
      </c>
      <c r="R28" s="10"/>
      <c r="S28" s="1587" t="s">
        <v>205</v>
      </c>
      <c r="T28" s="10"/>
      <c r="U28" s="1587" t="s">
        <v>205</v>
      </c>
      <c r="V28" s="1273" t="s">
        <v>80</v>
      </c>
      <c r="W28" s="1273" t="s">
        <v>80</v>
      </c>
      <c r="X28" s="1273" t="s">
        <v>80</v>
      </c>
      <c r="Y28" s="1273" t="s">
        <v>80</v>
      </c>
      <c r="Z28" s="1273" t="s">
        <v>80</v>
      </c>
      <c r="AA28" s="1273" t="s">
        <v>80</v>
      </c>
      <c r="AB28" s="1273" t="s">
        <v>80</v>
      </c>
      <c r="AC28" s="1273" t="s">
        <v>80</v>
      </c>
      <c r="AD28" s="1273" t="s">
        <v>80</v>
      </c>
      <c r="AE28" s="1273" t="s">
        <v>1478</v>
      </c>
      <c r="AF28" s="1273" t="s">
        <v>80</v>
      </c>
      <c r="AG28" s="1273" t="s">
        <v>80</v>
      </c>
      <c r="AH28" s="10"/>
      <c r="AI28" s="1587" t="s">
        <v>205</v>
      </c>
      <c r="AJ28" s="10"/>
      <c r="AK28" s="1587" t="s">
        <v>205</v>
      </c>
      <c r="AL28" s="1589" t="s">
        <v>80</v>
      </c>
      <c r="AM28" s="1271" t="s">
        <v>1478</v>
      </c>
      <c r="AN28" s="1271" t="s">
        <v>80</v>
      </c>
      <c r="AO28" s="1592" t="s">
        <v>80</v>
      </c>
      <c r="AP28" s="1271" t="s">
        <v>80</v>
      </c>
      <c r="AQ28" s="1271" t="s">
        <v>80</v>
      </c>
      <c r="AR28" s="1589" t="s">
        <v>80</v>
      </c>
      <c r="AS28" s="1271" t="s">
        <v>80</v>
      </c>
      <c r="AT28" s="1271" t="s">
        <v>80</v>
      </c>
      <c r="AU28" s="1271" t="s">
        <v>80</v>
      </c>
      <c r="AV28" s="1271" t="s">
        <v>80</v>
      </c>
      <c r="AW28" s="1271" t="s">
        <v>80</v>
      </c>
      <c r="AX28" s="1271" t="s">
        <v>80</v>
      </c>
      <c r="AY28" s="10"/>
      <c r="AZ28" s="1587" t="s">
        <v>205</v>
      </c>
      <c r="BA28" s="10"/>
      <c r="BB28" s="1587" t="s">
        <v>205</v>
      </c>
      <c r="BC28" s="1271" t="s">
        <v>80</v>
      </c>
      <c r="BD28" s="1271" t="s">
        <v>1476</v>
      </c>
      <c r="BE28" s="1271" t="s">
        <v>80</v>
      </c>
      <c r="BF28" s="1275" t="s">
        <v>80</v>
      </c>
      <c r="BG28" s="1271" t="s">
        <v>80</v>
      </c>
      <c r="BH28" s="1271" t="s">
        <v>80</v>
      </c>
      <c r="BI28" s="1271" t="s">
        <v>80</v>
      </c>
      <c r="BJ28" s="1589" t="s">
        <v>80</v>
      </c>
      <c r="BK28" s="10"/>
      <c r="BL28" s="1587" t="s">
        <v>205</v>
      </c>
    </row>
    <row r="29" spans="1:64">
      <c r="A29" s="2127" t="s">
        <v>216</v>
      </c>
      <c r="B29" s="2127"/>
      <c r="C29" s="1272"/>
      <c r="D29" s="1272"/>
      <c r="E29" s="1272"/>
      <c r="F29" s="1272"/>
      <c r="G29" s="1272"/>
      <c r="H29" s="1272"/>
      <c r="I29" s="1272"/>
      <c r="J29" s="1274"/>
      <c r="K29" s="1272"/>
      <c r="L29" s="1272"/>
      <c r="M29" s="1272"/>
      <c r="N29" s="1272"/>
      <c r="O29" s="1272"/>
      <c r="P29" s="1276"/>
      <c r="Q29" s="1276"/>
      <c r="R29" s="2119" t="s">
        <v>216</v>
      </c>
      <c r="S29" s="2119"/>
      <c r="T29" s="2119" t="s">
        <v>216</v>
      </c>
      <c r="U29" s="2119"/>
      <c r="V29" s="1274"/>
      <c r="W29" s="1274"/>
      <c r="X29" s="1274"/>
      <c r="Y29" s="1274"/>
      <c r="Z29" s="1274"/>
      <c r="AA29" s="1274"/>
      <c r="AB29" s="1274"/>
      <c r="AC29" s="1274"/>
      <c r="AD29" s="1274"/>
      <c r="AE29" s="1274"/>
      <c r="AF29" s="1274"/>
      <c r="AG29" s="1274"/>
      <c r="AH29" s="2119" t="s">
        <v>216</v>
      </c>
      <c r="AI29" s="2119"/>
      <c r="AJ29" s="2119" t="s">
        <v>216</v>
      </c>
      <c r="AK29" s="2119"/>
      <c r="AL29" s="1276"/>
      <c r="AM29" s="1276"/>
      <c r="AN29" s="1272"/>
      <c r="AO29" s="1593"/>
      <c r="AP29" s="1272"/>
      <c r="AQ29" s="1272"/>
      <c r="AR29" s="1272"/>
      <c r="AS29" s="1272"/>
      <c r="AT29" s="1272"/>
      <c r="AU29" s="1272"/>
      <c r="AV29" s="1272"/>
      <c r="AW29" s="1272"/>
      <c r="AX29" s="1272"/>
      <c r="AY29" s="2119" t="s">
        <v>216</v>
      </c>
      <c r="AZ29" s="2119"/>
      <c r="BA29" s="2119" t="s">
        <v>216</v>
      </c>
      <c r="BB29" s="2119"/>
      <c r="BC29" s="1272"/>
      <c r="BD29" s="1272"/>
      <c r="BE29" s="1272"/>
      <c r="BF29" s="1276"/>
      <c r="BG29" s="1272"/>
      <c r="BH29" s="1272"/>
      <c r="BI29" s="1272"/>
      <c r="BJ29" s="1272"/>
      <c r="BK29" s="2119" t="s">
        <v>216</v>
      </c>
      <c r="BL29" s="2119"/>
    </row>
    <row r="30" spans="1:64" s="1216" customFormat="1" ht="18" customHeight="1">
      <c r="A30" s="1594" t="s">
        <v>541</v>
      </c>
      <c r="B30" s="1595" t="s">
        <v>904</v>
      </c>
      <c r="C30" s="1273"/>
      <c r="D30" s="1273"/>
      <c r="E30" s="1273"/>
      <c r="F30" s="1273"/>
      <c r="G30" s="1273"/>
      <c r="H30" s="1273"/>
      <c r="I30" s="1273"/>
      <c r="J30" s="1273"/>
      <c r="K30" s="1584"/>
      <c r="L30" s="1273"/>
      <c r="M30" s="1273"/>
      <c r="N30" s="1273"/>
      <c r="O30" s="1588"/>
      <c r="P30" s="1585"/>
      <c r="Q30" s="1585"/>
      <c r="R30" s="1594" t="s">
        <v>541</v>
      </c>
      <c r="S30" s="1596" t="s">
        <v>904</v>
      </c>
      <c r="T30" s="1594" t="s">
        <v>541</v>
      </c>
      <c r="U30" s="1596" t="s">
        <v>904</v>
      </c>
      <c r="V30" s="1273"/>
      <c r="W30" s="1273"/>
      <c r="X30" s="1273"/>
      <c r="Y30" s="1273"/>
      <c r="Z30" s="1273"/>
      <c r="AA30" s="1273"/>
      <c r="AB30" s="1273"/>
      <c r="AC30" s="1273"/>
      <c r="AD30" s="1273"/>
      <c r="AE30" s="1273"/>
      <c r="AF30" s="1273"/>
      <c r="AG30" s="1273"/>
      <c r="AH30" s="1594" t="s">
        <v>541</v>
      </c>
      <c r="AI30" s="1596" t="s">
        <v>904</v>
      </c>
      <c r="AJ30" s="1594" t="s">
        <v>541</v>
      </c>
      <c r="AK30" s="1596" t="s">
        <v>904</v>
      </c>
      <c r="AL30" s="1585"/>
      <c r="AM30" s="1585"/>
      <c r="AN30" s="1273"/>
      <c r="AO30" s="1273"/>
      <c r="AP30" s="1273"/>
      <c r="AQ30" s="1273"/>
      <c r="AR30" s="1273"/>
      <c r="AS30" s="1273"/>
      <c r="AT30" s="1273"/>
      <c r="AU30" s="1273"/>
      <c r="AV30" s="1273"/>
      <c r="AW30" s="1273"/>
      <c r="AX30" s="1273"/>
      <c r="AY30" s="1594" t="s">
        <v>541</v>
      </c>
      <c r="AZ30" s="1596" t="s">
        <v>904</v>
      </c>
      <c r="BA30" s="1594" t="s">
        <v>541</v>
      </c>
      <c r="BB30" s="1596" t="s">
        <v>904</v>
      </c>
      <c r="BC30" s="1273"/>
      <c r="BD30" s="1273"/>
      <c r="BE30" s="1273"/>
      <c r="BF30" s="1585"/>
      <c r="BG30" s="1273"/>
      <c r="BH30" s="1273"/>
      <c r="BI30" s="1273"/>
      <c r="BJ30" s="1273"/>
      <c r="BK30" s="1594" t="s">
        <v>541</v>
      </c>
      <c r="BL30" s="1596" t="s">
        <v>904</v>
      </c>
    </row>
    <row r="31" spans="1:64" ht="11.85" customHeight="1">
      <c r="A31" s="1597"/>
      <c r="B31" s="482" t="s">
        <v>213</v>
      </c>
      <c r="C31" s="1274" t="s">
        <v>2772</v>
      </c>
      <c r="D31" s="1277" t="s">
        <v>2772</v>
      </c>
      <c r="E31" s="1274" t="s">
        <v>2772</v>
      </c>
      <c r="F31" s="1272" t="s">
        <v>2772</v>
      </c>
      <c r="G31" s="1277" t="s">
        <v>2772</v>
      </c>
      <c r="H31" s="1274" t="s">
        <v>2772</v>
      </c>
      <c r="I31" s="1272" t="s">
        <v>80</v>
      </c>
      <c r="J31" s="1277" t="s">
        <v>2772</v>
      </c>
      <c r="K31" s="1272" t="s">
        <v>2851</v>
      </c>
      <c r="L31" s="1272" t="s">
        <v>1766</v>
      </c>
      <c r="M31" s="1274" t="s">
        <v>1766</v>
      </c>
      <c r="N31" s="1277" t="s">
        <v>1766</v>
      </c>
      <c r="O31" s="1272" t="s">
        <v>2772</v>
      </c>
      <c r="P31" s="1274" t="s">
        <v>2772</v>
      </c>
      <c r="Q31" s="1274" t="s">
        <v>2772</v>
      </c>
      <c r="R31" s="1597"/>
      <c r="S31" s="482" t="s">
        <v>204</v>
      </c>
      <c r="T31" s="1597"/>
      <c r="U31" s="482" t="s">
        <v>204</v>
      </c>
      <c r="V31" s="1274" t="s">
        <v>1766</v>
      </c>
      <c r="W31" s="1274" t="s">
        <v>1766</v>
      </c>
      <c r="X31" s="1274" t="s">
        <v>2772</v>
      </c>
      <c r="Y31" s="1274" t="s">
        <v>1766</v>
      </c>
      <c r="Z31" s="1274" t="s">
        <v>2772</v>
      </c>
      <c r="AA31" s="1274" t="s">
        <v>1766</v>
      </c>
      <c r="AB31" s="1274" t="s">
        <v>1766</v>
      </c>
      <c r="AC31" s="1274" t="s">
        <v>2858</v>
      </c>
      <c r="AD31" s="1274" t="s">
        <v>2772</v>
      </c>
      <c r="AE31" s="1274" t="s">
        <v>2534</v>
      </c>
      <c r="AF31" s="1274" t="s">
        <v>2785</v>
      </c>
      <c r="AG31" s="1274" t="s">
        <v>2772</v>
      </c>
      <c r="AH31" s="1597"/>
      <c r="AI31" s="482" t="s">
        <v>204</v>
      </c>
      <c r="AJ31" s="1597"/>
      <c r="AK31" s="482" t="s">
        <v>204</v>
      </c>
      <c r="AL31" s="1272" t="s">
        <v>1766</v>
      </c>
      <c r="AM31" s="1598" t="s">
        <v>1766</v>
      </c>
      <c r="AN31" s="1272" t="s">
        <v>1766</v>
      </c>
      <c r="AO31" s="1274" t="s">
        <v>1766</v>
      </c>
      <c r="AP31" s="1272" t="s">
        <v>2772</v>
      </c>
      <c r="AQ31" s="1272" t="s">
        <v>2626</v>
      </c>
      <c r="AR31" s="1272" t="s">
        <v>1478</v>
      </c>
      <c r="AS31" s="1272" t="s">
        <v>1766</v>
      </c>
      <c r="AT31" s="1272" t="s">
        <v>2075</v>
      </c>
      <c r="AU31" s="1272" t="s">
        <v>2078</v>
      </c>
      <c r="AV31" s="1272" t="s">
        <v>1766</v>
      </c>
      <c r="AW31" s="1272" t="s">
        <v>1766</v>
      </c>
      <c r="AX31" s="1272" t="s">
        <v>80</v>
      </c>
      <c r="AY31" s="1597"/>
      <c r="AZ31" s="482" t="s">
        <v>204</v>
      </c>
      <c r="BA31" s="1597"/>
      <c r="BB31" s="482" t="s">
        <v>204</v>
      </c>
      <c r="BC31" s="1272" t="s">
        <v>2610</v>
      </c>
      <c r="BD31" s="1272" t="s">
        <v>2611</v>
      </c>
      <c r="BE31" s="1272" t="s">
        <v>1766</v>
      </c>
      <c r="BF31" s="1272" t="s">
        <v>2636</v>
      </c>
      <c r="BG31" s="1272" t="s">
        <v>2633</v>
      </c>
      <c r="BH31" s="1272" t="s">
        <v>2538</v>
      </c>
      <c r="BI31" s="1272" t="s">
        <v>2078</v>
      </c>
      <c r="BJ31" s="1272" t="s">
        <v>2057</v>
      </c>
      <c r="BK31" s="1597"/>
      <c r="BL31" s="482" t="s">
        <v>204</v>
      </c>
    </row>
    <row r="32" spans="1:64" ht="11.85" customHeight="1">
      <c r="A32" s="1594"/>
      <c r="B32" s="1587" t="s">
        <v>214</v>
      </c>
      <c r="C32" s="1271" t="s">
        <v>80</v>
      </c>
      <c r="D32" s="1589" t="s">
        <v>80</v>
      </c>
      <c r="E32" s="1271" t="s">
        <v>80</v>
      </c>
      <c r="F32" s="1271" t="s">
        <v>80</v>
      </c>
      <c r="G32" s="1271" t="s">
        <v>80</v>
      </c>
      <c r="H32" s="1271" t="s">
        <v>80</v>
      </c>
      <c r="I32" s="1271" t="s">
        <v>2772</v>
      </c>
      <c r="J32" s="1273" t="s">
        <v>80</v>
      </c>
      <c r="K32" s="1271" t="s">
        <v>80</v>
      </c>
      <c r="L32" s="1271" t="s">
        <v>1476</v>
      </c>
      <c r="M32" s="1271" t="s">
        <v>2780</v>
      </c>
      <c r="N32" s="145" t="s">
        <v>1766</v>
      </c>
      <c r="O32" s="1271" t="s">
        <v>80</v>
      </c>
      <c r="P32" s="1275" t="s">
        <v>1766</v>
      </c>
      <c r="Q32" s="1275" t="s">
        <v>80</v>
      </c>
      <c r="R32" s="1594"/>
      <c r="S32" s="1587" t="s">
        <v>205</v>
      </c>
      <c r="T32" s="1594"/>
      <c r="U32" s="1587" t="s">
        <v>205</v>
      </c>
      <c r="V32" s="1273" t="s">
        <v>80</v>
      </c>
      <c r="W32" s="1273" t="s">
        <v>80</v>
      </c>
      <c r="X32" s="1273" t="s">
        <v>80</v>
      </c>
      <c r="Y32" s="1273" t="s">
        <v>80</v>
      </c>
      <c r="Z32" s="1273" t="s">
        <v>80</v>
      </c>
      <c r="AA32" s="1273" t="s">
        <v>80</v>
      </c>
      <c r="AB32" s="1273" t="s">
        <v>1766</v>
      </c>
      <c r="AC32" s="1273" t="s">
        <v>80</v>
      </c>
      <c r="AD32" s="1273" t="s">
        <v>80</v>
      </c>
      <c r="AE32" s="1592" t="s">
        <v>1478</v>
      </c>
      <c r="AF32" s="1273" t="s">
        <v>80</v>
      </c>
      <c r="AG32" s="1273" t="s">
        <v>80</v>
      </c>
      <c r="AH32" s="1594"/>
      <c r="AI32" s="1587" t="s">
        <v>205</v>
      </c>
      <c r="AJ32" s="1594"/>
      <c r="AK32" s="1587" t="s">
        <v>205</v>
      </c>
      <c r="AL32" s="1589" t="s">
        <v>80</v>
      </c>
      <c r="AM32" s="1271" t="s">
        <v>80</v>
      </c>
      <c r="AN32" s="1275" t="s">
        <v>80</v>
      </c>
      <c r="AO32" s="1592" t="s">
        <v>80</v>
      </c>
      <c r="AP32" s="1271" t="s">
        <v>80</v>
      </c>
      <c r="AQ32" s="1271" t="s">
        <v>80</v>
      </c>
      <c r="AR32" s="1271" t="s">
        <v>80</v>
      </c>
      <c r="AS32" s="1271" t="s">
        <v>80</v>
      </c>
      <c r="AT32" s="1271" t="s">
        <v>80</v>
      </c>
      <c r="AU32" s="1271" t="s">
        <v>80</v>
      </c>
      <c r="AV32" s="1271" t="s">
        <v>80</v>
      </c>
      <c r="AW32" s="1271" t="s">
        <v>80</v>
      </c>
      <c r="AX32" s="1271" t="s">
        <v>80</v>
      </c>
      <c r="AY32" s="1594"/>
      <c r="AZ32" s="1587" t="s">
        <v>205</v>
      </c>
      <c r="BA32" s="1594"/>
      <c r="BB32" s="1587" t="s">
        <v>205</v>
      </c>
      <c r="BC32" s="1271" t="s">
        <v>80</v>
      </c>
      <c r="BD32" s="1271" t="s">
        <v>2611</v>
      </c>
      <c r="BE32" s="1271" t="s">
        <v>80</v>
      </c>
      <c r="BF32" s="1275" t="s">
        <v>80</v>
      </c>
      <c r="BG32" s="1271" t="s">
        <v>80</v>
      </c>
      <c r="BH32" s="1271" t="s">
        <v>2538</v>
      </c>
      <c r="BI32" s="1271" t="s">
        <v>80</v>
      </c>
      <c r="BJ32" s="1589" t="s">
        <v>80</v>
      </c>
      <c r="BK32" s="1594"/>
      <c r="BL32" s="1587" t="s">
        <v>205</v>
      </c>
    </row>
    <row r="33" spans="1:64" ht="20.25" customHeight="1">
      <c r="A33" s="1597" t="s">
        <v>754</v>
      </c>
      <c r="B33" s="1134" t="s">
        <v>905</v>
      </c>
      <c r="C33" s="1272"/>
      <c r="D33" s="1272"/>
      <c r="E33" s="1272"/>
      <c r="F33" s="1272"/>
      <c r="G33" s="1272"/>
      <c r="H33" s="1272"/>
      <c r="I33" s="1272"/>
      <c r="J33" s="1274"/>
      <c r="K33" s="1272"/>
      <c r="L33" s="1272"/>
      <c r="M33" s="1272"/>
      <c r="N33" s="1272"/>
      <c r="O33" s="1272"/>
      <c r="P33" s="1276"/>
      <c r="Q33" s="1276"/>
      <c r="R33" s="1597" t="s">
        <v>754</v>
      </c>
      <c r="S33" s="1134" t="s">
        <v>905</v>
      </c>
      <c r="T33" s="1597" t="s">
        <v>754</v>
      </c>
      <c r="U33" s="1134" t="s">
        <v>905</v>
      </c>
      <c r="V33" s="1274"/>
      <c r="W33" s="1274"/>
      <c r="X33" s="1274"/>
      <c r="Y33" s="1274"/>
      <c r="Z33" s="1274"/>
      <c r="AA33" s="1274"/>
      <c r="AB33" s="1274"/>
      <c r="AC33" s="1274"/>
      <c r="AD33" s="1274"/>
      <c r="AE33" s="1274"/>
      <c r="AF33" s="1274"/>
      <c r="AG33" s="1274"/>
      <c r="AH33" s="1597" t="s">
        <v>754</v>
      </c>
      <c r="AI33" s="1134" t="s">
        <v>905</v>
      </c>
      <c r="AJ33" s="1597" t="s">
        <v>754</v>
      </c>
      <c r="AK33" s="1134" t="s">
        <v>905</v>
      </c>
      <c r="AL33" s="1272"/>
      <c r="AM33" s="1272"/>
      <c r="AN33" s="1276"/>
      <c r="AO33" s="1272"/>
      <c r="AP33" s="1272"/>
      <c r="AQ33" s="1272"/>
      <c r="AR33" s="1272"/>
      <c r="AS33" s="1272"/>
      <c r="AT33" s="1272"/>
      <c r="AU33" s="1272"/>
      <c r="AV33" s="1272"/>
      <c r="AW33" s="1272"/>
      <c r="AX33" s="1272"/>
      <c r="AY33" s="1597" t="s">
        <v>754</v>
      </c>
      <c r="AZ33" s="1134" t="s">
        <v>905</v>
      </c>
      <c r="BA33" s="1597" t="s">
        <v>754</v>
      </c>
      <c r="BB33" s="1134" t="s">
        <v>905</v>
      </c>
      <c r="BC33" s="1272"/>
      <c r="BD33" s="1272"/>
      <c r="BE33" s="1272"/>
      <c r="BF33" s="1276"/>
      <c r="BG33" s="1272"/>
      <c r="BH33" s="1272"/>
      <c r="BI33" s="1272"/>
      <c r="BJ33" s="1272"/>
      <c r="BK33" s="1597" t="s">
        <v>754</v>
      </c>
      <c r="BL33" s="1134" t="s">
        <v>905</v>
      </c>
    </row>
    <row r="34" spans="1:64" ht="11.85" customHeight="1">
      <c r="A34" s="10"/>
      <c r="B34" s="1587" t="s">
        <v>213</v>
      </c>
      <c r="C34" s="1588" t="s">
        <v>2772</v>
      </c>
      <c r="D34" s="145" t="s">
        <v>2772</v>
      </c>
      <c r="E34" s="1273" t="s">
        <v>2772</v>
      </c>
      <c r="F34" s="1271" t="s">
        <v>2772</v>
      </c>
      <c r="G34" s="145" t="s">
        <v>2852</v>
      </c>
      <c r="H34" s="1271" t="s">
        <v>2772</v>
      </c>
      <c r="I34" s="1271" t="s">
        <v>80</v>
      </c>
      <c r="J34" s="145" t="s">
        <v>2772</v>
      </c>
      <c r="K34" s="1273" t="s">
        <v>2786</v>
      </c>
      <c r="L34" s="1273" t="s">
        <v>2077</v>
      </c>
      <c r="M34" s="1273" t="s">
        <v>1766</v>
      </c>
      <c r="N34" s="145" t="s">
        <v>1766</v>
      </c>
      <c r="O34" s="1271" t="s">
        <v>1479</v>
      </c>
      <c r="P34" s="1273" t="s">
        <v>2772</v>
      </c>
      <c r="Q34" s="1273" t="s">
        <v>2772</v>
      </c>
      <c r="R34" s="10"/>
      <c r="S34" s="1587" t="s">
        <v>204</v>
      </c>
      <c r="T34" s="10"/>
      <c r="U34" s="1587" t="s">
        <v>204</v>
      </c>
      <c r="V34" s="1273" t="s">
        <v>2075</v>
      </c>
      <c r="W34" s="1273" t="s">
        <v>1766</v>
      </c>
      <c r="X34" s="1273" t="s">
        <v>2772</v>
      </c>
      <c r="Y34" s="1273" t="s">
        <v>1766</v>
      </c>
      <c r="Z34" s="1588" t="s">
        <v>2772</v>
      </c>
      <c r="AA34" s="1273" t="s">
        <v>2076</v>
      </c>
      <c r="AB34" s="1273" t="s">
        <v>2191</v>
      </c>
      <c r="AC34" s="1273" t="s">
        <v>2786</v>
      </c>
      <c r="AD34" s="1273" t="s">
        <v>2772</v>
      </c>
      <c r="AE34" s="1273" t="s">
        <v>2534</v>
      </c>
      <c r="AF34" s="1273" t="s">
        <v>2783</v>
      </c>
      <c r="AG34" s="1273" t="s">
        <v>2772</v>
      </c>
      <c r="AH34" s="10"/>
      <c r="AI34" s="1587" t="s">
        <v>204</v>
      </c>
      <c r="AJ34" s="10"/>
      <c r="AK34" s="1587" t="s">
        <v>204</v>
      </c>
      <c r="AL34" s="1271" t="s">
        <v>2075</v>
      </c>
      <c r="AM34" s="1271" t="s">
        <v>1766</v>
      </c>
      <c r="AN34" s="1271" t="s">
        <v>2075</v>
      </c>
      <c r="AO34" s="1273" t="s">
        <v>1459</v>
      </c>
      <c r="AP34" s="1271" t="s">
        <v>2772</v>
      </c>
      <c r="AQ34" s="1271" t="s">
        <v>1479</v>
      </c>
      <c r="AR34" s="1271" t="s">
        <v>2077</v>
      </c>
      <c r="AS34" s="1271" t="s">
        <v>1479</v>
      </c>
      <c r="AT34" s="1271" t="s">
        <v>1479</v>
      </c>
      <c r="AU34" s="1271" t="s">
        <v>1478</v>
      </c>
      <c r="AV34" s="1271" t="s">
        <v>1766</v>
      </c>
      <c r="AW34" s="1386" t="s">
        <v>1766</v>
      </c>
      <c r="AX34" s="1271" t="s">
        <v>2772</v>
      </c>
      <c r="AY34" s="10"/>
      <c r="AZ34" s="1587" t="s">
        <v>204</v>
      </c>
      <c r="BA34" s="10"/>
      <c r="BB34" s="1587" t="s">
        <v>204</v>
      </c>
      <c r="BC34" s="1271" t="s">
        <v>1766</v>
      </c>
      <c r="BD34" s="1271" t="s">
        <v>1766</v>
      </c>
      <c r="BE34" s="1271" t="s">
        <v>2074</v>
      </c>
      <c r="BF34" s="1271" t="s">
        <v>2634</v>
      </c>
      <c r="BG34" s="1271" t="s">
        <v>2635</v>
      </c>
      <c r="BH34" s="1271" t="s">
        <v>80</v>
      </c>
      <c r="BI34" s="1271" t="s">
        <v>2073</v>
      </c>
      <c r="BJ34" s="1271" t="s">
        <v>1478</v>
      </c>
      <c r="BK34" s="10"/>
      <c r="BL34" s="1587" t="s">
        <v>204</v>
      </c>
    </row>
    <row r="35" spans="1:64" ht="11.85" customHeight="1">
      <c r="A35" s="1345"/>
      <c r="B35" s="482" t="s">
        <v>214</v>
      </c>
      <c r="C35" s="1272" t="s">
        <v>80</v>
      </c>
      <c r="D35" s="1591" t="s">
        <v>80</v>
      </c>
      <c r="E35" s="1272" t="s">
        <v>80</v>
      </c>
      <c r="F35" s="1272" t="s">
        <v>80</v>
      </c>
      <c r="G35" s="1272" t="s">
        <v>80</v>
      </c>
      <c r="H35" s="1272" t="s">
        <v>80</v>
      </c>
      <c r="I35" s="1272" t="s">
        <v>2772</v>
      </c>
      <c r="J35" s="1274" t="s">
        <v>80</v>
      </c>
      <c r="K35" s="1272" t="s">
        <v>80</v>
      </c>
      <c r="L35" s="1274" t="s">
        <v>1476</v>
      </c>
      <c r="M35" s="1272" t="s">
        <v>2597</v>
      </c>
      <c r="N35" s="1272" t="s">
        <v>80</v>
      </c>
      <c r="O35" s="1272" t="s">
        <v>80</v>
      </c>
      <c r="P35" s="1272" t="s">
        <v>1478</v>
      </c>
      <c r="Q35" s="1272" t="s">
        <v>80</v>
      </c>
      <c r="R35" s="1345"/>
      <c r="S35" s="482" t="s">
        <v>205</v>
      </c>
      <c r="T35" s="1345"/>
      <c r="U35" s="482" t="s">
        <v>205</v>
      </c>
      <c r="V35" s="1274" t="s">
        <v>80</v>
      </c>
      <c r="W35" s="1274" t="s">
        <v>80</v>
      </c>
      <c r="X35" s="1274" t="s">
        <v>80</v>
      </c>
      <c r="Y35" s="1274" t="s">
        <v>80</v>
      </c>
      <c r="Z35" s="1274" t="s">
        <v>80</v>
      </c>
      <c r="AA35" s="1274" t="s">
        <v>80</v>
      </c>
      <c r="AB35" s="1274" t="s">
        <v>80</v>
      </c>
      <c r="AC35" s="1274" t="s">
        <v>80</v>
      </c>
      <c r="AD35" s="1274" t="s">
        <v>80</v>
      </c>
      <c r="AE35" s="1274" t="s">
        <v>1478</v>
      </c>
      <c r="AF35" s="1274" t="s">
        <v>80</v>
      </c>
      <c r="AG35" s="1274" t="s">
        <v>80</v>
      </c>
      <c r="AH35" s="1345"/>
      <c r="AI35" s="482" t="s">
        <v>205</v>
      </c>
      <c r="AJ35" s="1345"/>
      <c r="AK35" s="482" t="s">
        <v>205</v>
      </c>
      <c r="AL35" s="1591" t="s">
        <v>80</v>
      </c>
      <c r="AM35" s="1272" t="s">
        <v>80</v>
      </c>
      <c r="AN35" s="1272" t="s">
        <v>80</v>
      </c>
      <c r="AO35" s="1590" t="s">
        <v>80</v>
      </c>
      <c r="AP35" s="1272" t="s">
        <v>80</v>
      </c>
      <c r="AQ35" s="1272" t="s">
        <v>80</v>
      </c>
      <c r="AR35" s="1272" t="s">
        <v>80</v>
      </c>
      <c r="AS35" s="1272" t="s">
        <v>80</v>
      </c>
      <c r="AT35" s="1272" t="s">
        <v>80</v>
      </c>
      <c r="AU35" s="1272" t="s">
        <v>80</v>
      </c>
      <c r="AV35" s="1272" t="s">
        <v>80</v>
      </c>
      <c r="AW35" s="1272" t="s">
        <v>80</v>
      </c>
      <c r="AX35" s="1272" t="s">
        <v>80</v>
      </c>
      <c r="AY35" s="1345"/>
      <c r="AZ35" s="482" t="s">
        <v>205</v>
      </c>
      <c r="BA35" s="1345"/>
      <c r="BB35" s="482" t="s">
        <v>205</v>
      </c>
      <c r="BC35" s="1272" t="s">
        <v>80</v>
      </c>
      <c r="BD35" s="1272" t="s">
        <v>1766</v>
      </c>
      <c r="BE35" s="1272" t="s">
        <v>80</v>
      </c>
      <c r="BF35" s="1272" t="s">
        <v>80</v>
      </c>
      <c r="BG35" s="1272" t="s">
        <v>80</v>
      </c>
      <c r="BH35" s="1272" t="s">
        <v>80</v>
      </c>
      <c r="BI35" s="1272" t="s">
        <v>80</v>
      </c>
      <c r="BJ35" s="1591" t="s">
        <v>80</v>
      </c>
      <c r="BK35" s="1345"/>
      <c r="BL35" s="482" t="s">
        <v>205</v>
      </c>
    </row>
    <row r="36" spans="1:64" ht="11.85" customHeight="1">
      <c r="A36" s="2118" t="s">
        <v>118</v>
      </c>
      <c r="B36" s="2118"/>
      <c r="C36" s="1271" t="s">
        <v>2767</v>
      </c>
      <c r="D36" s="1271" t="s">
        <v>2767</v>
      </c>
      <c r="E36" s="1271" t="s">
        <v>2767</v>
      </c>
      <c r="F36" s="1271" t="s">
        <v>2767</v>
      </c>
      <c r="G36" s="1271" t="s">
        <v>2767</v>
      </c>
      <c r="H36" s="1271" t="s">
        <v>2767</v>
      </c>
      <c r="I36" s="1271" t="s">
        <v>2767</v>
      </c>
      <c r="J36" s="1273" t="s">
        <v>2767</v>
      </c>
      <c r="K36" s="1271" t="s">
        <v>2767</v>
      </c>
      <c r="L36" s="1271" t="s">
        <v>2767</v>
      </c>
      <c r="M36" s="1271" t="s">
        <v>2767</v>
      </c>
      <c r="N36" s="1271" t="s">
        <v>2767</v>
      </c>
      <c r="O36" s="1271" t="s">
        <v>2767</v>
      </c>
      <c r="P36" s="1271" t="s">
        <v>2767</v>
      </c>
      <c r="Q36" s="1271" t="s">
        <v>2767</v>
      </c>
      <c r="R36" s="2118" t="s">
        <v>118</v>
      </c>
      <c r="S36" s="2118"/>
      <c r="T36" s="2118" t="s">
        <v>118</v>
      </c>
      <c r="U36" s="2118"/>
      <c r="V36" s="1273" t="s">
        <v>2767</v>
      </c>
      <c r="W36" s="1273" t="s">
        <v>2767</v>
      </c>
      <c r="X36" s="1273" t="s">
        <v>2767</v>
      </c>
      <c r="Y36" s="1273" t="s">
        <v>2767</v>
      </c>
      <c r="Z36" s="1273" t="s">
        <v>2767</v>
      </c>
      <c r="AA36" s="1273" t="s">
        <v>2767</v>
      </c>
      <c r="AB36" s="1273" t="s">
        <v>2767</v>
      </c>
      <c r="AC36" s="1273" t="s">
        <v>2767</v>
      </c>
      <c r="AD36" s="1273" t="s">
        <v>2767</v>
      </c>
      <c r="AE36" s="1273" t="s">
        <v>2767</v>
      </c>
      <c r="AF36" s="1273" t="s">
        <v>2767</v>
      </c>
      <c r="AG36" s="1273" t="s">
        <v>2767</v>
      </c>
      <c r="AH36" s="2118" t="s">
        <v>118</v>
      </c>
      <c r="AI36" s="2118"/>
      <c r="AJ36" s="2118" t="s">
        <v>118</v>
      </c>
      <c r="AK36" s="2118"/>
      <c r="AL36" s="1271" t="s">
        <v>2767</v>
      </c>
      <c r="AM36" s="1271" t="s">
        <v>2767</v>
      </c>
      <c r="AN36" s="1271" t="s">
        <v>2767</v>
      </c>
      <c r="AO36" s="1271" t="s">
        <v>2767</v>
      </c>
      <c r="AP36" s="1271" t="s">
        <v>2767</v>
      </c>
      <c r="AQ36" s="1271" t="s">
        <v>2767</v>
      </c>
      <c r="AR36" s="1271" t="s">
        <v>2767</v>
      </c>
      <c r="AS36" s="1271" t="s">
        <v>2767</v>
      </c>
      <c r="AT36" s="1271" t="s">
        <v>2767</v>
      </c>
      <c r="AU36" s="1271" t="s">
        <v>2767</v>
      </c>
      <c r="AV36" s="1271" t="s">
        <v>2767</v>
      </c>
      <c r="AW36" s="1271" t="s">
        <v>2767</v>
      </c>
      <c r="AX36" s="1271" t="s">
        <v>80</v>
      </c>
      <c r="AY36" s="2118" t="s">
        <v>118</v>
      </c>
      <c r="AZ36" s="2118"/>
      <c r="BA36" s="2118" t="s">
        <v>118</v>
      </c>
      <c r="BB36" s="2118"/>
      <c r="BC36" s="1271" t="s">
        <v>2767</v>
      </c>
      <c r="BD36" s="1271" t="s">
        <v>2767</v>
      </c>
      <c r="BE36" s="1271" t="s">
        <v>2767</v>
      </c>
      <c r="BF36" s="1271" t="s">
        <v>2767</v>
      </c>
      <c r="BG36" s="1271" t="s">
        <v>2787</v>
      </c>
      <c r="BH36" s="1271" t="s">
        <v>80</v>
      </c>
      <c r="BI36" s="1271" t="s">
        <v>2767</v>
      </c>
      <c r="BJ36" s="1271" t="s">
        <v>80</v>
      </c>
      <c r="BK36" s="2118" t="s">
        <v>118</v>
      </c>
      <c r="BL36" s="2118"/>
    </row>
    <row r="37" spans="1:64" ht="11.85" customHeight="1">
      <c r="A37" s="2119" t="s">
        <v>217</v>
      </c>
      <c r="B37" s="2119"/>
      <c r="C37" s="1272"/>
      <c r="D37" s="1272"/>
      <c r="E37" s="1272"/>
      <c r="F37" s="1272"/>
      <c r="G37" s="1272"/>
      <c r="H37" s="1272"/>
      <c r="I37" s="1272"/>
      <c r="J37" s="1274"/>
      <c r="K37" s="1272"/>
      <c r="L37" s="1272"/>
      <c r="M37" s="1272"/>
      <c r="N37" s="1272"/>
      <c r="O37" s="1272"/>
      <c r="P37" s="1276"/>
      <c r="Q37" s="1276"/>
      <c r="R37" s="2119" t="s">
        <v>217</v>
      </c>
      <c r="S37" s="2119"/>
      <c r="T37" s="2119" t="s">
        <v>217</v>
      </c>
      <c r="U37" s="2119"/>
      <c r="V37" s="1274"/>
      <c r="W37" s="1274"/>
      <c r="X37" s="1274"/>
      <c r="Y37" s="1274"/>
      <c r="Z37" s="1274"/>
      <c r="AA37" s="1573"/>
      <c r="AB37" s="1573"/>
      <c r="AC37" s="1573"/>
      <c r="AD37" s="1573"/>
      <c r="AE37" s="1573"/>
      <c r="AF37" s="1573"/>
      <c r="AG37" s="1274"/>
      <c r="AH37" s="2119" t="s">
        <v>217</v>
      </c>
      <c r="AI37" s="2119"/>
      <c r="AJ37" s="2119" t="s">
        <v>217</v>
      </c>
      <c r="AK37" s="2119"/>
      <c r="AL37" s="1276"/>
      <c r="AM37" s="1276"/>
      <c r="AN37" s="1276"/>
      <c r="AO37" s="1276"/>
      <c r="AP37" s="1272"/>
      <c r="AQ37" s="1272"/>
      <c r="AR37" s="1272"/>
      <c r="AS37" s="1272"/>
      <c r="AT37" s="1272"/>
      <c r="AU37" s="1272"/>
      <c r="AV37" s="1272"/>
      <c r="AW37" s="1272"/>
      <c r="AX37" s="1272"/>
      <c r="AY37" s="2119" t="s">
        <v>217</v>
      </c>
      <c r="AZ37" s="2119"/>
      <c r="BA37" s="2119" t="s">
        <v>217</v>
      </c>
      <c r="BB37" s="2119"/>
      <c r="BC37" s="1272"/>
      <c r="BD37" s="1272"/>
      <c r="BE37" s="1272"/>
      <c r="BF37" s="1276"/>
      <c r="BG37" s="1272"/>
      <c r="BH37" s="1272"/>
      <c r="BI37" s="1272"/>
      <c r="BJ37" s="1272"/>
      <c r="BK37" s="2119" t="s">
        <v>217</v>
      </c>
      <c r="BL37" s="2119"/>
    </row>
    <row r="38" spans="1:64" ht="11.85" customHeight="1">
      <c r="A38" s="10"/>
      <c r="B38" s="1587" t="s">
        <v>204</v>
      </c>
      <c r="C38" s="145" t="s">
        <v>2772</v>
      </c>
      <c r="D38" s="1271" t="s">
        <v>2772</v>
      </c>
      <c r="E38" s="1273" t="s">
        <v>2772</v>
      </c>
      <c r="F38" s="1271" t="s">
        <v>2772</v>
      </c>
      <c r="G38" s="145" t="s">
        <v>2772</v>
      </c>
      <c r="H38" s="145" t="s">
        <v>2772</v>
      </c>
      <c r="I38" s="1271" t="s">
        <v>2772</v>
      </c>
      <c r="J38" s="1273" t="s">
        <v>2772</v>
      </c>
      <c r="K38" s="1271" t="s">
        <v>2786</v>
      </c>
      <c r="L38" s="1271" t="s">
        <v>1766</v>
      </c>
      <c r="M38" s="1273" t="s">
        <v>2780</v>
      </c>
      <c r="N38" s="145" t="s">
        <v>1766</v>
      </c>
      <c r="O38" s="1271" t="s">
        <v>1479</v>
      </c>
      <c r="P38" s="1273" t="s">
        <v>1766</v>
      </c>
      <c r="Q38" s="1273" t="s">
        <v>2789</v>
      </c>
      <c r="R38" s="10"/>
      <c r="S38" s="1587" t="s">
        <v>204</v>
      </c>
      <c r="T38" s="10"/>
      <c r="U38" s="1587" t="s">
        <v>204</v>
      </c>
      <c r="V38" s="1273" t="s">
        <v>2602</v>
      </c>
      <c r="W38" s="1273" t="s">
        <v>2506</v>
      </c>
      <c r="X38" s="1273" t="s">
        <v>2772</v>
      </c>
      <c r="Y38" s="1273" t="s">
        <v>80</v>
      </c>
      <c r="Z38" s="1273" t="s">
        <v>2772</v>
      </c>
      <c r="AA38" s="1273" t="s">
        <v>1766</v>
      </c>
      <c r="AB38" s="1273" t="s">
        <v>2191</v>
      </c>
      <c r="AC38" s="1273" t="s">
        <v>1478</v>
      </c>
      <c r="AD38" s="1273" t="s">
        <v>2772</v>
      </c>
      <c r="AE38" s="1273" t="s">
        <v>2446</v>
      </c>
      <c r="AF38" s="1273" t="s">
        <v>2785</v>
      </c>
      <c r="AG38" s="1273" t="s">
        <v>2074</v>
      </c>
      <c r="AH38" s="10"/>
      <c r="AI38" s="1587" t="s">
        <v>204</v>
      </c>
      <c r="AJ38" s="10"/>
      <c r="AK38" s="1587" t="s">
        <v>204</v>
      </c>
      <c r="AL38" s="1271" t="s">
        <v>1766</v>
      </c>
      <c r="AM38" s="1271" t="s">
        <v>1766</v>
      </c>
      <c r="AN38" s="1271" t="s">
        <v>1766</v>
      </c>
      <c r="AO38" s="1273" t="s">
        <v>1766</v>
      </c>
      <c r="AP38" s="1271" t="s">
        <v>1766</v>
      </c>
      <c r="AQ38" s="1271" t="s">
        <v>1479</v>
      </c>
      <c r="AR38" s="1271" t="s">
        <v>1478</v>
      </c>
      <c r="AS38" s="1271" t="s">
        <v>1207</v>
      </c>
      <c r="AT38" s="1271" t="s">
        <v>2075</v>
      </c>
      <c r="AU38" s="1271" t="s">
        <v>1479</v>
      </c>
      <c r="AV38" s="1271" t="s">
        <v>1766</v>
      </c>
      <c r="AW38" s="1386" t="s">
        <v>1766</v>
      </c>
      <c r="AX38" s="1271" t="s">
        <v>80</v>
      </c>
      <c r="AY38" s="10"/>
      <c r="AZ38" s="1587" t="s">
        <v>204</v>
      </c>
      <c r="BA38" s="10"/>
      <c r="BB38" s="1587" t="s">
        <v>204</v>
      </c>
      <c r="BC38" s="1271" t="s">
        <v>1766</v>
      </c>
      <c r="BD38" s="1271" t="s">
        <v>2611</v>
      </c>
      <c r="BE38" s="1271" t="s">
        <v>1207</v>
      </c>
      <c r="BF38" s="1271" t="s">
        <v>2537</v>
      </c>
      <c r="BG38" s="1271" t="s">
        <v>1479</v>
      </c>
      <c r="BH38" s="1271" t="s">
        <v>2085</v>
      </c>
      <c r="BI38" s="1271" t="s">
        <v>1479</v>
      </c>
      <c r="BJ38" s="1271" t="s">
        <v>80</v>
      </c>
      <c r="BK38" s="10"/>
      <c r="BL38" s="1587" t="s">
        <v>204</v>
      </c>
    </row>
    <row r="39" spans="1:64" ht="11.85" customHeight="1">
      <c r="A39" s="1345"/>
      <c r="B39" s="482" t="s">
        <v>205</v>
      </c>
      <c r="C39" s="1272" t="s">
        <v>80</v>
      </c>
      <c r="D39" s="1272" t="s">
        <v>80</v>
      </c>
      <c r="E39" s="1272" t="s">
        <v>80</v>
      </c>
      <c r="F39" s="1272" t="s">
        <v>80</v>
      </c>
      <c r="G39" s="1272" t="s">
        <v>80</v>
      </c>
      <c r="H39" s="1272" t="s">
        <v>80</v>
      </c>
      <c r="I39" s="1272" t="s">
        <v>80</v>
      </c>
      <c r="J39" s="1274" t="s">
        <v>80</v>
      </c>
      <c r="K39" s="1272" t="s">
        <v>2786</v>
      </c>
      <c r="L39" s="1272" t="s">
        <v>2075</v>
      </c>
      <c r="M39" s="1274" t="s">
        <v>2597</v>
      </c>
      <c r="N39" s="1277" t="s">
        <v>1766</v>
      </c>
      <c r="O39" s="1272" t="s">
        <v>80</v>
      </c>
      <c r="P39" s="1276" t="s">
        <v>1766</v>
      </c>
      <c r="Q39" s="1276" t="s">
        <v>80</v>
      </c>
      <c r="R39" s="1345"/>
      <c r="S39" s="482" t="s">
        <v>205</v>
      </c>
      <c r="T39" s="1345"/>
      <c r="U39" s="482" t="s">
        <v>205</v>
      </c>
      <c r="V39" s="1274" t="s">
        <v>80</v>
      </c>
      <c r="W39" s="1274" t="s">
        <v>80</v>
      </c>
      <c r="X39" s="1274" t="s">
        <v>80</v>
      </c>
      <c r="Y39" s="1274" t="s">
        <v>1207</v>
      </c>
      <c r="Z39" s="1274" t="s">
        <v>80</v>
      </c>
      <c r="AA39" s="1573" t="s">
        <v>80</v>
      </c>
      <c r="AB39" s="1573" t="s">
        <v>80</v>
      </c>
      <c r="AC39" s="1573" t="s">
        <v>80</v>
      </c>
      <c r="AD39" s="1573" t="s">
        <v>80</v>
      </c>
      <c r="AE39" s="1599" t="s">
        <v>80</v>
      </c>
      <c r="AF39" s="1573" t="s">
        <v>80</v>
      </c>
      <c r="AG39" s="1573" t="s">
        <v>2075</v>
      </c>
      <c r="AH39" s="1345"/>
      <c r="AI39" s="482" t="s">
        <v>205</v>
      </c>
      <c r="AJ39" s="1345"/>
      <c r="AK39" s="482" t="s">
        <v>205</v>
      </c>
      <c r="AL39" s="1591" t="s">
        <v>80</v>
      </c>
      <c r="AM39" s="1272" t="s">
        <v>80</v>
      </c>
      <c r="AN39" s="1276" t="s">
        <v>80</v>
      </c>
      <c r="AO39" s="1590" t="s">
        <v>80</v>
      </c>
      <c r="AP39" s="1272" t="s">
        <v>80</v>
      </c>
      <c r="AQ39" s="1272" t="s">
        <v>80</v>
      </c>
      <c r="AR39" s="1272" t="s">
        <v>80</v>
      </c>
      <c r="AS39" s="1272" t="s">
        <v>1459</v>
      </c>
      <c r="AT39" s="1272" t="s">
        <v>80</v>
      </c>
      <c r="AU39" s="1272" t="s">
        <v>80</v>
      </c>
      <c r="AV39" s="1272" t="s">
        <v>80</v>
      </c>
      <c r="AW39" s="1272" t="s">
        <v>80</v>
      </c>
      <c r="AX39" s="1272" t="s">
        <v>80</v>
      </c>
      <c r="AY39" s="1345"/>
      <c r="AZ39" s="482" t="s">
        <v>205</v>
      </c>
      <c r="BA39" s="1345"/>
      <c r="BB39" s="482" t="s">
        <v>205</v>
      </c>
      <c r="BC39" s="1272" t="s">
        <v>80</v>
      </c>
      <c r="BD39" s="1272" t="s">
        <v>2611</v>
      </c>
      <c r="BE39" s="1272" t="s">
        <v>80</v>
      </c>
      <c r="BF39" s="1276" t="s">
        <v>80</v>
      </c>
      <c r="BG39" s="1272" t="s">
        <v>80</v>
      </c>
      <c r="BH39" s="1272" t="s">
        <v>2085</v>
      </c>
      <c r="BI39" s="1272" t="s">
        <v>80</v>
      </c>
      <c r="BJ39" s="1272" t="s">
        <v>80</v>
      </c>
      <c r="BK39" s="1345"/>
      <c r="BL39" s="482" t="s">
        <v>205</v>
      </c>
    </row>
    <row r="40" spans="1:64" ht="11.85" customHeight="1">
      <c r="A40" s="2118" t="s">
        <v>218</v>
      </c>
      <c r="B40" s="2118"/>
      <c r="C40" s="1271"/>
      <c r="D40" s="1271"/>
      <c r="E40" s="1271"/>
      <c r="F40" s="1271"/>
      <c r="G40" s="1271"/>
      <c r="H40" s="1583"/>
      <c r="I40" s="1271"/>
      <c r="J40" s="1273"/>
      <c r="K40" s="1271"/>
      <c r="L40" s="1271"/>
      <c r="M40" s="1271"/>
      <c r="N40" s="1271"/>
      <c r="O40" s="1271"/>
      <c r="P40" s="1275"/>
      <c r="Q40" s="1275"/>
      <c r="R40" s="2118" t="s">
        <v>218</v>
      </c>
      <c r="S40" s="2118"/>
      <c r="T40" s="2118" t="s">
        <v>218</v>
      </c>
      <c r="U40" s="2118"/>
      <c r="V40" s="1273"/>
      <c r="W40" s="1273"/>
      <c r="X40" s="1273"/>
      <c r="Y40" s="1273"/>
      <c r="Z40" s="1273"/>
      <c r="AA40" s="1585"/>
      <c r="AB40" s="1585"/>
      <c r="AC40" s="1585"/>
      <c r="AD40" s="1585"/>
      <c r="AE40" s="1585"/>
      <c r="AF40" s="1585"/>
      <c r="AG40" s="1585"/>
      <c r="AH40" s="2118" t="s">
        <v>218</v>
      </c>
      <c r="AI40" s="2118"/>
      <c r="AJ40" s="2118" t="s">
        <v>218</v>
      </c>
      <c r="AK40" s="2118"/>
      <c r="AL40" s="1271"/>
      <c r="AM40" s="1271"/>
      <c r="AN40" s="1275"/>
      <c r="AO40" s="1271"/>
      <c r="AP40" s="1271"/>
      <c r="AQ40" s="1271"/>
      <c r="AR40" s="1271"/>
      <c r="AS40" s="1271"/>
      <c r="AT40" s="1271"/>
      <c r="AU40" s="1271"/>
      <c r="AV40" s="1271"/>
      <c r="AW40" s="1271"/>
      <c r="AX40" s="1271"/>
      <c r="AY40" s="2118" t="s">
        <v>218</v>
      </c>
      <c r="AZ40" s="2118"/>
      <c r="BA40" s="2118" t="s">
        <v>218</v>
      </c>
      <c r="BB40" s="2118"/>
      <c r="BC40" s="1271"/>
      <c r="BD40" s="1271"/>
      <c r="BE40" s="1271"/>
      <c r="BF40" s="1275" t="s">
        <v>936</v>
      </c>
      <c r="BG40" s="1271"/>
      <c r="BH40" s="1271"/>
      <c r="BI40" s="1271"/>
      <c r="BJ40" s="1271"/>
      <c r="BK40" s="2118" t="s">
        <v>218</v>
      </c>
      <c r="BL40" s="2118"/>
    </row>
    <row r="41" spans="1:64" ht="11.85" customHeight="1">
      <c r="A41" s="1345"/>
      <c r="B41" s="482" t="s">
        <v>204</v>
      </c>
      <c r="C41" s="1277" t="s">
        <v>2772</v>
      </c>
      <c r="D41" s="1277" t="s">
        <v>2772</v>
      </c>
      <c r="E41" s="1274" t="s">
        <v>2772</v>
      </c>
      <c r="F41" s="1274" t="s">
        <v>1822</v>
      </c>
      <c r="G41" s="1272" t="s">
        <v>2772</v>
      </c>
      <c r="H41" s="1274" t="s">
        <v>2772</v>
      </c>
      <c r="I41" s="1272" t="s">
        <v>80</v>
      </c>
      <c r="J41" s="1274" t="s">
        <v>80</v>
      </c>
      <c r="K41" s="1272" t="s">
        <v>2788</v>
      </c>
      <c r="L41" s="1272" t="s">
        <v>2077</v>
      </c>
      <c r="M41" s="1274" t="s">
        <v>1479</v>
      </c>
      <c r="N41" s="1274" t="s">
        <v>2074</v>
      </c>
      <c r="O41" s="1272" t="s">
        <v>1479</v>
      </c>
      <c r="P41" s="1600" t="s">
        <v>1766</v>
      </c>
      <c r="Q41" s="1274" t="s">
        <v>2815</v>
      </c>
      <c r="R41" s="1345"/>
      <c r="S41" s="482" t="s">
        <v>204</v>
      </c>
      <c r="T41" s="1345"/>
      <c r="U41" s="482" t="s">
        <v>204</v>
      </c>
      <c r="V41" s="1274" t="s">
        <v>2190</v>
      </c>
      <c r="W41" s="1274" t="s">
        <v>2074</v>
      </c>
      <c r="X41" s="1274" t="s">
        <v>2772</v>
      </c>
      <c r="Y41" s="1274" t="s">
        <v>1207</v>
      </c>
      <c r="Z41" s="1274" t="s">
        <v>2772</v>
      </c>
      <c r="AA41" s="1274" t="s">
        <v>1479</v>
      </c>
      <c r="AB41" s="1274" t="s">
        <v>1766</v>
      </c>
      <c r="AC41" s="1274" t="s">
        <v>2789</v>
      </c>
      <c r="AD41" s="1274" t="s">
        <v>2772</v>
      </c>
      <c r="AE41" s="1274" t="s">
        <v>1479</v>
      </c>
      <c r="AF41" s="1274" t="s">
        <v>2781</v>
      </c>
      <c r="AG41" s="1274" t="s">
        <v>1478</v>
      </c>
      <c r="AH41" s="1345"/>
      <c r="AI41" s="482" t="s">
        <v>204</v>
      </c>
      <c r="AJ41" s="1345"/>
      <c r="AK41" s="482" t="s">
        <v>204</v>
      </c>
      <c r="AL41" s="1272" t="s">
        <v>1766</v>
      </c>
      <c r="AM41" s="1272" t="s">
        <v>2077</v>
      </c>
      <c r="AN41" s="1272" t="s">
        <v>1766</v>
      </c>
      <c r="AO41" s="1272" t="s">
        <v>1766</v>
      </c>
      <c r="AP41" s="1272" t="s">
        <v>2075</v>
      </c>
      <c r="AQ41" s="1272" t="s">
        <v>2075</v>
      </c>
      <c r="AR41" s="1272" t="s">
        <v>1479</v>
      </c>
      <c r="AS41" s="1272" t="s">
        <v>1479</v>
      </c>
      <c r="AT41" s="1272" t="s">
        <v>1478</v>
      </c>
      <c r="AU41" s="1272" t="s">
        <v>2562</v>
      </c>
      <c r="AV41" s="1272" t="s">
        <v>1478</v>
      </c>
      <c r="AW41" s="1379" t="s">
        <v>1766</v>
      </c>
      <c r="AX41" s="1272" t="s">
        <v>2533</v>
      </c>
      <c r="AY41" s="1345"/>
      <c r="AZ41" s="482" t="s">
        <v>204</v>
      </c>
      <c r="BA41" s="1345"/>
      <c r="BB41" s="482" t="s">
        <v>204</v>
      </c>
      <c r="BC41" s="1272" t="s">
        <v>2612</v>
      </c>
      <c r="BD41" s="1272" t="s">
        <v>1766</v>
      </c>
      <c r="BE41" s="1272" t="s">
        <v>1766</v>
      </c>
      <c r="BF41" s="1581" t="s">
        <v>80</v>
      </c>
      <c r="BG41" s="1272" t="s">
        <v>2779</v>
      </c>
      <c r="BH41" s="1272" t="s">
        <v>80</v>
      </c>
      <c r="BI41" s="1272" t="s">
        <v>2323</v>
      </c>
      <c r="BJ41" s="1272" t="s">
        <v>1766</v>
      </c>
      <c r="BK41" s="1345"/>
      <c r="BL41" s="482" t="s">
        <v>204</v>
      </c>
    </row>
    <row r="42" spans="1:64" ht="11.85" customHeight="1">
      <c r="A42" s="10"/>
      <c r="B42" s="1587" t="s">
        <v>205</v>
      </c>
      <c r="C42" s="145" t="s">
        <v>80</v>
      </c>
      <c r="D42" s="1601" t="s">
        <v>2772</v>
      </c>
      <c r="E42" s="1271" t="s">
        <v>80</v>
      </c>
      <c r="F42" s="1271" t="s">
        <v>80</v>
      </c>
      <c r="G42" s="1271" t="s">
        <v>2779</v>
      </c>
      <c r="H42" s="1583" t="s">
        <v>80</v>
      </c>
      <c r="I42" s="1271" t="s">
        <v>80</v>
      </c>
      <c r="J42" s="1273" t="s">
        <v>80</v>
      </c>
      <c r="K42" s="1271" t="s">
        <v>2793</v>
      </c>
      <c r="L42" s="1271" t="s">
        <v>80</v>
      </c>
      <c r="M42" s="1271" t="s">
        <v>80</v>
      </c>
      <c r="N42" s="1271" t="s">
        <v>1207</v>
      </c>
      <c r="O42" s="1275" t="s">
        <v>80</v>
      </c>
      <c r="P42" s="1271" t="s">
        <v>80</v>
      </c>
      <c r="Q42" s="1271" t="s">
        <v>80</v>
      </c>
      <c r="R42" s="10"/>
      <c r="S42" s="1587" t="s">
        <v>205</v>
      </c>
      <c r="T42" s="10"/>
      <c r="U42" s="1587" t="s">
        <v>205</v>
      </c>
      <c r="V42" s="1273" t="s">
        <v>80</v>
      </c>
      <c r="W42" s="1273" t="s">
        <v>80</v>
      </c>
      <c r="X42" s="1273" t="s">
        <v>80</v>
      </c>
      <c r="Y42" s="1273" t="s">
        <v>80</v>
      </c>
      <c r="Z42" s="1273" t="s">
        <v>80</v>
      </c>
      <c r="AA42" s="1273" t="s">
        <v>80</v>
      </c>
      <c r="AB42" s="1273" t="s">
        <v>80</v>
      </c>
      <c r="AC42" s="1273" t="s">
        <v>80</v>
      </c>
      <c r="AD42" s="1273" t="s">
        <v>80</v>
      </c>
      <c r="AE42" s="1273" t="s">
        <v>80</v>
      </c>
      <c r="AF42" s="1273" t="s">
        <v>80</v>
      </c>
      <c r="AG42" s="1273" t="s">
        <v>2075</v>
      </c>
      <c r="AH42" s="10"/>
      <c r="AI42" s="1587" t="s">
        <v>205</v>
      </c>
      <c r="AJ42" s="10"/>
      <c r="AK42" s="1587" t="s">
        <v>205</v>
      </c>
      <c r="AL42" s="1589" t="s">
        <v>80</v>
      </c>
      <c r="AM42" s="1271" t="s">
        <v>2077</v>
      </c>
      <c r="AN42" s="1271" t="s">
        <v>2790</v>
      </c>
      <c r="AO42" s="1592" t="s">
        <v>80</v>
      </c>
      <c r="AP42" s="1271" t="s">
        <v>80</v>
      </c>
      <c r="AQ42" s="1271" t="s">
        <v>80</v>
      </c>
      <c r="AR42" s="1271" t="s">
        <v>80</v>
      </c>
      <c r="AS42" s="1271" t="s">
        <v>80</v>
      </c>
      <c r="AT42" s="1271" t="s">
        <v>80</v>
      </c>
      <c r="AU42" s="1271" t="s">
        <v>80</v>
      </c>
      <c r="AV42" s="1271" t="s">
        <v>80</v>
      </c>
      <c r="AW42" s="1271" t="s">
        <v>80</v>
      </c>
      <c r="AX42" s="1271" t="s">
        <v>80</v>
      </c>
      <c r="AY42" s="10"/>
      <c r="AZ42" s="1587" t="s">
        <v>205</v>
      </c>
      <c r="BA42" s="10"/>
      <c r="BB42" s="1587" t="s">
        <v>205</v>
      </c>
      <c r="BC42" s="1271" t="s">
        <v>80</v>
      </c>
      <c r="BD42" s="1583" t="s">
        <v>80</v>
      </c>
      <c r="BE42" s="1271" t="s">
        <v>80</v>
      </c>
      <c r="BF42" s="1275" t="s">
        <v>80</v>
      </c>
      <c r="BG42" s="1271" t="s">
        <v>80</v>
      </c>
      <c r="BH42" s="1271" t="s">
        <v>80</v>
      </c>
      <c r="BI42" s="1271" t="s">
        <v>80</v>
      </c>
      <c r="BJ42" s="1589" t="s">
        <v>80</v>
      </c>
      <c r="BK42" s="10"/>
      <c r="BL42" s="1587" t="s">
        <v>205</v>
      </c>
    </row>
    <row r="43" spans="1:64" ht="11.85" customHeight="1">
      <c r="A43" s="2119" t="s">
        <v>219</v>
      </c>
      <c r="B43" s="2119"/>
      <c r="C43" s="1272"/>
      <c r="D43" s="1272"/>
      <c r="E43" s="1272"/>
      <c r="F43" s="1272"/>
      <c r="G43" s="1272"/>
      <c r="H43" s="1272"/>
      <c r="I43" s="1272"/>
      <c r="J43" s="1274"/>
      <c r="K43" s="1272"/>
      <c r="L43" s="1272"/>
      <c r="M43" s="1272"/>
      <c r="N43" s="1272"/>
      <c r="O43" s="1276"/>
      <c r="P43" s="1272"/>
      <c r="Q43" s="1276"/>
      <c r="R43" s="2119" t="s">
        <v>219</v>
      </c>
      <c r="S43" s="2119"/>
      <c r="T43" s="2119" t="s">
        <v>219</v>
      </c>
      <c r="U43" s="2119"/>
      <c r="V43" s="1274"/>
      <c r="W43" s="1274"/>
      <c r="X43" s="1274"/>
      <c r="Y43" s="1274"/>
      <c r="Z43" s="1274"/>
      <c r="AA43" s="1274"/>
      <c r="AB43" s="1274"/>
      <c r="AC43" s="1274"/>
      <c r="AD43" s="1274"/>
      <c r="AE43" s="1274"/>
      <c r="AF43" s="1274"/>
      <c r="AG43" s="1274"/>
      <c r="AH43" s="2119" t="s">
        <v>219</v>
      </c>
      <c r="AI43" s="2119"/>
      <c r="AJ43" s="2119" t="s">
        <v>219</v>
      </c>
      <c r="AK43" s="2119"/>
      <c r="AL43" s="1272"/>
      <c r="AM43" s="1272"/>
      <c r="AN43" s="1276"/>
      <c r="AO43" s="1276"/>
      <c r="AP43" s="1272"/>
      <c r="AQ43" s="1272"/>
      <c r="AR43" s="1272"/>
      <c r="AS43" s="1272"/>
      <c r="AT43" s="1272"/>
      <c r="AU43" s="1272"/>
      <c r="AV43" s="1272"/>
      <c r="AW43" s="1272"/>
      <c r="AX43" s="1272"/>
      <c r="AY43" s="2119" t="s">
        <v>219</v>
      </c>
      <c r="AZ43" s="2119"/>
      <c r="BA43" s="2119" t="s">
        <v>219</v>
      </c>
      <c r="BB43" s="2119"/>
      <c r="BC43" s="1272"/>
      <c r="BD43" s="1272"/>
      <c r="BE43" s="1272"/>
      <c r="BF43" s="1276"/>
      <c r="BG43" s="1272"/>
      <c r="BH43" s="1272"/>
      <c r="BI43" s="1272"/>
      <c r="BJ43" s="1272"/>
      <c r="BK43" s="2119" t="s">
        <v>219</v>
      </c>
      <c r="BL43" s="2119"/>
    </row>
    <row r="44" spans="1:64" s="1205" customFormat="1" ht="11.85" customHeight="1">
      <c r="A44" s="10"/>
      <c r="B44" s="1587" t="s">
        <v>204</v>
      </c>
      <c r="C44" s="1271" t="s">
        <v>2779</v>
      </c>
      <c r="D44" s="1271" t="s">
        <v>2789</v>
      </c>
      <c r="E44" s="1273" t="s">
        <v>2772</v>
      </c>
      <c r="F44" s="1271" t="s">
        <v>2779</v>
      </c>
      <c r="G44" s="1273" t="s">
        <v>2617</v>
      </c>
      <c r="H44" s="1589" t="s">
        <v>80</v>
      </c>
      <c r="I44" s="1271" t="s">
        <v>2772</v>
      </c>
      <c r="J44" s="1273" t="s">
        <v>2779</v>
      </c>
      <c r="K44" s="1271" t="s">
        <v>2779</v>
      </c>
      <c r="L44" s="1271" t="s">
        <v>1207</v>
      </c>
      <c r="M44" s="1273" t="s">
        <v>2496</v>
      </c>
      <c r="N44" s="145" t="s">
        <v>2075</v>
      </c>
      <c r="O44" s="1271" t="s">
        <v>1479</v>
      </c>
      <c r="P44" s="1273" t="s">
        <v>2119</v>
      </c>
      <c r="Q44" s="145" t="s">
        <v>2816</v>
      </c>
      <c r="R44" s="10"/>
      <c r="S44" s="1587" t="s">
        <v>204</v>
      </c>
      <c r="T44" s="10"/>
      <c r="U44" s="1587" t="s">
        <v>204</v>
      </c>
      <c r="V44" s="1273" t="s">
        <v>2635</v>
      </c>
      <c r="W44" s="1273" t="s">
        <v>1478</v>
      </c>
      <c r="X44" s="1273" t="s">
        <v>1207</v>
      </c>
      <c r="Y44" s="1273" t="s">
        <v>2075</v>
      </c>
      <c r="Z44" s="1273" t="s">
        <v>2446</v>
      </c>
      <c r="AA44" s="1273" t="s">
        <v>2074</v>
      </c>
      <c r="AB44" s="1273" t="s">
        <v>2074</v>
      </c>
      <c r="AC44" s="1273" t="s">
        <v>1479</v>
      </c>
      <c r="AD44" s="1273" t="s">
        <v>2772</v>
      </c>
      <c r="AE44" s="1273" t="s">
        <v>1479</v>
      </c>
      <c r="AF44" s="1273" t="s">
        <v>2791</v>
      </c>
      <c r="AG44" s="1273" t="s">
        <v>1207</v>
      </c>
      <c r="AH44" s="10"/>
      <c r="AI44" s="1587" t="s">
        <v>204</v>
      </c>
      <c r="AJ44" s="10"/>
      <c r="AK44" s="1587" t="s">
        <v>204</v>
      </c>
      <c r="AL44" s="1271" t="s">
        <v>1479</v>
      </c>
      <c r="AM44" s="1271" t="s">
        <v>2077</v>
      </c>
      <c r="AN44" s="1271" t="s">
        <v>2792</v>
      </c>
      <c r="AO44" s="1273" t="s">
        <v>2191</v>
      </c>
      <c r="AP44" s="1271" t="s">
        <v>1459</v>
      </c>
      <c r="AQ44" s="1271" t="s">
        <v>1479</v>
      </c>
      <c r="AR44" s="1271" t="s">
        <v>2077</v>
      </c>
      <c r="AS44" s="1271" t="s">
        <v>2627</v>
      </c>
      <c r="AT44" s="1271" t="s">
        <v>2075</v>
      </c>
      <c r="AU44" s="1271" t="s">
        <v>1207</v>
      </c>
      <c r="AV44" s="1271" t="s">
        <v>1207</v>
      </c>
      <c r="AW44" s="1386" t="s">
        <v>2607</v>
      </c>
      <c r="AX44" s="1271" t="s">
        <v>2779</v>
      </c>
      <c r="AY44" s="10"/>
      <c r="AZ44" s="1587" t="s">
        <v>204</v>
      </c>
      <c r="BA44" s="10"/>
      <c r="BB44" s="1587" t="s">
        <v>204</v>
      </c>
      <c r="BC44" s="1271" t="s">
        <v>1479</v>
      </c>
      <c r="BD44" s="1271" t="s">
        <v>2073</v>
      </c>
      <c r="BE44" s="1271" t="s">
        <v>2076</v>
      </c>
      <c r="BF44" s="1589" t="s">
        <v>80</v>
      </c>
      <c r="BG44" s="1271" t="s">
        <v>80</v>
      </c>
      <c r="BH44" s="1271" t="s">
        <v>80</v>
      </c>
      <c r="BI44" s="1271" t="s">
        <v>2829</v>
      </c>
      <c r="BJ44" s="1271" t="s">
        <v>1459</v>
      </c>
      <c r="BK44" s="10"/>
      <c r="BL44" s="1587" t="s">
        <v>204</v>
      </c>
    </row>
    <row r="45" spans="1:64" ht="11.85" customHeight="1">
      <c r="A45" s="1345"/>
      <c r="B45" s="482" t="s">
        <v>205</v>
      </c>
      <c r="C45" s="1272" t="s">
        <v>80</v>
      </c>
      <c r="D45" s="1272" t="s">
        <v>80</v>
      </c>
      <c r="E45" s="1272" t="s">
        <v>80</v>
      </c>
      <c r="F45" s="1272" t="s">
        <v>80</v>
      </c>
      <c r="G45" s="1272" t="s">
        <v>80</v>
      </c>
      <c r="H45" s="1274" t="s">
        <v>2793</v>
      </c>
      <c r="I45" s="1272" t="s">
        <v>80</v>
      </c>
      <c r="J45" s="1272" t="s">
        <v>80</v>
      </c>
      <c r="K45" s="1272" t="s">
        <v>2785</v>
      </c>
      <c r="L45" s="1272" t="s">
        <v>2075</v>
      </c>
      <c r="M45" s="1272" t="s">
        <v>80</v>
      </c>
      <c r="N45" s="1277" t="s">
        <v>2075</v>
      </c>
      <c r="O45" s="1276" t="s">
        <v>80</v>
      </c>
      <c r="P45" s="1276" t="s">
        <v>80</v>
      </c>
      <c r="Q45" s="1276" t="s">
        <v>80</v>
      </c>
      <c r="R45" s="1345"/>
      <c r="S45" s="482" t="s">
        <v>205</v>
      </c>
      <c r="T45" s="1345"/>
      <c r="U45" s="482" t="s">
        <v>205</v>
      </c>
      <c r="V45" s="1274" t="s">
        <v>80</v>
      </c>
      <c r="W45" s="1274" t="s">
        <v>80</v>
      </c>
      <c r="X45" s="1274" t="s">
        <v>80</v>
      </c>
      <c r="Y45" s="1274" t="s">
        <v>80</v>
      </c>
      <c r="Z45" s="1274" t="s">
        <v>80</v>
      </c>
      <c r="AA45" s="1274" t="s">
        <v>80</v>
      </c>
      <c r="AB45" s="1274" t="s">
        <v>80</v>
      </c>
      <c r="AC45" s="1274" t="s">
        <v>80</v>
      </c>
      <c r="AD45" s="1274" t="s">
        <v>80</v>
      </c>
      <c r="AE45" s="1274" t="s">
        <v>80</v>
      </c>
      <c r="AF45" s="1274" t="s">
        <v>80</v>
      </c>
      <c r="AG45" s="1274" t="s">
        <v>2483</v>
      </c>
      <c r="AH45" s="1345"/>
      <c r="AI45" s="482" t="s">
        <v>205</v>
      </c>
      <c r="AJ45" s="1345"/>
      <c r="AK45" s="482" t="s">
        <v>205</v>
      </c>
      <c r="AL45" s="1591" t="s">
        <v>80</v>
      </c>
      <c r="AM45" s="1272" t="s">
        <v>80</v>
      </c>
      <c r="AN45" s="1272" t="s">
        <v>80</v>
      </c>
      <c r="AO45" s="1590" t="s">
        <v>80</v>
      </c>
      <c r="AP45" s="1272" t="s">
        <v>80</v>
      </c>
      <c r="AQ45" s="1272" t="s">
        <v>80</v>
      </c>
      <c r="AR45" s="1272" t="s">
        <v>80</v>
      </c>
      <c r="AS45" s="1591" t="s">
        <v>80</v>
      </c>
      <c r="AT45" s="1272" t="s">
        <v>80</v>
      </c>
      <c r="AU45" s="1272" t="s">
        <v>80</v>
      </c>
      <c r="AV45" s="1272" t="s">
        <v>80</v>
      </c>
      <c r="AW45" s="1272" t="s">
        <v>80</v>
      </c>
      <c r="AX45" s="1272" t="s">
        <v>80</v>
      </c>
      <c r="AY45" s="1345"/>
      <c r="AZ45" s="482" t="s">
        <v>205</v>
      </c>
      <c r="BA45" s="1345"/>
      <c r="BB45" s="482" t="s">
        <v>205</v>
      </c>
      <c r="BC45" s="1272" t="s">
        <v>80</v>
      </c>
      <c r="BD45" s="1272" t="s">
        <v>2073</v>
      </c>
      <c r="BE45" s="1272" t="s">
        <v>80</v>
      </c>
      <c r="BF45" s="1276" t="s">
        <v>80</v>
      </c>
      <c r="BG45" s="1272" t="s">
        <v>80</v>
      </c>
      <c r="BH45" s="1272" t="s">
        <v>80</v>
      </c>
      <c r="BI45" s="1272" t="s">
        <v>80</v>
      </c>
      <c r="BJ45" s="1591" t="s">
        <v>80</v>
      </c>
      <c r="BK45" s="1345"/>
      <c r="BL45" s="482" t="s">
        <v>205</v>
      </c>
    </row>
    <row r="46" spans="1:64" ht="11.85" customHeight="1">
      <c r="A46" s="2118" t="s">
        <v>220</v>
      </c>
      <c r="B46" s="2118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271"/>
      <c r="O46" s="1275"/>
      <c r="P46" s="1275"/>
      <c r="Q46" s="1275"/>
      <c r="R46" s="2118" t="s">
        <v>220</v>
      </c>
      <c r="S46" s="2118"/>
      <c r="T46" s="2118" t="s">
        <v>220</v>
      </c>
      <c r="U46" s="2118"/>
      <c r="V46" s="1273"/>
      <c r="W46" s="1273"/>
      <c r="X46" s="1273"/>
      <c r="Y46" s="1273"/>
      <c r="Z46" s="1273"/>
      <c r="AA46" s="1273"/>
      <c r="AB46" s="1273"/>
      <c r="AC46" s="1273"/>
      <c r="AD46" s="1273"/>
      <c r="AE46" s="1273"/>
      <c r="AF46" s="1273"/>
      <c r="AG46" s="1273"/>
      <c r="AH46" s="2118" t="s">
        <v>220</v>
      </c>
      <c r="AI46" s="2118"/>
      <c r="AJ46" s="2118" t="s">
        <v>220</v>
      </c>
      <c r="AK46" s="2118"/>
      <c r="AL46" s="1271"/>
      <c r="AM46" s="1271"/>
      <c r="AN46" s="1271"/>
      <c r="AO46" s="1271"/>
      <c r="AP46" s="1271"/>
      <c r="AQ46" s="1271"/>
      <c r="AR46" s="1271"/>
      <c r="AS46" s="1271"/>
      <c r="AT46" s="1271"/>
      <c r="AU46" s="1271"/>
      <c r="AV46" s="1271"/>
      <c r="AW46" s="1271"/>
      <c r="AX46" s="1271"/>
      <c r="AY46" s="2118" t="s">
        <v>220</v>
      </c>
      <c r="AZ46" s="2118"/>
      <c r="BA46" s="2118" t="s">
        <v>220</v>
      </c>
      <c r="BB46" s="2118"/>
      <c r="BC46" s="1271"/>
      <c r="BD46" s="1271"/>
      <c r="BE46" s="1271"/>
      <c r="BF46" s="1275"/>
      <c r="BG46" s="1271"/>
      <c r="BH46" s="1271"/>
      <c r="BI46" s="1271"/>
      <c r="BJ46" s="1271"/>
      <c r="BK46" s="2118" t="s">
        <v>220</v>
      </c>
      <c r="BL46" s="2118"/>
    </row>
    <row r="47" spans="1:64" s="1217" customFormat="1" ht="11.85" customHeight="1">
      <c r="A47" s="451"/>
      <c r="B47" s="482" t="s">
        <v>204</v>
      </c>
      <c r="C47" s="1274" t="s">
        <v>80</v>
      </c>
      <c r="D47" s="1277" t="s">
        <v>2794</v>
      </c>
      <c r="E47" s="1277" t="s">
        <v>2503</v>
      </c>
      <c r="F47" s="1274" t="s">
        <v>2494</v>
      </c>
      <c r="G47" s="1274" t="s">
        <v>2190</v>
      </c>
      <c r="H47" s="1274" t="s">
        <v>2793</v>
      </c>
      <c r="I47" s="1272" t="s">
        <v>80</v>
      </c>
      <c r="J47" s="1274" t="s">
        <v>2772</v>
      </c>
      <c r="K47" s="1272" t="s">
        <v>2795</v>
      </c>
      <c r="L47" s="1384" t="s">
        <v>2057</v>
      </c>
      <c r="M47" s="1384" t="s">
        <v>2597</v>
      </c>
      <c r="N47" s="1277" t="s">
        <v>1766</v>
      </c>
      <c r="O47" s="1272" t="s">
        <v>1479</v>
      </c>
      <c r="P47" s="1274" t="s">
        <v>2598</v>
      </c>
      <c r="Q47" s="1272" t="s">
        <v>2789</v>
      </c>
      <c r="R47" s="451"/>
      <c r="S47" s="482" t="s">
        <v>204</v>
      </c>
      <c r="T47" s="451"/>
      <c r="U47" s="482" t="s">
        <v>204</v>
      </c>
      <c r="V47" s="1274" t="s">
        <v>2602</v>
      </c>
      <c r="W47" s="1274" t="s">
        <v>2796</v>
      </c>
      <c r="X47" s="1274" t="s">
        <v>2607</v>
      </c>
      <c r="Y47" s="1274" t="s">
        <v>2074</v>
      </c>
      <c r="Z47" s="1573" t="s">
        <v>1477</v>
      </c>
      <c r="AA47" s="1274" t="s">
        <v>2603</v>
      </c>
      <c r="AB47" s="1274" t="s">
        <v>2191</v>
      </c>
      <c r="AC47" s="1274" t="s">
        <v>2772</v>
      </c>
      <c r="AD47" s="1274" t="s">
        <v>80</v>
      </c>
      <c r="AE47" s="1274" t="s">
        <v>1479</v>
      </c>
      <c r="AF47" s="1274" t="s">
        <v>2785</v>
      </c>
      <c r="AG47" s="1274" t="s">
        <v>2075</v>
      </c>
      <c r="AH47" s="451"/>
      <c r="AI47" s="482" t="s">
        <v>204</v>
      </c>
      <c r="AJ47" s="451"/>
      <c r="AK47" s="482" t="s">
        <v>204</v>
      </c>
      <c r="AL47" s="1272" t="s">
        <v>2607</v>
      </c>
      <c r="AM47" s="1272" t="s">
        <v>1478</v>
      </c>
      <c r="AN47" s="1272" t="s">
        <v>2626</v>
      </c>
      <c r="AO47" s="1272" t="s">
        <v>2628</v>
      </c>
      <c r="AP47" s="1272" t="s">
        <v>2077</v>
      </c>
      <c r="AQ47" s="1272" t="s">
        <v>2629</v>
      </c>
      <c r="AR47" s="1272" t="s">
        <v>1477</v>
      </c>
      <c r="AS47" s="1272" t="s">
        <v>2772</v>
      </c>
      <c r="AT47" s="1272" t="s">
        <v>1478</v>
      </c>
      <c r="AU47" s="1272" t="s">
        <v>1478</v>
      </c>
      <c r="AV47" s="1272" t="s">
        <v>2483</v>
      </c>
      <c r="AW47" s="1379" t="s">
        <v>2630</v>
      </c>
      <c r="AX47" s="1272" t="s">
        <v>2608</v>
      </c>
      <c r="AY47" s="451"/>
      <c r="AZ47" s="482" t="s">
        <v>204</v>
      </c>
      <c r="BA47" s="451"/>
      <c r="BB47" s="482" t="s">
        <v>204</v>
      </c>
      <c r="BC47" s="1272" t="s">
        <v>2496</v>
      </c>
      <c r="BD47" s="1272" t="s">
        <v>2085</v>
      </c>
      <c r="BE47" s="1272" t="s">
        <v>1755</v>
      </c>
      <c r="BF47" s="1272" t="s">
        <v>2537</v>
      </c>
      <c r="BG47" s="1272" t="s">
        <v>2797</v>
      </c>
      <c r="BH47" s="1272" t="s">
        <v>80</v>
      </c>
      <c r="BI47" s="1272" t="s">
        <v>80</v>
      </c>
      <c r="BJ47" s="1272" t="s">
        <v>2830</v>
      </c>
      <c r="BK47" s="451"/>
      <c r="BL47" s="482" t="s">
        <v>204</v>
      </c>
    </row>
    <row r="48" spans="1:64" s="1213" customFormat="1" ht="11.85" customHeight="1" thickBot="1">
      <c r="A48" s="756"/>
      <c r="B48" s="1563" t="s">
        <v>205</v>
      </c>
      <c r="C48" s="1380" t="s">
        <v>2772</v>
      </c>
      <c r="D48" s="1602" t="s">
        <v>80</v>
      </c>
      <c r="E48" s="1603" t="s">
        <v>80</v>
      </c>
      <c r="F48" s="1417" t="s">
        <v>80</v>
      </c>
      <c r="G48" s="1603" t="s">
        <v>80</v>
      </c>
      <c r="H48" s="1603" t="s">
        <v>80</v>
      </c>
      <c r="I48" s="1278" t="s">
        <v>80</v>
      </c>
      <c r="J48" s="1603" t="s">
        <v>80</v>
      </c>
      <c r="K48" s="1380" t="s">
        <v>2793</v>
      </c>
      <c r="L48" s="1604" t="s">
        <v>2599</v>
      </c>
      <c r="M48" s="1278" t="s">
        <v>2853</v>
      </c>
      <c r="N48" s="1605" t="s">
        <v>80</v>
      </c>
      <c r="O48" s="1606" t="s">
        <v>80</v>
      </c>
      <c r="P48" s="1606" t="s">
        <v>80</v>
      </c>
      <c r="Q48" s="1607" t="s">
        <v>80</v>
      </c>
      <c r="R48" s="756"/>
      <c r="S48" s="1563" t="s">
        <v>205</v>
      </c>
      <c r="T48" s="756"/>
      <c r="U48" s="1563" t="s">
        <v>205</v>
      </c>
      <c r="V48" s="1278" t="s">
        <v>80</v>
      </c>
      <c r="W48" s="1278" t="s">
        <v>80</v>
      </c>
      <c r="X48" s="1393" t="s">
        <v>80</v>
      </c>
      <c r="Y48" s="1278" t="s">
        <v>80</v>
      </c>
      <c r="Z48" s="1393" t="s">
        <v>80</v>
      </c>
      <c r="AA48" s="1393" t="s">
        <v>80</v>
      </c>
      <c r="AB48" s="1393" t="s">
        <v>2078</v>
      </c>
      <c r="AC48" s="1393" t="s">
        <v>2604</v>
      </c>
      <c r="AD48" s="1393" t="s">
        <v>80</v>
      </c>
      <c r="AE48" s="1393" t="s">
        <v>80</v>
      </c>
      <c r="AF48" s="1393" t="s">
        <v>80</v>
      </c>
      <c r="AG48" s="1393" t="s">
        <v>1459</v>
      </c>
      <c r="AH48" s="756"/>
      <c r="AI48" s="1563" t="s">
        <v>205</v>
      </c>
      <c r="AJ48" s="756"/>
      <c r="AK48" s="1563" t="s">
        <v>205</v>
      </c>
      <c r="AL48" s="1604" t="s">
        <v>80</v>
      </c>
      <c r="AM48" s="1380" t="s">
        <v>80</v>
      </c>
      <c r="AN48" s="1606" t="s">
        <v>80</v>
      </c>
      <c r="AO48" s="1606" t="s">
        <v>80</v>
      </c>
      <c r="AP48" s="1606" t="s">
        <v>80</v>
      </c>
      <c r="AQ48" s="1606" t="s">
        <v>80</v>
      </c>
      <c r="AR48" s="1606" t="s">
        <v>80</v>
      </c>
      <c r="AS48" s="1606" t="s">
        <v>1459</v>
      </c>
      <c r="AT48" s="1606" t="s">
        <v>80</v>
      </c>
      <c r="AU48" s="1606" t="s">
        <v>80</v>
      </c>
      <c r="AV48" s="1604" t="s">
        <v>80</v>
      </c>
      <c r="AW48" s="1608" t="s">
        <v>1766</v>
      </c>
      <c r="AX48" s="1606" t="s">
        <v>80</v>
      </c>
      <c r="AY48" s="756"/>
      <c r="AZ48" s="1563" t="s">
        <v>205</v>
      </c>
      <c r="BA48" s="756"/>
      <c r="BB48" s="1563" t="s">
        <v>205</v>
      </c>
      <c r="BC48" s="1380" t="s">
        <v>80</v>
      </c>
      <c r="BD48" s="1380" t="s">
        <v>2483</v>
      </c>
      <c r="BE48" s="1380" t="s">
        <v>80</v>
      </c>
      <c r="BF48" s="1606" t="s">
        <v>80</v>
      </c>
      <c r="BG48" s="1606" t="s">
        <v>80</v>
      </c>
      <c r="BH48" s="1380" t="s">
        <v>80</v>
      </c>
      <c r="BI48" s="1380" t="s">
        <v>80</v>
      </c>
      <c r="BJ48" s="1604" t="s">
        <v>80</v>
      </c>
      <c r="BK48" s="756"/>
      <c r="BL48" s="1563" t="s">
        <v>205</v>
      </c>
    </row>
    <row r="49" spans="1:64" ht="10.5" customHeight="1">
      <c r="A49" s="2126" t="s">
        <v>2184</v>
      </c>
      <c r="B49" s="2126"/>
      <c r="C49" s="2126"/>
      <c r="D49" s="2126"/>
      <c r="E49" s="2126"/>
      <c r="F49" s="2126"/>
      <c r="G49" s="2126"/>
      <c r="H49" s="2126"/>
      <c r="I49" s="2126"/>
      <c r="J49" s="2126"/>
      <c r="K49" s="1609"/>
      <c r="L49" s="1609"/>
      <c r="M49" s="1609"/>
      <c r="N49" s="1609"/>
      <c r="O49" s="1609"/>
      <c r="P49" s="1609"/>
      <c r="Q49" s="1609"/>
      <c r="R49" s="1609"/>
      <c r="S49" s="1609"/>
      <c r="T49" s="2120" t="s">
        <v>2184</v>
      </c>
      <c r="U49" s="2120"/>
      <c r="V49" s="2120"/>
      <c r="W49" s="2120"/>
      <c r="X49" s="2120"/>
      <c r="Y49" s="1610"/>
      <c r="Z49" s="1611"/>
      <c r="AA49" s="1611"/>
      <c r="AB49" s="1611"/>
      <c r="AC49" s="1611"/>
      <c r="AD49" s="1611"/>
      <c r="AE49" s="1611"/>
      <c r="AF49" s="1611"/>
      <c r="AG49" s="1611"/>
      <c r="AH49" s="10"/>
      <c r="AI49" s="18"/>
      <c r="AJ49" s="2120" t="s">
        <v>2184</v>
      </c>
      <c r="AK49" s="2120"/>
      <c r="AL49" s="2120"/>
      <c r="AM49" s="2120"/>
      <c r="AN49" s="212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8"/>
      <c r="BA49" s="2120" t="s">
        <v>2798</v>
      </c>
      <c r="BB49" s="2120"/>
      <c r="BC49" s="2120"/>
      <c r="BD49" s="2120"/>
      <c r="BE49" s="2120"/>
      <c r="BF49" s="10"/>
      <c r="BG49" s="10"/>
      <c r="BH49" s="10"/>
      <c r="BI49" s="10"/>
      <c r="BJ49" s="10"/>
      <c r="BK49" s="10"/>
      <c r="BL49" s="18"/>
    </row>
    <row r="50" spans="1:64" ht="9" customHeight="1">
      <c r="A50" s="10"/>
      <c r="B50" s="18" t="s">
        <v>209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8"/>
      <c r="T50" s="10"/>
      <c r="U50" s="18" t="s">
        <v>209</v>
      </c>
      <c r="V50" s="38"/>
      <c r="W50" s="38"/>
      <c r="X50" s="38"/>
      <c r="Y50" s="38"/>
      <c r="Z50" s="10"/>
      <c r="AA50" s="38"/>
      <c r="AB50" s="38"/>
      <c r="AC50" s="38"/>
      <c r="AD50" s="38"/>
      <c r="AE50" s="38"/>
      <c r="AF50" s="38"/>
      <c r="AG50" s="38"/>
      <c r="AH50" s="10"/>
      <c r="AI50" s="18"/>
      <c r="AJ50" s="10"/>
      <c r="AK50" s="18" t="s">
        <v>209</v>
      </c>
      <c r="AL50" s="38"/>
      <c r="AM50" s="38"/>
      <c r="AN50" s="38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8"/>
      <c r="BA50" s="10"/>
      <c r="BB50" s="18" t="s">
        <v>209</v>
      </c>
      <c r="BC50" s="38"/>
      <c r="BD50" s="38"/>
      <c r="BE50" s="38"/>
      <c r="BF50" s="10"/>
      <c r="BG50" s="10"/>
      <c r="BH50" s="10"/>
      <c r="BI50" s="10"/>
      <c r="BJ50" s="10"/>
      <c r="BK50" s="10"/>
      <c r="BL50" s="18"/>
    </row>
  </sheetData>
  <mergeCells count="138">
    <mergeCell ref="AH46:AI46"/>
    <mergeCell ref="BK43:BL43"/>
    <mergeCell ref="AH7:AI7"/>
    <mergeCell ref="BK36:BL36"/>
    <mergeCell ref="AH23:AI23"/>
    <mergeCell ref="AJ37:AK37"/>
    <mergeCell ref="AY40:AZ40"/>
    <mergeCell ref="AY37:AZ37"/>
    <mergeCell ref="BK40:BL40"/>
    <mergeCell ref="BK37:BL37"/>
    <mergeCell ref="AY23:AZ23"/>
    <mergeCell ref="AY29:AZ29"/>
    <mergeCell ref="BK26:BL26"/>
    <mergeCell ref="BK29:BL29"/>
    <mergeCell ref="AH19:AI19"/>
    <mergeCell ref="BK46:BL46"/>
    <mergeCell ref="AJ26:AK26"/>
    <mergeCell ref="AJ29:AK29"/>
    <mergeCell ref="BA29:BB29"/>
    <mergeCell ref="BA40:BB40"/>
    <mergeCell ref="AY6:AZ6"/>
    <mergeCell ref="BA6:BB6"/>
    <mergeCell ref="AJ6:AK6"/>
    <mergeCell ref="BA19:BB19"/>
    <mergeCell ref="BK20:BL20"/>
    <mergeCell ref="BK19:BL19"/>
    <mergeCell ref="BK13:BL13"/>
    <mergeCell ref="BA7:BB7"/>
    <mergeCell ref="AY7:AZ7"/>
    <mergeCell ref="BK7:BL7"/>
    <mergeCell ref="BA13:BB13"/>
    <mergeCell ref="AY13:AZ13"/>
    <mergeCell ref="BK6:BL6"/>
    <mergeCell ref="R6:S6"/>
    <mergeCell ref="T3:U5"/>
    <mergeCell ref="AR1:AW1"/>
    <mergeCell ref="X2:Y2"/>
    <mergeCell ref="AJ7:AK7"/>
    <mergeCell ref="AJ13:AK13"/>
    <mergeCell ref="T7:U7"/>
    <mergeCell ref="T13:U13"/>
    <mergeCell ref="AH40:AI40"/>
    <mergeCell ref="R7:S7"/>
    <mergeCell ref="AJ23:AK23"/>
    <mergeCell ref="AH6:AI6"/>
    <mergeCell ref="T6:U6"/>
    <mergeCell ref="V3:AG3"/>
    <mergeCell ref="R20:S20"/>
    <mergeCell ref="AJ19:AK19"/>
    <mergeCell ref="AJ3:AK5"/>
    <mergeCell ref="AH3:AI5"/>
    <mergeCell ref="AH13:AI13"/>
    <mergeCell ref="R3:S5"/>
    <mergeCell ref="AH37:AI37"/>
    <mergeCell ref="AJ1:AQ1"/>
    <mergeCell ref="AH20:AI20"/>
    <mergeCell ref="R29:S29"/>
    <mergeCell ref="BC1:BF1"/>
    <mergeCell ref="BE2:BF2"/>
    <mergeCell ref="BK3:BL5"/>
    <mergeCell ref="BC3:BJ3"/>
    <mergeCell ref="BG2:BI2"/>
    <mergeCell ref="AY1:AZ1"/>
    <mergeCell ref="BA3:BB5"/>
    <mergeCell ref="AY3:AZ5"/>
    <mergeCell ref="AH1:AI1"/>
    <mergeCell ref="AL3:AX3"/>
    <mergeCell ref="B1:J1"/>
    <mergeCell ref="K2:L2"/>
    <mergeCell ref="A13:B13"/>
    <mergeCell ref="A7:B7"/>
    <mergeCell ref="K1:Q1"/>
    <mergeCell ref="A6:B6"/>
    <mergeCell ref="K3:Q3"/>
    <mergeCell ref="A3:B5"/>
    <mergeCell ref="I3:J3"/>
    <mergeCell ref="C3:H3"/>
    <mergeCell ref="R1:S1"/>
    <mergeCell ref="AB1:AG1"/>
    <mergeCell ref="T1:AA1"/>
    <mergeCell ref="R13:S13"/>
    <mergeCell ref="BK1:BL1"/>
    <mergeCell ref="BG1:BJ1"/>
    <mergeCell ref="A49:J49"/>
    <mergeCell ref="T19:U19"/>
    <mergeCell ref="T26:U26"/>
    <mergeCell ref="T29:U29"/>
    <mergeCell ref="T36:U36"/>
    <mergeCell ref="T43:U43"/>
    <mergeCell ref="T46:U46"/>
    <mergeCell ref="T49:X49"/>
    <mergeCell ref="A36:B36"/>
    <mergeCell ref="A43:B43"/>
    <mergeCell ref="R43:S43"/>
    <mergeCell ref="A46:B46"/>
    <mergeCell ref="R46:S46"/>
    <mergeCell ref="A19:B19"/>
    <mergeCell ref="R19:S19"/>
    <mergeCell ref="A26:B26"/>
    <mergeCell ref="R26:S26"/>
    <mergeCell ref="A29:B29"/>
    <mergeCell ref="AJ49:AN49"/>
    <mergeCell ref="BA49:BE49"/>
    <mergeCell ref="AY46:AZ46"/>
    <mergeCell ref="BA36:BB36"/>
    <mergeCell ref="BA37:BB37"/>
    <mergeCell ref="AJ36:AK36"/>
    <mergeCell ref="AJ43:AK43"/>
    <mergeCell ref="BA43:BB43"/>
    <mergeCell ref="AY43:AZ43"/>
    <mergeCell ref="AJ46:AK46"/>
    <mergeCell ref="AJ40:AK40"/>
    <mergeCell ref="AY36:AZ36"/>
    <mergeCell ref="BA46:BB46"/>
    <mergeCell ref="R36:S36"/>
    <mergeCell ref="AH36:AI36"/>
    <mergeCell ref="AH43:AI43"/>
    <mergeCell ref="AY19:AZ19"/>
    <mergeCell ref="BK23:BL23"/>
    <mergeCell ref="BA26:BB26"/>
    <mergeCell ref="BA20:BB20"/>
    <mergeCell ref="BA23:BB23"/>
    <mergeCell ref="A23:B23"/>
    <mergeCell ref="AJ20:AK20"/>
    <mergeCell ref="AH26:AI26"/>
    <mergeCell ref="AH29:AI29"/>
    <mergeCell ref="AY20:AZ20"/>
    <mergeCell ref="R40:S40"/>
    <mergeCell ref="R37:S37"/>
    <mergeCell ref="T37:U37"/>
    <mergeCell ref="T40:U40"/>
    <mergeCell ref="A40:B40"/>
    <mergeCell ref="A20:B20"/>
    <mergeCell ref="A37:B37"/>
    <mergeCell ref="R23:S23"/>
    <mergeCell ref="T23:U23"/>
    <mergeCell ref="T20:U20"/>
    <mergeCell ref="AY26:AZ26"/>
  </mergeCells>
  <phoneticPr fontId="46" type="noConversion"/>
  <pageMargins left="0.511811023622047" right="0.511811023622047" top="0.511811023622047" bottom="0.511811023622047" header="0" footer="0.43307086614173201"/>
  <pageSetup paperSize="141" firstPageNumber="66" orientation="portrait" useFirstPageNumber="1" r:id="rId1"/>
  <headerFooter>
    <oddFooter>&amp;C&amp;"Times New Roman,Regular"&amp;8&amp;P</oddFooter>
  </headerFooter>
  <ignoredErrors>
    <ignoredError sqref="A6:B35 A49:BP50 A36:B36 R6:U35 A37:B48 AH37:AK48 AH6:AK35 AY37:BB48 BK6:BP35 BK37:BP48 BM36:BP36 R37:U48 AY6:BB3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8"/>
  <dimension ref="A1:P56"/>
  <sheetViews>
    <sheetView zoomScale="120" zoomScaleNormal="120" workbookViewId="0">
      <pane xSplit="3" ySplit="3" topLeftCell="D49" activePane="bottomRight" state="frozen"/>
      <selection pane="topRight" activeCell="D1" sqref="D1"/>
      <selection pane="bottomLeft" activeCell="A4" sqref="A4"/>
      <selection pane="bottomRight" activeCell="J60" sqref="J60"/>
    </sheetView>
  </sheetViews>
  <sheetFormatPr defaultColWidth="9.140625" defaultRowHeight="12.75"/>
  <cols>
    <col min="1" max="1" width="1.85546875" style="2" customWidth="1"/>
    <col min="2" max="2" width="2.5703125" style="2" customWidth="1"/>
    <col min="3" max="3" width="27.140625" style="2" customWidth="1"/>
    <col min="4" max="4" width="6.5703125" style="2" customWidth="1"/>
    <col min="5" max="5" width="5.5703125" style="2" customWidth="1"/>
    <col min="6" max="6" width="5.140625" style="2" customWidth="1"/>
    <col min="7" max="7" width="5.5703125" style="2" customWidth="1"/>
    <col min="8" max="8" width="6.85546875" style="2" customWidth="1"/>
    <col min="9" max="9" width="5.28515625" style="2" customWidth="1"/>
    <col min="10" max="10" width="6" style="2" customWidth="1"/>
    <col min="11" max="11" width="5.85546875" style="2" customWidth="1"/>
    <col min="12" max="12" width="7.5703125" style="2" customWidth="1"/>
    <col min="13" max="16384" width="9.140625" style="2"/>
  </cols>
  <sheetData>
    <row r="1" spans="1:16" s="23" customFormat="1" ht="15" customHeight="1">
      <c r="B1" s="2150" t="s">
        <v>2552</v>
      </c>
      <c r="C1" s="2150"/>
      <c r="D1" s="2150"/>
      <c r="E1" s="2150"/>
      <c r="F1" s="2150"/>
      <c r="G1" s="2150"/>
      <c r="H1" s="2150"/>
      <c r="I1" s="2150"/>
      <c r="J1" s="2150"/>
      <c r="K1" s="2150" t="s">
        <v>1859</v>
      </c>
      <c r="L1" s="2150"/>
    </row>
    <row r="2" spans="1:16" s="5" customFormat="1" ht="11.25" customHeight="1">
      <c r="B2" s="165"/>
      <c r="C2" s="165"/>
      <c r="D2" s="165"/>
      <c r="E2" s="165"/>
      <c r="F2" s="165"/>
      <c r="G2" s="165"/>
      <c r="H2" s="192"/>
      <c r="I2" s="192"/>
      <c r="J2" s="2013" t="s">
        <v>791</v>
      </c>
      <c r="K2" s="2013"/>
      <c r="L2" s="2013"/>
    </row>
    <row r="3" spans="1:16" s="589" customFormat="1" ht="60" customHeight="1">
      <c r="A3" s="1728" t="s">
        <v>857</v>
      </c>
      <c r="B3" s="1728"/>
      <c r="C3" s="1728"/>
      <c r="D3" s="1290" t="s">
        <v>2406</v>
      </c>
      <c r="E3" s="1161" t="s">
        <v>2298</v>
      </c>
      <c r="F3" s="1161" t="s">
        <v>126</v>
      </c>
      <c r="G3" s="1290" t="s">
        <v>2407</v>
      </c>
      <c r="H3" s="1290" t="s">
        <v>2408</v>
      </c>
      <c r="I3" s="1290" t="s">
        <v>2409</v>
      </c>
      <c r="J3" s="1290" t="s">
        <v>2410</v>
      </c>
      <c r="K3" s="1290" t="s">
        <v>2411</v>
      </c>
      <c r="L3" s="1289" t="s">
        <v>2412</v>
      </c>
      <c r="P3" s="263"/>
    </row>
    <row r="4" spans="1:16" s="9" customFormat="1" ht="14.25" customHeight="1">
      <c r="A4" s="164" t="s">
        <v>892</v>
      </c>
      <c r="B4" s="2151" t="s">
        <v>922</v>
      </c>
      <c r="C4" s="2151"/>
      <c r="D4" s="19">
        <v>3.8</v>
      </c>
      <c r="E4" s="19">
        <v>2.69</v>
      </c>
      <c r="F4" s="19">
        <v>3</v>
      </c>
      <c r="G4" s="19">
        <v>4</v>
      </c>
      <c r="H4" s="19">
        <v>3.3300000000000005</v>
      </c>
      <c r="I4" s="19">
        <v>5.36</v>
      </c>
      <c r="J4" s="354">
        <v>3.5</v>
      </c>
      <c r="K4" s="19">
        <v>3.91</v>
      </c>
      <c r="L4" s="36">
        <v>3.27</v>
      </c>
    </row>
    <row r="5" spans="1:16" s="44" customFormat="1" ht="10.5" customHeight="1">
      <c r="A5" s="500" t="s">
        <v>893</v>
      </c>
      <c r="B5" s="2152" t="s">
        <v>923</v>
      </c>
      <c r="C5" s="2152"/>
      <c r="D5" s="480"/>
      <c r="E5" s="480"/>
      <c r="F5" s="480"/>
      <c r="G5" s="503"/>
      <c r="H5" s="503"/>
      <c r="I5" s="503"/>
      <c r="J5" s="480"/>
      <c r="K5" s="480"/>
      <c r="L5" s="457"/>
    </row>
    <row r="6" spans="1:16" s="44" customFormat="1" ht="10.5" customHeight="1">
      <c r="A6" s="164"/>
      <c r="B6" s="172" t="s">
        <v>924</v>
      </c>
      <c r="C6" s="12" t="s">
        <v>925</v>
      </c>
      <c r="D6" s="19">
        <v>6.74</v>
      </c>
      <c r="E6" s="19">
        <v>6.18</v>
      </c>
      <c r="F6" s="173">
        <v>7</v>
      </c>
      <c r="G6" s="19">
        <v>8</v>
      </c>
      <c r="H6" s="19" t="s">
        <v>505</v>
      </c>
      <c r="I6" s="19">
        <v>9.7100000000000009</v>
      </c>
      <c r="J6" s="19">
        <v>5</v>
      </c>
      <c r="K6" s="19">
        <v>5.96</v>
      </c>
      <c r="L6" s="36">
        <v>7.06</v>
      </c>
    </row>
    <row r="7" spans="1:16" s="44" customFormat="1" ht="10.5" customHeight="1">
      <c r="A7" s="500"/>
      <c r="B7" s="502" t="s">
        <v>926</v>
      </c>
      <c r="C7" s="459" t="s">
        <v>927</v>
      </c>
      <c r="D7" s="480">
        <v>6.55</v>
      </c>
      <c r="E7" s="480">
        <v>5.91</v>
      </c>
      <c r="F7" s="503">
        <v>7</v>
      </c>
      <c r="G7" s="480">
        <v>8</v>
      </c>
      <c r="H7" s="480" t="s">
        <v>505</v>
      </c>
      <c r="I7" s="480">
        <v>7.6</v>
      </c>
      <c r="J7" s="480">
        <v>5</v>
      </c>
      <c r="K7" s="480">
        <v>5.96</v>
      </c>
      <c r="L7" s="448">
        <v>7.06</v>
      </c>
    </row>
    <row r="8" spans="1:16" s="44" customFormat="1" ht="10.5" customHeight="1">
      <c r="A8" s="164"/>
      <c r="B8" s="172" t="s">
        <v>928</v>
      </c>
      <c r="C8" s="12" t="s">
        <v>108</v>
      </c>
      <c r="D8" s="19">
        <v>6.43</v>
      </c>
      <c r="E8" s="19">
        <v>5.37</v>
      </c>
      <c r="F8" s="173">
        <v>7</v>
      </c>
      <c r="G8" s="19">
        <v>7.5</v>
      </c>
      <c r="H8" s="19">
        <v>5.25</v>
      </c>
      <c r="I8" s="19">
        <v>7.41</v>
      </c>
      <c r="J8" s="19">
        <v>5</v>
      </c>
      <c r="K8" s="19">
        <v>5.96</v>
      </c>
      <c r="L8" s="36">
        <v>7.38</v>
      </c>
    </row>
    <row r="9" spans="1:16" s="44" customFormat="1" ht="10.5" customHeight="1">
      <c r="A9" s="500"/>
      <c r="B9" s="502" t="s">
        <v>929</v>
      </c>
      <c r="C9" s="459" t="s">
        <v>930</v>
      </c>
      <c r="D9" s="480">
        <v>6.31</v>
      </c>
      <c r="E9" s="480">
        <v>5.1100000000000003</v>
      </c>
      <c r="F9" s="503">
        <v>6.75</v>
      </c>
      <c r="G9" s="480">
        <v>7</v>
      </c>
      <c r="H9" s="480">
        <v>5.25</v>
      </c>
      <c r="I9" s="480">
        <v>7.53</v>
      </c>
      <c r="J9" s="480">
        <v>5</v>
      </c>
      <c r="K9" s="480">
        <v>5.71</v>
      </c>
      <c r="L9" s="448">
        <v>7.07</v>
      </c>
    </row>
    <row r="10" spans="1:16" s="44" customFormat="1" ht="10.5" customHeight="1">
      <c r="A10" s="164"/>
      <c r="B10" s="172" t="s">
        <v>931</v>
      </c>
      <c r="C10" s="12" t="s">
        <v>932</v>
      </c>
      <c r="D10" s="19">
        <v>6.13</v>
      </c>
      <c r="E10" s="19">
        <v>4.84</v>
      </c>
      <c r="F10" s="19">
        <v>6.5</v>
      </c>
      <c r="G10" s="19">
        <v>6.5</v>
      </c>
      <c r="H10" s="19">
        <v>5.18</v>
      </c>
      <c r="I10" s="19">
        <v>7.16</v>
      </c>
      <c r="J10" s="19">
        <v>4.75</v>
      </c>
      <c r="K10" s="19">
        <v>5.46</v>
      </c>
      <c r="L10" s="36">
        <v>6.82</v>
      </c>
    </row>
    <row r="11" spans="1:16" s="44" customFormat="1" ht="10.5" customHeight="1">
      <c r="A11" s="500"/>
      <c r="B11" s="502" t="s">
        <v>540</v>
      </c>
      <c r="C11" s="459" t="s">
        <v>107</v>
      </c>
      <c r="D11" s="480">
        <v>5.0199999999999996</v>
      </c>
      <c r="E11" s="480">
        <v>2.69</v>
      </c>
      <c r="F11" s="480">
        <v>3</v>
      </c>
      <c r="G11" s="480">
        <v>5</v>
      </c>
      <c r="H11" s="480">
        <v>2.96</v>
      </c>
      <c r="I11" s="480">
        <v>5.93</v>
      </c>
      <c r="J11" s="480">
        <v>4</v>
      </c>
      <c r="K11" s="480">
        <v>5.15</v>
      </c>
      <c r="L11" s="448">
        <v>3.08</v>
      </c>
    </row>
    <row r="12" spans="1:16" s="245" customFormat="1" ht="10.5" customHeight="1">
      <c r="A12" s="244" t="s">
        <v>894</v>
      </c>
      <c r="B12" s="2154" t="s">
        <v>933</v>
      </c>
      <c r="C12" s="2154"/>
      <c r="D12" s="535"/>
      <c r="E12" s="535"/>
      <c r="F12" s="535">
        <v>4.5</v>
      </c>
      <c r="G12" s="535"/>
      <c r="H12" s="535"/>
      <c r="I12" s="535"/>
      <c r="J12" s="535"/>
      <c r="K12" s="535"/>
      <c r="L12" s="24"/>
    </row>
    <row r="13" spans="1:16" s="44" customFormat="1" ht="10.5" customHeight="1">
      <c r="A13" s="499"/>
      <c r="B13" s="502" t="s">
        <v>924</v>
      </c>
      <c r="C13" s="459" t="s">
        <v>934</v>
      </c>
      <c r="D13" s="480" t="s">
        <v>505</v>
      </c>
      <c r="E13" s="480">
        <v>6.18</v>
      </c>
      <c r="F13" s="480" t="s">
        <v>505</v>
      </c>
      <c r="G13" s="503" t="s">
        <v>505</v>
      </c>
      <c r="H13" s="503" t="s">
        <v>505</v>
      </c>
      <c r="I13" s="503">
        <v>9.77</v>
      </c>
      <c r="J13" s="503">
        <v>1.75</v>
      </c>
      <c r="K13" s="503">
        <v>8.44</v>
      </c>
      <c r="L13" s="448" t="s">
        <v>505</v>
      </c>
    </row>
    <row r="14" spans="1:16" s="44" customFormat="1" ht="10.5" customHeight="1">
      <c r="A14" s="56"/>
      <c r="B14" s="172" t="s">
        <v>926</v>
      </c>
      <c r="C14" s="12" t="s">
        <v>935</v>
      </c>
      <c r="D14" s="19" t="s">
        <v>505</v>
      </c>
      <c r="E14" s="19">
        <v>6.18</v>
      </c>
      <c r="F14" s="19" t="s">
        <v>505</v>
      </c>
      <c r="G14" s="19" t="s">
        <v>505</v>
      </c>
      <c r="H14" s="19" t="s">
        <v>505</v>
      </c>
      <c r="I14" s="19" t="s">
        <v>505</v>
      </c>
      <c r="J14" s="173" t="s">
        <v>505</v>
      </c>
      <c r="K14" s="173" t="s">
        <v>505</v>
      </c>
      <c r="L14" s="36" t="s">
        <v>505</v>
      </c>
    </row>
    <row r="15" spans="1:16" s="44" customFormat="1" ht="10.5" customHeight="1">
      <c r="A15" s="499"/>
      <c r="B15" s="459" t="s">
        <v>928</v>
      </c>
      <c r="C15" s="459" t="s">
        <v>304</v>
      </c>
      <c r="D15" s="480" t="s">
        <v>505</v>
      </c>
      <c r="E15" s="480">
        <v>6.18</v>
      </c>
      <c r="F15" s="480" t="s">
        <v>505</v>
      </c>
      <c r="G15" s="503" t="s">
        <v>505</v>
      </c>
      <c r="H15" s="480" t="s">
        <v>505</v>
      </c>
      <c r="I15" s="503" t="s">
        <v>505</v>
      </c>
      <c r="J15" s="503" t="s">
        <v>505</v>
      </c>
      <c r="K15" s="503" t="s">
        <v>505</v>
      </c>
      <c r="L15" s="448">
        <v>3.89</v>
      </c>
    </row>
    <row r="16" spans="1:16" s="44" customFormat="1" ht="10.5" customHeight="1">
      <c r="A16" s="56"/>
      <c r="B16" s="1993" t="s">
        <v>1457</v>
      </c>
      <c r="C16" s="1993"/>
      <c r="D16" s="19" t="s">
        <v>505</v>
      </c>
      <c r="E16" s="19"/>
      <c r="F16" s="19" t="s">
        <v>505</v>
      </c>
      <c r="G16" s="173" t="s">
        <v>505</v>
      </c>
      <c r="H16" s="19" t="s">
        <v>505</v>
      </c>
      <c r="I16" s="19" t="s">
        <v>505</v>
      </c>
      <c r="J16" s="173" t="s">
        <v>505</v>
      </c>
      <c r="K16" s="173"/>
      <c r="L16" s="38" t="s">
        <v>505</v>
      </c>
    </row>
    <row r="17" spans="1:12" s="44" customFormat="1" ht="10.5" customHeight="1">
      <c r="A17" s="499"/>
      <c r="B17" s="460" t="s">
        <v>541</v>
      </c>
      <c r="C17" s="459" t="s">
        <v>925</v>
      </c>
      <c r="D17" s="480" t="s">
        <v>505</v>
      </c>
      <c r="E17" s="480">
        <v>6.18</v>
      </c>
      <c r="F17" s="480" t="s">
        <v>505</v>
      </c>
      <c r="G17" s="503" t="s">
        <v>505</v>
      </c>
      <c r="H17" s="503" t="s">
        <v>505</v>
      </c>
      <c r="I17" s="503" t="s">
        <v>505</v>
      </c>
      <c r="J17" s="503" t="s">
        <v>505</v>
      </c>
      <c r="K17" s="503" t="s">
        <v>505</v>
      </c>
      <c r="L17" s="457" t="s">
        <v>505</v>
      </c>
    </row>
    <row r="18" spans="1:12" s="44" customFormat="1" ht="10.5" customHeight="1">
      <c r="A18" s="56"/>
      <c r="B18" s="100" t="s">
        <v>754</v>
      </c>
      <c r="C18" s="12" t="s">
        <v>128</v>
      </c>
      <c r="D18" s="19">
        <v>6.86</v>
      </c>
      <c r="E18" s="19">
        <v>6.18</v>
      </c>
      <c r="F18" s="19" t="s">
        <v>505</v>
      </c>
      <c r="G18" s="173" t="s">
        <v>505</v>
      </c>
      <c r="H18" s="173" t="s">
        <v>505</v>
      </c>
      <c r="I18" s="173" t="s">
        <v>505</v>
      </c>
      <c r="J18" s="173" t="s">
        <v>505</v>
      </c>
      <c r="K18" s="173" t="s">
        <v>505</v>
      </c>
      <c r="L18" s="38" t="s">
        <v>505</v>
      </c>
    </row>
    <row r="19" spans="1:12" s="44" customFormat="1" ht="10.5" customHeight="1">
      <c r="A19" s="499"/>
      <c r="B19" s="460" t="s">
        <v>514</v>
      </c>
      <c r="C19" s="459" t="s">
        <v>129</v>
      </c>
      <c r="D19" s="480">
        <v>7.66</v>
      </c>
      <c r="E19" s="480">
        <v>6.18</v>
      </c>
      <c r="F19" s="480" t="s">
        <v>505</v>
      </c>
      <c r="G19" s="503" t="s">
        <v>505</v>
      </c>
      <c r="H19" s="503" t="s">
        <v>505</v>
      </c>
      <c r="I19" s="503" t="s">
        <v>505</v>
      </c>
      <c r="J19" s="503" t="s">
        <v>505</v>
      </c>
      <c r="K19" s="503" t="s">
        <v>505</v>
      </c>
      <c r="L19" s="457" t="s">
        <v>505</v>
      </c>
    </row>
    <row r="20" spans="1:12" s="44" customFormat="1" ht="10.5" customHeight="1">
      <c r="A20" s="56"/>
      <c r="B20" s="97" t="s">
        <v>622</v>
      </c>
      <c r="C20" s="97" t="s">
        <v>623</v>
      </c>
      <c r="D20" s="19" t="s">
        <v>505</v>
      </c>
      <c r="E20" s="19" t="s">
        <v>505</v>
      </c>
      <c r="F20" s="19" t="s">
        <v>505</v>
      </c>
      <c r="G20" s="173" t="s">
        <v>505</v>
      </c>
      <c r="H20" s="10" t="s">
        <v>505</v>
      </c>
      <c r="I20" s="10" t="s">
        <v>505</v>
      </c>
      <c r="J20" s="173" t="s">
        <v>505</v>
      </c>
      <c r="K20" s="173" t="s">
        <v>505</v>
      </c>
      <c r="L20" s="38" t="s">
        <v>505</v>
      </c>
    </row>
    <row r="21" spans="1:12" s="44" customFormat="1" ht="10.5" customHeight="1">
      <c r="A21" s="499"/>
      <c r="B21" s="460" t="s">
        <v>541</v>
      </c>
      <c r="C21" s="459" t="s">
        <v>130</v>
      </c>
      <c r="D21" s="480" t="s">
        <v>505</v>
      </c>
      <c r="E21" s="480">
        <v>6.18</v>
      </c>
      <c r="F21" s="480">
        <v>8</v>
      </c>
      <c r="G21" s="503">
        <v>10.5</v>
      </c>
      <c r="H21" s="503" t="s">
        <v>505</v>
      </c>
      <c r="I21" s="503">
        <v>11.85</v>
      </c>
      <c r="J21" s="503" t="s">
        <v>505</v>
      </c>
      <c r="K21" s="503" t="s">
        <v>505</v>
      </c>
      <c r="L21" s="448">
        <v>12.21</v>
      </c>
    </row>
    <row r="22" spans="1:12" s="44" customFormat="1" ht="10.5" customHeight="1">
      <c r="A22" s="56"/>
      <c r="B22" s="100" t="s">
        <v>754</v>
      </c>
      <c r="C22" s="12" t="s">
        <v>131</v>
      </c>
      <c r="D22" s="19" t="s">
        <v>505</v>
      </c>
      <c r="E22" s="19">
        <v>6.18</v>
      </c>
      <c r="F22" s="19" t="s">
        <v>505</v>
      </c>
      <c r="G22" s="173" t="s">
        <v>505</v>
      </c>
      <c r="H22" s="173">
        <v>7.02</v>
      </c>
      <c r="I22" s="173" t="s">
        <v>505</v>
      </c>
      <c r="J22" s="173" t="s">
        <v>505</v>
      </c>
      <c r="K22" s="173" t="s">
        <v>505</v>
      </c>
      <c r="L22" s="36">
        <v>12.63</v>
      </c>
    </row>
    <row r="23" spans="1:12" s="44" customFormat="1" ht="10.5" customHeight="1">
      <c r="A23" s="499"/>
      <c r="B23" s="459" t="s">
        <v>624</v>
      </c>
      <c r="C23" s="481" t="s">
        <v>625</v>
      </c>
      <c r="D23" s="480" t="s">
        <v>505</v>
      </c>
      <c r="E23" s="480"/>
      <c r="F23" s="480" t="s">
        <v>505</v>
      </c>
      <c r="G23" s="503" t="s">
        <v>505</v>
      </c>
      <c r="H23" s="503">
        <v>7.39</v>
      </c>
      <c r="I23" s="503" t="s">
        <v>505</v>
      </c>
      <c r="J23" s="503" t="s">
        <v>505</v>
      </c>
      <c r="K23" s="503" t="s">
        <v>505</v>
      </c>
      <c r="L23" s="457" t="s">
        <v>505</v>
      </c>
    </row>
    <row r="24" spans="1:12" s="44" customFormat="1" ht="10.5" customHeight="1">
      <c r="A24" s="56"/>
      <c r="B24" s="100" t="s">
        <v>614</v>
      </c>
      <c r="C24" s="97" t="s">
        <v>613</v>
      </c>
      <c r="D24" s="19" t="s">
        <v>505</v>
      </c>
      <c r="E24" s="19">
        <v>6.18</v>
      </c>
      <c r="F24" s="19">
        <v>8</v>
      </c>
      <c r="G24" s="173" t="s">
        <v>505</v>
      </c>
      <c r="H24" s="173" t="s">
        <v>505</v>
      </c>
      <c r="I24" s="173">
        <v>10.78</v>
      </c>
      <c r="J24" s="173" t="s">
        <v>505</v>
      </c>
      <c r="K24" s="173">
        <v>8.32</v>
      </c>
      <c r="L24" s="36">
        <v>11.07</v>
      </c>
    </row>
    <row r="25" spans="1:12" s="44" customFormat="1" ht="10.5" customHeight="1">
      <c r="A25" s="499"/>
      <c r="B25" s="460" t="s">
        <v>615</v>
      </c>
      <c r="C25" s="481" t="s">
        <v>616</v>
      </c>
      <c r="D25" s="480" t="s">
        <v>505</v>
      </c>
      <c r="E25" s="480">
        <v>6.18</v>
      </c>
      <c r="F25" s="480">
        <v>8</v>
      </c>
      <c r="G25" s="503" t="s">
        <v>505</v>
      </c>
      <c r="H25" s="503">
        <v>7.02</v>
      </c>
      <c r="I25" s="503" t="s">
        <v>505</v>
      </c>
      <c r="J25" s="503" t="s">
        <v>505</v>
      </c>
      <c r="K25" s="503">
        <v>8.3800000000000008</v>
      </c>
      <c r="L25" s="457" t="s">
        <v>505</v>
      </c>
    </row>
    <row r="26" spans="1:12" s="44" customFormat="1" ht="10.5" customHeight="1">
      <c r="A26" s="56"/>
      <c r="B26" s="100" t="s">
        <v>512</v>
      </c>
      <c r="C26" s="97" t="s">
        <v>617</v>
      </c>
      <c r="D26" s="19" t="s">
        <v>505</v>
      </c>
      <c r="E26" s="19">
        <v>6.18</v>
      </c>
      <c r="F26" s="19" t="s">
        <v>505</v>
      </c>
      <c r="G26" s="173" t="s">
        <v>505</v>
      </c>
      <c r="H26" s="173">
        <v>7.17</v>
      </c>
      <c r="I26" s="173" t="s">
        <v>505</v>
      </c>
      <c r="J26" s="173" t="s">
        <v>505</v>
      </c>
      <c r="K26" s="173" t="s">
        <v>505</v>
      </c>
      <c r="L26" s="38" t="s">
        <v>505</v>
      </c>
    </row>
    <row r="27" spans="1:12" s="44" customFormat="1" ht="10.5" customHeight="1">
      <c r="A27" s="499"/>
      <c r="B27" s="460" t="s">
        <v>513</v>
      </c>
      <c r="C27" s="481" t="s">
        <v>618</v>
      </c>
      <c r="D27" s="480" t="s">
        <v>505</v>
      </c>
      <c r="E27" s="480">
        <v>6.18</v>
      </c>
      <c r="F27" s="480" t="s">
        <v>505</v>
      </c>
      <c r="G27" s="503" t="s">
        <v>505</v>
      </c>
      <c r="H27" s="503">
        <v>7.39</v>
      </c>
      <c r="I27" s="503" t="s">
        <v>505</v>
      </c>
      <c r="J27" s="503" t="s">
        <v>505</v>
      </c>
      <c r="K27" s="503" t="s">
        <v>505</v>
      </c>
      <c r="L27" s="457" t="s">
        <v>505</v>
      </c>
    </row>
    <row r="28" spans="1:12" s="44" customFormat="1" ht="10.5" customHeight="1">
      <c r="A28" s="56"/>
      <c r="B28" s="12" t="s">
        <v>611</v>
      </c>
      <c r="C28" s="22" t="s">
        <v>612</v>
      </c>
      <c r="D28" s="19" t="s">
        <v>505</v>
      </c>
      <c r="E28" s="19" t="s">
        <v>505</v>
      </c>
      <c r="F28" s="19" t="s">
        <v>505</v>
      </c>
      <c r="G28" s="173" t="s">
        <v>505</v>
      </c>
      <c r="H28" s="173">
        <v>7.76</v>
      </c>
      <c r="I28" s="173" t="s">
        <v>505</v>
      </c>
      <c r="J28" s="19" t="s">
        <v>505</v>
      </c>
      <c r="K28" s="19" t="s">
        <v>505</v>
      </c>
      <c r="L28" s="38" t="s">
        <v>505</v>
      </c>
    </row>
    <row r="29" spans="1:12" s="338" customFormat="1" ht="10.5" customHeight="1">
      <c r="A29" s="499"/>
      <c r="B29" s="460" t="s">
        <v>614</v>
      </c>
      <c r="C29" s="481" t="s">
        <v>128</v>
      </c>
      <c r="D29" s="480">
        <v>6.74</v>
      </c>
      <c r="E29" s="480">
        <v>6.18</v>
      </c>
      <c r="F29" s="480">
        <v>8</v>
      </c>
      <c r="G29" s="503" t="s">
        <v>505</v>
      </c>
      <c r="H29" s="503" t="s">
        <v>505</v>
      </c>
      <c r="I29" s="503" t="s">
        <v>505</v>
      </c>
      <c r="J29" s="480" t="s">
        <v>505</v>
      </c>
      <c r="K29" s="480">
        <v>8.1300000000000008</v>
      </c>
      <c r="L29" s="448" t="s">
        <v>505</v>
      </c>
    </row>
    <row r="30" spans="1:12" s="338" customFormat="1" ht="10.5" customHeight="1">
      <c r="A30" s="390"/>
      <c r="B30" s="364" t="s">
        <v>511</v>
      </c>
      <c r="C30" s="382" t="s">
        <v>129</v>
      </c>
      <c r="D30" s="20" t="s">
        <v>505</v>
      </c>
      <c r="E30" s="20">
        <v>6.18</v>
      </c>
      <c r="F30" s="20" t="s">
        <v>505</v>
      </c>
      <c r="G30" s="528" t="s">
        <v>505</v>
      </c>
      <c r="H30" s="528">
        <v>6.36</v>
      </c>
      <c r="I30" s="528" t="s">
        <v>505</v>
      </c>
      <c r="J30" s="20" t="s">
        <v>505</v>
      </c>
      <c r="K30" s="20">
        <v>7.95</v>
      </c>
      <c r="L30" s="646" t="s">
        <v>505</v>
      </c>
    </row>
    <row r="31" spans="1:12" s="338" customFormat="1" ht="10.5" customHeight="1">
      <c r="A31" s="499"/>
      <c r="B31" s="460" t="s">
        <v>512</v>
      </c>
      <c r="C31" s="481" t="s">
        <v>619</v>
      </c>
      <c r="D31" s="480">
        <v>7.66</v>
      </c>
      <c r="E31" s="480">
        <v>6.18</v>
      </c>
      <c r="F31" s="480">
        <v>8</v>
      </c>
      <c r="G31" s="503" t="s">
        <v>505</v>
      </c>
      <c r="H31" s="503">
        <v>6.65</v>
      </c>
      <c r="I31" s="503">
        <v>11.01</v>
      </c>
      <c r="J31" s="480" t="s">
        <v>505</v>
      </c>
      <c r="K31" s="480">
        <v>7.95</v>
      </c>
      <c r="L31" s="448">
        <v>11.3</v>
      </c>
    </row>
    <row r="32" spans="1:12" s="338" customFormat="1" ht="10.5" customHeight="1">
      <c r="A32" s="390"/>
      <c r="B32" s="364" t="s">
        <v>513</v>
      </c>
      <c r="C32" s="382" t="s">
        <v>613</v>
      </c>
      <c r="D32" s="20" t="s">
        <v>505</v>
      </c>
      <c r="E32" s="20">
        <v>6.18</v>
      </c>
      <c r="F32" s="20" t="s">
        <v>505</v>
      </c>
      <c r="G32" s="528" t="s">
        <v>505</v>
      </c>
      <c r="H32" s="528">
        <v>6.88</v>
      </c>
      <c r="I32" s="528" t="s">
        <v>505</v>
      </c>
      <c r="J32" s="20" t="s">
        <v>505</v>
      </c>
      <c r="K32" s="20">
        <v>7.88</v>
      </c>
      <c r="L32" s="646" t="s">
        <v>505</v>
      </c>
    </row>
    <row r="33" spans="1:12" s="338" customFormat="1" ht="10.5" customHeight="1">
      <c r="A33" s="499"/>
      <c r="B33" s="502" t="s">
        <v>621</v>
      </c>
      <c r="C33" s="481" t="s">
        <v>1201</v>
      </c>
      <c r="D33" s="480">
        <v>3.8</v>
      </c>
      <c r="E33" s="480" t="s">
        <v>505</v>
      </c>
      <c r="F33" s="480">
        <v>8</v>
      </c>
      <c r="G33" s="480">
        <v>5</v>
      </c>
      <c r="H33" s="480" t="s">
        <v>505</v>
      </c>
      <c r="I33" s="503" t="s">
        <v>505</v>
      </c>
      <c r="J33" s="480" t="s">
        <v>505</v>
      </c>
      <c r="K33" s="480">
        <v>7.08</v>
      </c>
      <c r="L33" s="457">
        <v>10.75</v>
      </c>
    </row>
    <row r="34" spans="1:12" s="338" customFormat="1" ht="10.5" customHeight="1">
      <c r="A34" s="390"/>
      <c r="B34" s="362" t="s">
        <v>541</v>
      </c>
      <c r="C34" s="362" t="s">
        <v>132</v>
      </c>
      <c r="D34" s="20" t="s">
        <v>505</v>
      </c>
      <c r="E34" s="20" t="s">
        <v>505</v>
      </c>
      <c r="F34" s="20" t="s">
        <v>505</v>
      </c>
      <c r="G34" s="20" t="s">
        <v>505</v>
      </c>
      <c r="H34" s="20" t="s">
        <v>505</v>
      </c>
      <c r="I34" s="20" t="s">
        <v>505</v>
      </c>
      <c r="J34" s="20"/>
      <c r="K34" s="20" t="s">
        <v>505</v>
      </c>
      <c r="L34" s="264" t="s">
        <v>505</v>
      </c>
    </row>
    <row r="35" spans="1:12" s="338" customFormat="1" ht="10.5" customHeight="1">
      <c r="A35" s="499"/>
      <c r="B35" s="459" t="s">
        <v>542</v>
      </c>
      <c r="C35" s="459" t="s">
        <v>133</v>
      </c>
      <c r="D35" s="480" t="s">
        <v>505</v>
      </c>
      <c r="E35" s="480" t="s">
        <v>505</v>
      </c>
      <c r="F35" s="480" t="s">
        <v>505</v>
      </c>
      <c r="G35" s="480">
        <v>6</v>
      </c>
      <c r="H35" s="480" t="s">
        <v>505</v>
      </c>
      <c r="I35" s="480" t="s">
        <v>505</v>
      </c>
      <c r="J35" s="480">
        <v>3.75</v>
      </c>
      <c r="K35" s="480">
        <v>7.64</v>
      </c>
      <c r="L35" s="457" t="s">
        <v>505</v>
      </c>
    </row>
    <row r="36" spans="1:12" s="338" customFormat="1" ht="10.5" customHeight="1">
      <c r="A36" s="390"/>
      <c r="B36" s="362" t="s">
        <v>543</v>
      </c>
      <c r="C36" s="362" t="s">
        <v>134</v>
      </c>
      <c r="D36" s="20" t="s">
        <v>505</v>
      </c>
      <c r="E36" s="20" t="s">
        <v>505</v>
      </c>
      <c r="F36" s="20" t="s">
        <v>505</v>
      </c>
      <c r="G36" s="20" t="s">
        <v>505</v>
      </c>
      <c r="H36" s="20" t="s">
        <v>505</v>
      </c>
      <c r="I36" s="20" t="s">
        <v>505</v>
      </c>
      <c r="J36" s="20" t="s">
        <v>505</v>
      </c>
      <c r="K36" s="20">
        <v>7.26</v>
      </c>
      <c r="L36" s="264" t="s">
        <v>505</v>
      </c>
    </row>
    <row r="37" spans="1:12" s="338" customFormat="1" ht="10.5" customHeight="1">
      <c r="A37" s="499"/>
      <c r="B37" s="459" t="s">
        <v>544</v>
      </c>
      <c r="C37" s="459" t="s">
        <v>135</v>
      </c>
      <c r="D37" s="480" t="s">
        <v>505</v>
      </c>
      <c r="E37" s="480" t="s">
        <v>505</v>
      </c>
      <c r="F37" s="480" t="s">
        <v>505</v>
      </c>
      <c r="G37" s="480" t="s">
        <v>505</v>
      </c>
      <c r="H37" s="480" t="s">
        <v>505</v>
      </c>
      <c r="I37" s="480" t="s">
        <v>505</v>
      </c>
      <c r="J37" s="480" t="s">
        <v>505</v>
      </c>
      <c r="K37" s="480" t="s">
        <v>505</v>
      </c>
      <c r="L37" s="457" t="s">
        <v>505</v>
      </c>
    </row>
    <row r="38" spans="1:12" s="338" customFormat="1" ht="10.5" customHeight="1">
      <c r="A38" s="390"/>
      <c r="B38" s="362" t="s">
        <v>545</v>
      </c>
      <c r="C38" s="362" t="s">
        <v>136</v>
      </c>
      <c r="D38" s="20" t="s">
        <v>505</v>
      </c>
      <c r="E38" s="20">
        <v>6.18</v>
      </c>
      <c r="F38" s="20">
        <v>8</v>
      </c>
      <c r="G38" s="20" t="s">
        <v>505</v>
      </c>
      <c r="H38" s="20" t="s">
        <v>505</v>
      </c>
      <c r="I38" s="20">
        <v>9.93</v>
      </c>
      <c r="J38" s="20" t="s">
        <v>505</v>
      </c>
      <c r="K38" s="20">
        <v>8.51</v>
      </c>
      <c r="L38" s="264" t="s">
        <v>505</v>
      </c>
    </row>
    <row r="39" spans="1:12" s="338" customFormat="1" ht="10.5" customHeight="1">
      <c r="A39" s="499"/>
      <c r="B39" s="459" t="s">
        <v>546</v>
      </c>
      <c r="C39" s="459" t="s">
        <v>137</v>
      </c>
      <c r="D39" s="480" t="s">
        <v>505</v>
      </c>
      <c r="E39" s="480" t="s">
        <v>505</v>
      </c>
      <c r="F39" s="480"/>
      <c r="G39" s="480">
        <v>5</v>
      </c>
      <c r="H39" s="480" t="s">
        <v>505</v>
      </c>
      <c r="I39" s="480" t="s">
        <v>505</v>
      </c>
      <c r="J39" s="480" t="s">
        <v>505</v>
      </c>
      <c r="K39" s="480" t="s">
        <v>505</v>
      </c>
      <c r="L39" s="457" t="s">
        <v>505</v>
      </c>
    </row>
    <row r="40" spans="1:12" s="338" customFormat="1" ht="10.5" customHeight="1">
      <c r="A40" s="390"/>
      <c r="B40" s="362" t="s">
        <v>547</v>
      </c>
      <c r="C40" s="362" t="s">
        <v>138</v>
      </c>
      <c r="D40" s="20" t="s">
        <v>505</v>
      </c>
      <c r="E40" s="20" t="s">
        <v>505</v>
      </c>
      <c r="F40" s="20">
        <v>8</v>
      </c>
      <c r="G40" s="20">
        <v>9</v>
      </c>
      <c r="H40" s="20" t="s">
        <v>505</v>
      </c>
      <c r="I40" s="20" t="s">
        <v>505</v>
      </c>
      <c r="J40" s="20" t="s">
        <v>505</v>
      </c>
      <c r="K40" s="20">
        <v>8.32</v>
      </c>
      <c r="L40" s="264" t="s">
        <v>505</v>
      </c>
    </row>
    <row r="41" spans="1:12" s="338" customFormat="1" ht="10.5" customHeight="1">
      <c r="A41" s="499"/>
      <c r="B41" s="459" t="s">
        <v>548</v>
      </c>
      <c r="C41" s="459" t="s">
        <v>139</v>
      </c>
      <c r="D41" s="480" t="s">
        <v>505</v>
      </c>
      <c r="E41" s="480" t="s">
        <v>505</v>
      </c>
      <c r="F41" s="480">
        <v>5.5</v>
      </c>
      <c r="G41" s="480">
        <v>9</v>
      </c>
      <c r="H41" s="480">
        <v>6.29</v>
      </c>
      <c r="I41" s="480"/>
      <c r="J41" s="480">
        <v>4</v>
      </c>
      <c r="K41" s="480" t="s">
        <v>505</v>
      </c>
      <c r="L41" s="457" t="s">
        <v>505</v>
      </c>
    </row>
    <row r="42" spans="1:12" s="338" customFormat="1" ht="10.5" customHeight="1">
      <c r="A42" s="390"/>
      <c r="B42" s="362" t="s">
        <v>732</v>
      </c>
      <c r="C42" s="362" t="s">
        <v>733</v>
      </c>
      <c r="D42" s="20">
        <v>7.66</v>
      </c>
      <c r="E42" s="20">
        <v>6.18</v>
      </c>
      <c r="F42" s="20">
        <v>8</v>
      </c>
      <c r="G42" s="20" t="s">
        <v>505</v>
      </c>
      <c r="H42" s="20" t="s">
        <v>505</v>
      </c>
      <c r="I42" s="20">
        <v>10.49</v>
      </c>
      <c r="J42" s="20"/>
      <c r="K42" s="20">
        <v>7.95</v>
      </c>
      <c r="L42" s="264" t="s">
        <v>505</v>
      </c>
    </row>
    <row r="43" spans="1:12" s="338" customFormat="1" ht="10.5" customHeight="1">
      <c r="A43" s="499"/>
      <c r="B43" s="459" t="s">
        <v>734</v>
      </c>
      <c r="C43" s="459" t="s">
        <v>736</v>
      </c>
      <c r="D43" s="480">
        <v>6.74</v>
      </c>
      <c r="E43" s="480">
        <v>6.18</v>
      </c>
      <c r="F43" s="480">
        <v>8</v>
      </c>
      <c r="G43" s="480" t="s">
        <v>505</v>
      </c>
      <c r="H43" s="480" t="s">
        <v>505</v>
      </c>
      <c r="I43" s="480">
        <v>9.17</v>
      </c>
      <c r="J43" s="480"/>
      <c r="K43" s="480">
        <v>8.1300000000000008</v>
      </c>
      <c r="L43" s="457" t="s">
        <v>505</v>
      </c>
    </row>
    <row r="44" spans="1:12" s="338" customFormat="1" ht="10.5" customHeight="1">
      <c r="A44" s="390"/>
      <c r="B44" s="647" t="s">
        <v>737</v>
      </c>
      <c r="C44" s="377" t="s">
        <v>1202</v>
      </c>
      <c r="D44" s="528">
        <v>7.23</v>
      </c>
      <c r="E44" s="528">
        <v>6.18</v>
      </c>
      <c r="F44" s="528" t="s">
        <v>505</v>
      </c>
      <c r="G44" s="528" t="s">
        <v>505</v>
      </c>
      <c r="H44" s="528">
        <v>2.96</v>
      </c>
      <c r="I44" s="528" t="s">
        <v>505</v>
      </c>
      <c r="J44" s="528" t="s">
        <v>505</v>
      </c>
      <c r="K44" s="528">
        <v>7.14</v>
      </c>
      <c r="L44" s="264" t="s">
        <v>505</v>
      </c>
    </row>
    <row r="45" spans="1:12" s="338" customFormat="1" ht="10.5" customHeight="1">
      <c r="A45" s="499"/>
      <c r="B45" s="501" t="s">
        <v>738</v>
      </c>
      <c r="C45" s="496" t="s">
        <v>1203</v>
      </c>
      <c r="D45" s="503">
        <v>6.74</v>
      </c>
      <c r="E45" s="503">
        <v>6.18</v>
      </c>
      <c r="F45" s="503">
        <v>8</v>
      </c>
      <c r="G45" s="503">
        <v>7.5</v>
      </c>
      <c r="H45" s="503" t="s">
        <v>505</v>
      </c>
      <c r="I45" s="503">
        <v>10.3</v>
      </c>
      <c r="J45" s="503" t="s">
        <v>505</v>
      </c>
      <c r="K45" s="503">
        <v>7.14</v>
      </c>
      <c r="L45" s="457">
        <v>10.19</v>
      </c>
    </row>
    <row r="46" spans="1:12" s="338" customFormat="1" ht="10.5" customHeight="1">
      <c r="A46" s="390"/>
      <c r="B46" s="527" t="s">
        <v>484</v>
      </c>
      <c r="C46" s="709" t="s">
        <v>485</v>
      </c>
      <c r="D46" s="710" t="s">
        <v>505</v>
      </c>
      <c r="E46" s="710">
        <v>6.18</v>
      </c>
      <c r="F46" s="710">
        <v>8</v>
      </c>
      <c r="G46" s="710" t="s">
        <v>505</v>
      </c>
      <c r="H46" s="710" t="s">
        <v>505</v>
      </c>
      <c r="I46" s="710">
        <v>9.9600000000000009</v>
      </c>
      <c r="J46" s="710" t="s">
        <v>505</v>
      </c>
      <c r="K46" s="710" t="s">
        <v>505</v>
      </c>
      <c r="L46" s="711">
        <v>10.64</v>
      </c>
    </row>
    <row r="47" spans="1:12" s="403" customFormat="1" ht="10.5" customHeight="1">
      <c r="A47" s="500" t="s">
        <v>895</v>
      </c>
      <c r="B47" s="2152" t="s">
        <v>81</v>
      </c>
      <c r="C47" s="2152"/>
      <c r="D47" s="480" t="s">
        <v>505</v>
      </c>
      <c r="E47" s="480">
        <v>2.69</v>
      </c>
      <c r="F47" s="480" t="s">
        <v>505</v>
      </c>
      <c r="G47" s="480">
        <v>4</v>
      </c>
      <c r="H47" s="480">
        <v>6.1400000000000006</v>
      </c>
      <c r="I47" s="480">
        <v>4.03</v>
      </c>
      <c r="J47" s="480">
        <v>3.5</v>
      </c>
      <c r="K47" s="480">
        <v>3.85</v>
      </c>
      <c r="L47" s="448" t="s">
        <v>505</v>
      </c>
    </row>
    <row r="48" spans="1:12" s="338" customFormat="1" ht="10.5" customHeight="1">
      <c r="A48" s="648" t="s">
        <v>896</v>
      </c>
      <c r="B48" s="2153" t="s">
        <v>82</v>
      </c>
      <c r="C48" s="2153"/>
      <c r="D48" s="20" t="s">
        <v>505</v>
      </c>
      <c r="E48" s="20" t="s">
        <v>505</v>
      </c>
      <c r="F48" s="20" t="s">
        <v>505</v>
      </c>
      <c r="G48" s="20" t="s">
        <v>505</v>
      </c>
      <c r="H48" s="20">
        <v>7.39</v>
      </c>
      <c r="I48" s="20" t="s">
        <v>505</v>
      </c>
      <c r="J48" s="20" t="s">
        <v>505</v>
      </c>
      <c r="K48" s="20" t="s">
        <v>505</v>
      </c>
      <c r="L48" s="264" t="s">
        <v>505</v>
      </c>
    </row>
    <row r="49" spans="1:12" s="338" customFormat="1" ht="10.5" customHeight="1">
      <c r="A49" s="499"/>
      <c r="B49" s="459" t="s">
        <v>924</v>
      </c>
      <c r="C49" s="459" t="s">
        <v>305</v>
      </c>
      <c r="D49" s="480" t="s">
        <v>505</v>
      </c>
      <c r="E49" s="480" t="s">
        <v>505</v>
      </c>
      <c r="F49" s="503" t="s">
        <v>505</v>
      </c>
      <c r="G49" s="480" t="s">
        <v>505</v>
      </c>
      <c r="H49" s="480" t="s">
        <v>505</v>
      </c>
      <c r="I49" s="480" t="s">
        <v>505</v>
      </c>
      <c r="J49" s="480" t="s">
        <v>505</v>
      </c>
      <c r="K49" s="480" t="s">
        <v>505</v>
      </c>
      <c r="L49" s="457" t="s">
        <v>505</v>
      </c>
    </row>
    <row r="50" spans="1:12" s="338" customFormat="1" ht="10.5" customHeight="1">
      <c r="A50" s="390"/>
      <c r="B50" s="362"/>
      <c r="C50" s="362" t="s">
        <v>628</v>
      </c>
      <c r="D50" s="20">
        <v>7.66</v>
      </c>
      <c r="E50" s="20">
        <v>6.18</v>
      </c>
      <c r="F50" s="528" t="s">
        <v>505</v>
      </c>
      <c r="G50" s="20">
        <v>9</v>
      </c>
      <c r="H50" s="20" t="s">
        <v>505</v>
      </c>
      <c r="I50" s="20">
        <v>9.2799999999999994</v>
      </c>
      <c r="J50" s="20" t="s">
        <v>505</v>
      </c>
      <c r="K50" s="20" t="s">
        <v>505</v>
      </c>
      <c r="L50" s="264">
        <v>11.26</v>
      </c>
    </row>
    <row r="51" spans="1:12" s="338" customFormat="1" ht="10.5" customHeight="1">
      <c r="A51" s="499"/>
      <c r="B51" s="459"/>
      <c r="C51" s="459" t="s">
        <v>626</v>
      </c>
      <c r="D51" s="480">
        <v>7.96</v>
      </c>
      <c r="E51" s="480">
        <v>6.18</v>
      </c>
      <c r="F51" s="503" t="s">
        <v>505</v>
      </c>
      <c r="G51" s="480" t="s">
        <v>505</v>
      </c>
      <c r="H51" s="480">
        <v>7.02</v>
      </c>
      <c r="I51" s="480">
        <v>9.6199999999999992</v>
      </c>
      <c r="J51" s="480" t="s">
        <v>505</v>
      </c>
      <c r="K51" s="480" t="s">
        <v>505</v>
      </c>
      <c r="L51" s="457"/>
    </row>
    <row r="52" spans="1:12" s="338" customFormat="1" ht="10.5" customHeight="1">
      <c r="A52" s="390"/>
      <c r="B52" s="362"/>
      <c r="C52" s="362" t="s">
        <v>627</v>
      </c>
      <c r="D52" s="20" t="s">
        <v>505</v>
      </c>
      <c r="E52" s="20">
        <v>6.18</v>
      </c>
      <c r="F52" s="528" t="s">
        <v>505</v>
      </c>
      <c r="G52" s="20" t="s">
        <v>505</v>
      </c>
      <c r="H52" s="20" t="s">
        <v>505</v>
      </c>
      <c r="I52" s="20" t="s">
        <v>505</v>
      </c>
      <c r="J52" s="20" t="s">
        <v>505</v>
      </c>
      <c r="K52" s="20" t="s">
        <v>505</v>
      </c>
      <c r="L52" s="264" t="s">
        <v>505</v>
      </c>
    </row>
    <row r="53" spans="1:12" s="338" customFormat="1" ht="10.5" customHeight="1">
      <c r="A53" s="499"/>
      <c r="B53" s="502" t="s">
        <v>926</v>
      </c>
      <c r="C53" s="459" t="s">
        <v>629</v>
      </c>
      <c r="D53" s="480" t="s">
        <v>505</v>
      </c>
      <c r="E53" s="480">
        <v>6.18</v>
      </c>
      <c r="F53" s="480">
        <v>8.25</v>
      </c>
      <c r="G53" s="480" t="s">
        <v>505</v>
      </c>
      <c r="H53" s="480" t="s">
        <v>505</v>
      </c>
      <c r="I53" s="480">
        <v>9.34</v>
      </c>
      <c r="J53" s="480" t="s">
        <v>505</v>
      </c>
      <c r="K53" s="480">
        <v>6.83</v>
      </c>
      <c r="L53" s="457" t="s">
        <v>505</v>
      </c>
    </row>
    <row r="54" spans="1:12" s="712" customFormat="1" ht="15" customHeight="1" thickBot="1">
      <c r="A54" s="707"/>
      <c r="B54" s="692" t="s">
        <v>928</v>
      </c>
      <c r="C54" s="692" t="s">
        <v>83</v>
      </c>
      <c r="D54" s="708">
        <v>8.27</v>
      </c>
      <c r="E54" s="708">
        <v>6.18</v>
      </c>
      <c r="F54" s="708">
        <v>8.25</v>
      </c>
      <c r="G54" s="708" t="s">
        <v>505</v>
      </c>
      <c r="H54" s="708" t="s">
        <v>505</v>
      </c>
      <c r="I54" s="708" t="s">
        <v>505</v>
      </c>
      <c r="J54" s="708" t="s">
        <v>505</v>
      </c>
      <c r="K54" s="708">
        <v>7.39</v>
      </c>
      <c r="L54" s="684" t="s">
        <v>505</v>
      </c>
    </row>
    <row r="55" spans="1:12" s="44" customFormat="1" ht="9.75" customHeight="1">
      <c r="A55" s="2019" t="s">
        <v>2185</v>
      </c>
      <c r="B55" s="2038"/>
      <c r="C55" s="2038"/>
      <c r="D55" s="2038"/>
      <c r="E55" s="156"/>
      <c r="F55" s="156"/>
      <c r="G55" s="156"/>
      <c r="H55" s="156"/>
      <c r="I55" s="156"/>
      <c r="J55" s="156"/>
      <c r="K55" s="156"/>
    </row>
    <row r="56" spans="1:12" s="10" customFormat="1" ht="9" customHeight="1">
      <c r="A56" s="11"/>
      <c r="C56" s="78" t="s">
        <v>630</v>
      </c>
      <c r="D56" s="35"/>
      <c r="E56" s="35"/>
      <c r="F56" s="35"/>
      <c r="G56" s="35"/>
      <c r="H56" s="35"/>
      <c r="I56" s="35"/>
      <c r="J56" s="35"/>
      <c r="K56" s="35"/>
    </row>
  </sheetData>
  <mergeCells count="11">
    <mergeCell ref="B16:C16"/>
    <mergeCell ref="B47:C47"/>
    <mergeCell ref="B48:C48"/>
    <mergeCell ref="A55:D55"/>
    <mergeCell ref="B1:J1"/>
    <mergeCell ref="B12:C12"/>
    <mergeCell ref="K1:L1"/>
    <mergeCell ref="J2:L2"/>
    <mergeCell ref="A3:C3"/>
    <mergeCell ref="B4:C4"/>
    <mergeCell ref="B5:C5"/>
  </mergeCells>
  <pageMargins left="0.31496062992126" right="0.31496062992126" top="0.35433070866141703" bottom="0.15748031496063" header="0" footer="0.39370078740157499"/>
  <pageSetup paperSize="141" firstPageNumber="74" orientation="portrait" useFirstPageNumber="1" r:id="rId1"/>
  <headerFooter>
    <oddFooter>&amp;C&amp;"Times New Roman,Regular"&amp;8&amp;P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1"/>
  <dimension ref="A1:AM76"/>
  <sheetViews>
    <sheetView zoomScale="130" zoomScaleNormal="130" workbookViewId="0">
      <pane xSplit="1" ySplit="5" topLeftCell="B43" activePane="bottomRight" state="frozen"/>
      <selection pane="topRight" activeCell="B1" sqref="B1"/>
      <selection pane="bottomLeft" activeCell="A6" sqref="A6"/>
      <selection pane="bottomRight" activeCell="M56" sqref="M56"/>
    </sheetView>
  </sheetViews>
  <sheetFormatPr defaultColWidth="9.140625" defaultRowHeight="11.25"/>
  <cols>
    <col min="1" max="1" width="7.7109375" style="23" customWidth="1"/>
    <col min="2" max="2" width="5.7109375" style="10" customWidth="1"/>
    <col min="3" max="3" width="6.28515625" style="10" customWidth="1"/>
    <col min="4" max="4" width="5.28515625" style="10" customWidth="1"/>
    <col min="5" max="5" width="5.5703125" style="10" customWidth="1"/>
    <col min="6" max="7" width="6" style="10" customWidth="1"/>
    <col min="8" max="8" width="5.85546875" style="10" customWidth="1"/>
    <col min="9" max="9" width="6" style="10" customWidth="1"/>
    <col min="10" max="10" width="5.5703125" style="10" customWidth="1"/>
    <col min="11" max="11" width="6" style="10" customWidth="1"/>
    <col min="12" max="12" width="7.5703125" style="10" customWidth="1"/>
    <col min="13" max="13" width="5.28515625" style="10" customWidth="1"/>
    <col min="14" max="14" width="8" style="23" customWidth="1"/>
    <col min="15" max="15" width="5.42578125" style="10" customWidth="1"/>
    <col min="16" max="16" width="6.140625" style="10" customWidth="1"/>
    <col min="17" max="17" width="5.28515625" style="10" customWidth="1"/>
    <col min="18" max="18" width="5.7109375" style="10" customWidth="1"/>
    <col min="19" max="19" width="6.140625" style="10" customWidth="1"/>
    <col min="20" max="20" width="5.5703125" style="10" customWidth="1"/>
    <col min="21" max="21" width="5.42578125" style="10" customWidth="1"/>
    <col min="22" max="22" width="6.5703125" style="10" customWidth="1"/>
    <col min="23" max="23" width="5.85546875" style="10" customWidth="1"/>
    <col min="24" max="24" width="6" style="10" customWidth="1"/>
    <col min="25" max="25" width="6.42578125" style="10" customWidth="1"/>
    <col min="26" max="26" width="6" style="10" customWidth="1"/>
    <col min="27" max="27" width="7.85546875" style="23" customWidth="1"/>
    <col min="28" max="29" width="6" style="10" customWidth="1"/>
    <col min="30" max="30" width="5.7109375" style="10" customWidth="1"/>
    <col min="31" max="31" width="5.85546875" style="10" customWidth="1"/>
    <col min="32" max="32" width="6.42578125" style="10" customWidth="1"/>
    <col min="33" max="33" width="5.42578125" style="10" customWidth="1"/>
    <col min="34" max="34" width="5.85546875" style="10" customWidth="1"/>
    <col min="35" max="35" width="6.28515625" style="10" customWidth="1"/>
    <col min="36" max="36" width="5.85546875" style="10" customWidth="1"/>
    <col min="37" max="37" width="5.5703125" style="10" customWidth="1"/>
    <col min="38" max="39" width="6" style="10" customWidth="1"/>
    <col min="40" max="16384" width="9.140625" style="10"/>
  </cols>
  <sheetData>
    <row r="1" spans="1:39" s="29" customFormat="1" ht="35.25" customHeight="1">
      <c r="B1" s="2162" t="s">
        <v>85</v>
      </c>
      <c r="C1" s="2162"/>
      <c r="D1" s="2162"/>
      <c r="E1" s="2162"/>
      <c r="F1" s="2162"/>
      <c r="G1" s="2162"/>
      <c r="H1" s="2162"/>
      <c r="I1" s="2162"/>
      <c r="J1" s="30"/>
      <c r="K1" s="2161" t="s">
        <v>906</v>
      </c>
      <c r="L1" s="2161"/>
      <c r="M1" s="2161"/>
      <c r="O1" s="2162" t="s">
        <v>33</v>
      </c>
      <c r="P1" s="2162"/>
      <c r="Q1" s="2162"/>
      <c r="R1" s="2162"/>
      <c r="S1" s="2162"/>
      <c r="T1" s="2162"/>
      <c r="U1" s="2162"/>
      <c r="V1" s="2162"/>
      <c r="W1" s="30"/>
      <c r="X1" s="2161" t="s">
        <v>906</v>
      </c>
      <c r="Y1" s="2161"/>
      <c r="Z1" s="2161"/>
      <c r="AB1" s="2162" t="s">
        <v>34</v>
      </c>
      <c r="AC1" s="2162"/>
      <c r="AD1" s="2162"/>
      <c r="AE1" s="2162"/>
      <c r="AF1" s="2162"/>
      <c r="AG1" s="2162"/>
      <c r="AH1" s="2162"/>
      <c r="AI1" s="2162"/>
      <c r="AJ1" s="30"/>
      <c r="AK1" s="2161" t="s">
        <v>911</v>
      </c>
      <c r="AL1" s="2161"/>
      <c r="AM1" s="2161"/>
    </row>
    <row r="2" spans="1:39" s="29" customFormat="1" ht="12" customHeight="1">
      <c r="B2" s="140"/>
      <c r="C2" s="140"/>
      <c r="D2" s="140"/>
      <c r="E2" s="140"/>
      <c r="F2" s="140"/>
      <c r="G2" s="140"/>
      <c r="H2" s="140"/>
      <c r="I2" s="140"/>
      <c r="J2" s="140"/>
      <c r="K2" s="2013" t="s">
        <v>791</v>
      </c>
      <c r="L2" s="2013"/>
      <c r="M2" s="2013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2160" t="s">
        <v>791</v>
      </c>
      <c r="Y2" s="2160"/>
      <c r="Z2" s="2160"/>
      <c r="AK2" s="2160" t="s">
        <v>791</v>
      </c>
      <c r="AL2" s="2160"/>
      <c r="AM2" s="2160"/>
    </row>
    <row r="3" spans="1:39" ht="12.75" customHeight="1">
      <c r="A3" s="1983" t="s">
        <v>764</v>
      </c>
      <c r="B3" s="2010" t="s">
        <v>792</v>
      </c>
      <c r="C3" s="2014"/>
      <c r="D3" s="2014"/>
      <c r="E3" s="2014"/>
      <c r="F3" s="2014"/>
      <c r="G3" s="2014"/>
      <c r="H3" s="2014"/>
      <c r="I3" s="2014"/>
      <c r="J3" s="2014"/>
      <c r="K3" s="2014"/>
      <c r="L3" s="2014"/>
      <c r="M3" s="2011"/>
      <c r="N3" s="1983" t="s">
        <v>764</v>
      </c>
      <c r="O3" s="2010" t="s">
        <v>792</v>
      </c>
      <c r="P3" s="2014"/>
      <c r="Q3" s="2014"/>
      <c r="R3" s="2014"/>
      <c r="S3" s="2014"/>
      <c r="T3" s="2014"/>
      <c r="U3" s="2014"/>
      <c r="V3" s="2014"/>
      <c r="W3" s="2014"/>
      <c r="X3" s="2014"/>
      <c r="Y3" s="2014"/>
      <c r="Z3" s="2011"/>
      <c r="AA3" s="1983" t="s">
        <v>764</v>
      </c>
      <c r="AB3" s="2010" t="s">
        <v>792</v>
      </c>
      <c r="AC3" s="2014"/>
      <c r="AD3" s="2014"/>
      <c r="AE3" s="2014"/>
      <c r="AF3" s="2014"/>
      <c r="AG3" s="2014"/>
      <c r="AH3" s="2014"/>
      <c r="AI3" s="2014"/>
      <c r="AJ3" s="2014"/>
      <c r="AK3" s="2014"/>
      <c r="AL3" s="2014"/>
      <c r="AM3" s="2011"/>
    </row>
    <row r="4" spans="1:39" s="24" customFormat="1" ht="12.75" customHeight="1">
      <c r="A4" s="1983"/>
      <c r="B4" s="2157" t="s">
        <v>107</v>
      </c>
      <c r="C4" s="2157"/>
      <c r="D4" s="1988"/>
      <c r="E4" s="2156" t="s">
        <v>932</v>
      </c>
      <c r="F4" s="2157"/>
      <c r="G4" s="1988"/>
      <c r="H4" s="2156" t="s">
        <v>930</v>
      </c>
      <c r="I4" s="2157"/>
      <c r="J4" s="1988"/>
      <c r="K4" s="2156" t="s">
        <v>108</v>
      </c>
      <c r="L4" s="2157"/>
      <c r="M4" s="1988"/>
      <c r="N4" s="1983"/>
      <c r="O4" s="2156" t="s">
        <v>107</v>
      </c>
      <c r="P4" s="2157"/>
      <c r="Q4" s="1988"/>
      <c r="R4" s="2156" t="s">
        <v>932</v>
      </c>
      <c r="S4" s="2157"/>
      <c r="T4" s="1988"/>
      <c r="U4" s="2156" t="s">
        <v>930</v>
      </c>
      <c r="V4" s="2157"/>
      <c r="W4" s="1988"/>
      <c r="X4" s="2156" t="s">
        <v>108</v>
      </c>
      <c r="Y4" s="2157"/>
      <c r="Z4" s="1988"/>
      <c r="AA4" s="1983"/>
      <c r="AB4" s="2156" t="s">
        <v>107</v>
      </c>
      <c r="AC4" s="2157"/>
      <c r="AD4" s="1988"/>
      <c r="AE4" s="2156" t="s">
        <v>932</v>
      </c>
      <c r="AF4" s="2157"/>
      <c r="AG4" s="1988"/>
      <c r="AH4" s="2156" t="s">
        <v>930</v>
      </c>
      <c r="AI4" s="2157"/>
      <c r="AJ4" s="1988"/>
      <c r="AK4" s="2156" t="s">
        <v>108</v>
      </c>
      <c r="AL4" s="2157"/>
      <c r="AM4" s="1988"/>
    </row>
    <row r="5" spans="1:39" s="24" customFormat="1" ht="22.5" customHeight="1">
      <c r="A5" s="1983"/>
      <c r="B5" s="168" t="s">
        <v>818</v>
      </c>
      <c r="C5" s="170" t="s">
        <v>109</v>
      </c>
      <c r="D5" s="171" t="s">
        <v>940</v>
      </c>
      <c r="E5" s="168" t="s">
        <v>818</v>
      </c>
      <c r="F5" s="42" t="s">
        <v>109</v>
      </c>
      <c r="G5" s="171" t="s">
        <v>940</v>
      </c>
      <c r="H5" s="168" t="s">
        <v>818</v>
      </c>
      <c r="I5" s="42" t="s">
        <v>109</v>
      </c>
      <c r="J5" s="171" t="s">
        <v>940</v>
      </c>
      <c r="K5" s="168" t="s">
        <v>818</v>
      </c>
      <c r="L5" s="42" t="s">
        <v>109</v>
      </c>
      <c r="M5" s="171" t="s">
        <v>940</v>
      </c>
      <c r="N5" s="1983"/>
      <c r="O5" s="168" t="s">
        <v>818</v>
      </c>
      <c r="P5" s="42" t="s">
        <v>109</v>
      </c>
      <c r="Q5" s="171" t="s">
        <v>940</v>
      </c>
      <c r="R5" s="168" t="s">
        <v>818</v>
      </c>
      <c r="S5" s="42" t="s">
        <v>109</v>
      </c>
      <c r="T5" s="171" t="s">
        <v>940</v>
      </c>
      <c r="U5" s="168" t="s">
        <v>818</v>
      </c>
      <c r="V5" s="42" t="s">
        <v>109</v>
      </c>
      <c r="W5" s="171" t="s">
        <v>940</v>
      </c>
      <c r="X5" s="168" t="s">
        <v>818</v>
      </c>
      <c r="Y5" s="42" t="s">
        <v>109</v>
      </c>
      <c r="Z5" s="171" t="s">
        <v>940</v>
      </c>
      <c r="AA5" s="1983"/>
      <c r="AB5" s="168" t="s">
        <v>818</v>
      </c>
      <c r="AC5" s="42" t="s">
        <v>109</v>
      </c>
      <c r="AD5" s="171" t="s">
        <v>940</v>
      </c>
      <c r="AE5" s="168" t="s">
        <v>818</v>
      </c>
      <c r="AF5" s="42" t="s">
        <v>109</v>
      </c>
      <c r="AG5" s="171" t="s">
        <v>940</v>
      </c>
      <c r="AH5" s="168" t="s">
        <v>818</v>
      </c>
      <c r="AI5" s="42" t="s">
        <v>109</v>
      </c>
      <c r="AJ5" s="171" t="s">
        <v>940</v>
      </c>
      <c r="AK5" s="168" t="s">
        <v>818</v>
      </c>
      <c r="AL5" s="42" t="s">
        <v>109</v>
      </c>
      <c r="AM5" s="171" t="s">
        <v>940</v>
      </c>
    </row>
    <row r="6" spans="1:39" ht="12" customHeight="1">
      <c r="A6" s="502" t="s">
        <v>851</v>
      </c>
      <c r="B6" s="503">
        <v>2.58</v>
      </c>
      <c r="C6" s="503">
        <v>4.54</v>
      </c>
      <c r="D6" s="445" t="s">
        <v>505</v>
      </c>
      <c r="E6" s="503">
        <v>2.645</v>
      </c>
      <c r="F6" s="503">
        <v>4.5508333333333333</v>
      </c>
      <c r="G6" s="445" t="s">
        <v>505</v>
      </c>
      <c r="H6" s="503">
        <v>2.7074999999999996</v>
      </c>
      <c r="I6" s="503">
        <v>4.6450000000000005</v>
      </c>
      <c r="J6" s="445" t="s">
        <v>505</v>
      </c>
      <c r="K6" s="503">
        <v>3.0983333333333332</v>
      </c>
      <c r="L6" s="503">
        <v>4.8183333333333334</v>
      </c>
      <c r="M6" s="445" t="s">
        <v>505</v>
      </c>
      <c r="N6" s="502" t="s">
        <v>851</v>
      </c>
      <c r="O6" s="503">
        <v>2.0983333333333332</v>
      </c>
      <c r="P6" s="503">
        <v>4.3416666666666677</v>
      </c>
      <c r="Q6" s="445" t="s">
        <v>505</v>
      </c>
      <c r="R6" s="503">
        <v>2.3491666666666666</v>
      </c>
      <c r="S6" s="503">
        <v>4.3516666666666675</v>
      </c>
      <c r="T6" s="445" t="s">
        <v>505</v>
      </c>
      <c r="U6" s="503">
        <v>2.3540000000000001</v>
      </c>
      <c r="V6" s="503">
        <v>3.5190000000000001</v>
      </c>
      <c r="W6" s="445" t="s">
        <v>505</v>
      </c>
      <c r="X6" s="503">
        <v>2.5579999999999998</v>
      </c>
      <c r="Y6" s="503">
        <v>4.5</v>
      </c>
      <c r="Z6" s="445" t="s">
        <v>505</v>
      </c>
      <c r="AA6" s="502" t="s">
        <v>851</v>
      </c>
      <c r="AB6" s="503">
        <v>2.09</v>
      </c>
      <c r="AC6" s="503">
        <v>4.335</v>
      </c>
      <c r="AD6" s="445" t="s">
        <v>505</v>
      </c>
      <c r="AE6" s="503">
        <v>2.33</v>
      </c>
      <c r="AF6" s="503">
        <v>4.3730000000000002</v>
      </c>
      <c r="AG6" s="445" t="s">
        <v>505</v>
      </c>
      <c r="AH6" s="503">
        <v>2.3624999999999994</v>
      </c>
      <c r="AI6" s="503">
        <v>4.343</v>
      </c>
      <c r="AJ6" s="445" t="s">
        <v>505</v>
      </c>
      <c r="AK6" s="503">
        <v>2.4300000000000002</v>
      </c>
      <c r="AL6" s="503">
        <v>4.3140000000000001</v>
      </c>
      <c r="AM6" s="445" t="s">
        <v>505</v>
      </c>
    </row>
    <row r="7" spans="1:39" s="254" customFormat="1" ht="12" customHeight="1">
      <c r="A7" s="527" t="s">
        <v>574</v>
      </c>
      <c r="B7" s="528">
        <v>2.6724999999999999</v>
      </c>
      <c r="C7" s="528">
        <v>4.6500000000000004</v>
      </c>
      <c r="D7" s="40" t="s">
        <v>505</v>
      </c>
      <c r="E7" s="528">
        <v>2.7374999999999994</v>
      </c>
      <c r="F7" s="528">
        <v>4.6539999999999999</v>
      </c>
      <c r="G7" s="40" t="s">
        <v>505</v>
      </c>
      <c r="H7" s="528">
        <v>2.8050000000000002</v>
      </c>
      <c r="I7" s="528">
        <v>4.7350000000000003</v>
      </c>
      <c r="J7" s="40" t="s">
        <v>505</v>
      </c>
      <c r="K7" s="528">
        <v>3.1829999999999998</v>
      </c>
      <c r="L7" s="528">
        <v>4.9240000000000004</v>
      </c>
      <c r="M7" s="40" t="s">
        <v>505</v>
      </c>
      <c r="N7" s="527" t="s">
        <v>574</v>
      </c>
      <c r="O7" s="528">
        <v>2.194</v>
      </c>
      <c r="P7" s="528">
        <v>4.4349999999999996</v>
      </c>
      <c r="Q7" s="40" t="s">
        <v>505</v>
      </c>
      <c r="R7" s="528">
        <v>2.4324999999999997</v>
      </c>
      <c r="S7" s="528">
        <v>4.4249999999999998</v>
      </c>
      <c r="T7" s="40" t="s">
        <v>505</v>
      </c>
      <c r="U7" s="528">
        <v>2.4289999999999998</v>
      </c>
      <c r="V7" s="528">
        <v>3.5950000000000002</v>
      </c>
      <c r="W7" s="40" t="s">
        <v>505</v>
      </c>
      <c r="X7" s="528">
        <v>2.6425000000000001</v>
      </c>
      <c r="Y7" s="528">
        <v>4.585</v>
      </c>
      <c r="Z7" s="40" t="s">
        <v>505</v>
      </c>
      <c r="AA7" s="527" t="s">
        <v>574</v>
      </c>
      <c r="AB7" s="528">
        <v>2.1749999999999998</v>
      </c>
      <c r="AC7" s="528">
        <v>4.415</v>
      </c>
      <c r="AD7" s="40" t="s">
        <v>505</v>
      </c>
      <c r="AE7" s="528">
        <v>2.4250000000000003</v>
      </c>
      <c r="AF7" s="528">
        <v>4.4530000000000003</v>
      </c>
      <c r="AG7" s="40" t="s">
        <v>505</v>
      </c>
      <c r="AH7" s="528">
        <v>2.4390000000000001</v>
      </c>
      <c r="AI7" s="528">
        <v>4.4349999999999996</v>
      </c>
      <c r="AJ7" s="40" t="s">
        <v>505</v>
      </c>
      <c r="AK7" s="528">
        <v>2.5150000000000001</v>
      </c>
      <c r="AL7" s="528">
        <v>4.3949999999999996</v>
      </c>
      <c r="AM7" s="40" t="s">
        <v>505</v>
      </c>
    </row>
    <row r="8" spans="1:39" s="38" customFormat="1" ht="12" customHeight="1">
      <c r="A8" s="459" t="s">
        <v>114</v>
      </c>
      <c r="B8" s="480">
        <v>1.25</v>
      </c>
      <c r="C8" s="480">
        <v>2.72</v>
      </c>
      <c r="D8" s="445">
        <v>2.57</v>
      </c>
      <c r="E8" s="480">
        <v>1.78</v>
      </c>
      <c r="F8" s="480">
        <v>3.25</v>
      </c>
      <c r="G8" s="445">
        <v>2.96</v>
      </c>
      <c r="H8" s="480">
        <v>2.1800000000000002</v>
      </c>
      <c r="I8" s="480">
        <v>3.403</v>
      </c>
      <c r="J8" s="445">
        <v>3.1150000000000002</v>
      </c>
      <c r="K8" s="480">
        <v>2.226</v>
      </c>
      <c r="L8" s="480">
        <v>3.5630000000000002</v>
      </c>
      <c r="M8" s="445">
        <v>3.2280000000000002</v>
      </c>
      <c r="N8" s="459" t="s">
        <v>114</v>
      </c>
      <c r="O8" s="480">
        <v>1.212</v>
      </c>
      <c r="P8" s="480">
        <v>2.3719999999999999</v>
      </c>
      <c r="Q8" s="445">
        <v>1.5640000000000001</v>
      </c>
      <c r="R8" s="480">
        <v>1.508</v>
      </c>
      <c r="S8" s="480">
        <v>2.706</v>
      </c>
      <c r="T8" s="445">
        <v>1.8049999999999999</v>
      </c>
      <c r="U8" s="480">
        <v>1.617</v>
      </c>
      <c r="V8" s="480">
        <v>2.4279999999999999</v>
      </c>
      <c r="W8" s="445">
        <v>1.9259999999999999</v>
      </c>
      <c r="X8" s="480">
        <v>1.794</v>
      </c>
      <c r="Y8" s="480">
        <v>2.585</v>
      </c>
      <c r="Z8" s="445">
        <v>2.0129999999999999</v>
      </c>
      <c r="AA8" s="459" t="s">
        <v>114</v>
      </c>
      <c r="AB8" s="480">
        <v>1.0589999999999999</v>
      </c>
      <c r="AC8" s="480">
        <v>2.2130000000000001</v>
      </c>
      <c r="AD8" s="445">
        <v>2.0390000000000001</v>
      </c>
      <c r="AE8" s="480">
        <v>1.409</v>
      </c>
      <c r="AF8" s="480">
        <v>2.6160000000000001</v>
      </c>
      <c r="AG8" s="445">
        <v>2.29</v>
      </c>
      <c r="AH8" s="480">
        <v>1.72</v>
      </c>
      <c r="AI8" s="480">
        <v>3.0339999999999998</v>
      </c>
      <c r="AJ8" s="445">
        <v>2.8069999999999999</v>
      </c>
      <c r="AK8" s="480">
        <v>2.1309999999999998</v>
      </c>
      <c r="AL8" s="480">
        <v>3.472</v>
      </c>
      <c r="AM8" s="445">
        <v>2.8849999999999998</v>
      </c>
    </row>
    <row r="9" spans="1:39" s="405" customFormat="1" ht="12" customHeight="1">
      <c r="A9" s="362" t="s">
        <v>110</v>
      </c>
      <c r="B9" s="20">
        <v>0.16083333333333336</v>
      </c>
      <c r="C9" s="20">
        <v>0.2116666666666667</v>
      </c>
      <c r="D9" s="40">
        <v>0.13750000000000001</v>
      </c>
      <c r="E9" s="20">
        <v>0.33083333333333337</v>
      </c>
      <c r="F9" s="20">
        <v>0.33</v>
      </c>
      <c r="G9" s="40">
        <v>0.33916666666666667</v>
      </c>
      <c r="H9" s="20">
        <v>0.55583333333333329</v>
      </c>
      <c r="I9" s="20">
        <v>0.45</v>
      </c>
      <c r="J9" s="40">
        <v>0.6166666666666667</v>
      </c>
      <c r="K9" s="20">
        <v>0.89</v>
      </c>
      <c r="L9" s="20">
        <v>0.69666666666666666</v>
      </c>
      <c r="M9" s="40">
        <v>0.76916666666666655</v>
      </c>
      <c r="N9" s="362" t="s">
        <v>110</v>
      </c>
      <c r="O9" s="20">
        <v>0.19583333333333333</v>
      </c>
      <c r="P9" s="20">
        <v>0.46083333333333337</v>
      </c>
      <c r="Q9" s="40">
        <v>0.27500000000000002</v>
      </c>
      <c r="R9" s="20">
        <v>0.25</v>
      </c>
      <c r="S9" s="20">
        <v>0.5575</v>
      </c>
      <c r="T9" s="40">
        <v>0.41833333333333328</v>
      </c>
      <c r="U9" s="20">
        <v>0.40416666666666673</v>
      </c>
      <c r="V9" s="20">
        <v>0.60250000000000015</v>
      </c>
      <c r="W9" s="40">
        <v>0.52750000000000019</v>
      </c>
      <c r="X9" s="20">
        <v>0.79083333333333339</v>
      </c>
      <c r="Y9" s="20">
        <v>0.78749999999999998</v>
      </c>
      <c r="Z9" s="40">
        <v>0.70083333333333331</v>
      </c>
      <c r="AA9" s="362" t="s">
        <v>110</v>
      </c>
      <c r="AB9" s="20">
        <v>0.64916666666666656</v>
      </c>
      <c r="AC9" s="20">
        <v>0.12583333333333338</v>
      </c>
      <c r="AD9" s="40">
        <v>0.17166666666666666</v>
      </c>
      <c r="AE9" s="20">
        <v>0.80083333333333329</v>
      </c>
      <c r="AF9" s="20">
        <v>0.2383333333333334</v>
      </c>
      <c r="AG9" s="40">
        <v>0.30416666666666675</v>
      </c>
      <c r="AH9" s="20">
        <v>0.65083333333333337</v>
      </c>
      <c r="AI9" s="20">
        <v>0.34916666666666668</v>
      </c>
      <c r="AJ9" s="40">
        <v>0.44</v>
      </c>
      <c r="AK9" s="20">
        <v>0.81333333333333346</v>
      </c>
      <c r="AL9" s="20">
        <v>0.51416666666666677</v>
      </c>
      <c r="AM9" s="40">
        <v>0.57583333333333331</v>
      </c>
    </row>
    <row r="10" spans="1:39" s="405" customFormat="1" ht="12" customHeight="1">
      <c r="A10" s="459" t="s">
        <v>253</v>
      </c>
      <c r="B10" s="480">
        <v>0.16791666666666663</v>
      </c>
      <c r="C10" s="480">
        <v>0.24756944444444443</v>
      </c>
      <c r="D10" s="445">
        <v>0.43798611111111113</v>
      </c>
      <c r="E10" s="480">
        <v>0.33444444444444449</v>
      </c>
      <c r="F10" s="480">
        <v>0.39881944444444439</v>
      </c>
      <c r="G10" s="445">
        <v>0.64472222222222209</v>
      </c>
      <c r="H10" s="480">
        <v>0.50624999999999998</v>
      </c>
      <c r="I10" s="480">
        <v>0.66923611111111114</v>
      </c>
      <c r="J10" s="445">
        <v>0.94277777777777783</v>
      </c>
      <c r="K10" s="480">
        <v>0.73374999999999979</v>
      </c>
      <c r="L10" s="480">
        <v>0.93069444444444438</v>
      </c>
      <c r="M10" s="445">
        <v>1.0635416666666668</v>
      </c>
      <c r="N10" s="459" t="s">
        <v>253</v>
      </c>
      <c r="O10" s="480">
        <v>0.14000000000000004</v>
      </c>
      <c r="P10" s="480">
        <v>0.29643229166666668</v>
      </c>
      <c r="Q10" s="445">
        <v>0.40145833333333342</v>
      </c>
      <c r="R10" s="480">
        <v>0.19358333333333333</v>
      </c>
      <c r="S10" s="480">
        <v>0.41849999999999993</v>
      </c>
      <c r="T10" s="445">
        <v>0.53516666666666668</v>
      </c>
      <c r="U10" s="480">
        <v>0.28266666666666668</v>
      </c>
      <c r="V10" s="480">
        <v>0.55945833333333328</v>
      </c>
      <c r="W10" s="445">
        <v>0.64966666666666673</v>
      </c>
      <c r="X10" s="480">
        <v>0.5678333333333333</v>
      </c>
      <c r="Y10" s="480">
        <v>0.83166666666666655</v>
      </c>
      <c r="Z10" s="445">
        <v>0.87583333333333313</v>
      </c>
      <c r="AA10" s="459" t="s">
        <v>253</v>
      </c>
      <c r="AB10" s="480">
        <v>0.75583333333333336</v>
      </c>
      <c r="AC10" s="480">
        <v>0.28083333333333332</v>
      </c>
      <c r="AD10" s="445">
        <v>0.31277777777777777</v>
      </c>
      <c r="AE10" s="480">
        <v>1.0994444444444444</v>
      </c>
      <c r="AF10" s="480">
        <v>0.41625000000000001</v>
      </c>
      <c r="AG10" s="445">
        <v>0.53763888888888889</v>
      </c>
      <c r="AH10" s="480">
        <v>1.1913888888888888</v>
      </c>
      <c r="AI10" s="480">
        <v>0.5097222222222223</v>
      </c>
      <c r="AJ10" s="445">
        <v>0.62097222222222215</v>
      </c>
      <c r="AK10" s="480">
        <v>0.79916666666666647</v>
      </c>
      <c r="AL10" s="480">
        <v>0.54180555555555554</v>
      </c>
      <c r="AM10" s="445">
        <v>0.79249999999999998</v>
      </c>
    </row>
    <row r="11" spans="1:39" s="405" customFormat="1" ht="12" customHeight="1">
      <c r="A11" s="362" t="s">
        <v>1169</v>
      </c>
      <c r="B11" s="20">
        <v>0.16916666666666666</v>
      </c>
      <c r="C11" s="20">
        <v>0.33805555555555555</v>
      </c>
      <c r="D11" s="40">
        <v>0.63222222222222213</v>
      </c>
      <c r="E11" s="20">
        <v>0.36666666666666664</v>
      </c>
      <c r="F11" s="20">
        <v>0.63055555555555565</v>
      </c>
      <c r="G11" s="40">
        <v>0.89583333333333337</v>
      </c>
      <c r="H11" s="20">
        <v>0.62444444444444447</v>
      </c>
      <c r="I11" s="20">
        <v>0.93444444444444441</v>
      </c>
      <c r="J11" s="40">
        <v>1.141388888888889</v>
      </c>
      <c r="K11" s="20">
        <v>0.8783333333333333</v>
      </c>
      <c r="L11" s="20">
        <v>1.2255555555555555</v>
      </c>
      <c r="M11" s="40">
        <v>1.3674999999999999</v>
      </c>
      <c r="N11" s="362" t="s">
        <v>1169</v>
      </c>
      <c r="O11" s="20">
        <v>0.10250000000000002</v>
      </c>
      <c r="P11" s="20">
        <v>0.31416666666666665</v>
      </c>
      <c r="Q11" s="40">
        <v>0.57166666666666655</v>
      </c>
      <c r="R11" s="20">
        <v>0.21500000000000005</v>
      </c>
      <c r="S11" s="20">
        <v>0.50624999999999998</v>
      </c>
      <c r="T11" s="40">
        <v>0.72000000000000008</v>
      </c>
      <c r="U11" s="20">
        <v>0.34833333333333338</v>
      </c>
      <c r="V11" s="20">
        <v>0.65749999999999997</v>
      </c>
      <c r="W11" s="40">
        <v>0.81</v>
      </c>
      <c r="X11" s="20">
        <v>0.89416666666666655</v>
      </c>
      <c r="Y11" s="20">
        <v>0.95233333333333337</v>
      </c>
      <c r="Z11" s="40">
        <v>0.99500000000000011</v>
      </c>
      <c r="AA11" s="362" t="s">
        <v>1169</v>
      </c>
      <c r="AB11" s="20">
        <v>0.55875000000000019</v>
      </c>
      <c r="AC11" s="20">
        <v>0.42166666666666669</v>
      </c>
      <c r="AD11" s="40">
        <v>0.5</v>
      </c>
      <c r="AE11" s="20">
        <v>1.0566666666666666</v>
      </c>
      <c r="AF11" s="20">
        <v>0.65499999999999992</v>
      </c>
      <c r="AG11" s="40">
        <v>0.75</v>
      </c>
      <c r="AH11" s="20">
        <v>1.4295833333333332</v>
      </c>
      <c r="AI11" s="20">
        <v>0.99749999999999972</v>
      </c>
      <c r="AJ11" s="40">
        <v>0.9312499999999998</v>
      </c>
      <c r="AK11" s="20">
        <v>1.1666666666666667</v>
      </c>
      <c r="AL11" s="20">
        <v>0.94083333333333341</v>
      </c>
      <c r="AM11" s="40">
        <v>1.25</v>
      </c>
    </row>
    <row r="12" spans="1:39" s="405" customFormat="1" ht="12" customHeight="1">
      <c r="A12" s="459" t="s">
        <v>1361</v>
      </c>
      <c r="B12" s="480">
        <v>0.16958333333333339</v>
      </c>
      <c r="C12" s="480">
        <v>0.21965277777777778</v>
      </c>
      <c r="D12" s="445">
        <v>3.6111111111111114E-3</v>
      </c>
      <c r="E12" s="480">
        <v>0.19888888888888887</v>
      </c>
      <c r="F12" s="480">
        <v>0.28486111111111112</v>
      </c>
      <c r="G12" s="445">
        <v>5.0833333333333341E-2</v>
      </c>
      <c r="H12" s="480">
        <v>0.35916666666666669</v>
      </c>
      <c r="I12" s="480">
        <v>0.44350694444444455</v>
      </c>
      <c r="J12" s="445">
        <v>0.12611111111111115</v>
      </c>
      <c r="K12" s="480">
        <v>0.59020833333333322</v>
      </c>
      <c r="L12" s="480">
        <v>0.70586805555555554</v>
      </c>
      <c r="M12" s="445">
        <v>0.26034722222222223</v>
      </c>
      <c r="N12" s="459" t="s">
        <v>1361</v>
      </c>
      <c r="O12" s="480">
        <v>9.2082500000000012E-2</v>
      </c>
      <c r="P12" s="480">
        <v>0.24228124999999998</v>
      </c>
      <c r="Q12" s="445">
        <v>0.18372943333333333</v>
      </c>
      <c r="R12" s="480">
        <v>0.18142521929166663</v>
      </c>
      <c r="S12" s="480">
        <v>0.38397137278333332</v>
      </c>
      <c r="T12" s="445">
        <v>0.29373464912499997</v>
      </c>
      <c r="U12" s="480">
        <v>0.29680622806666668</v>
      </c>
      <c r="V12" s="480">
        <v>0.43682707018333344</v>
      </c>
      <c r="W12" s="445">
        <v>0.38601997368333335</v>
      </c>
      <c r="X12" s="480">
        <v>0.80951328947222212</v>
      </c>
      <c r="Y12" s="480">
        <v>0.69534501314999997</v>
      </c>
      <c r="Z12" s="445">
        <v>0.51850818421666667</v>
      </c>
      <c r="AA12" s="459" t="s">
        <v>1361</v>
      </c>
      <c r="AB12" s="480">
        <v>0.55041666666666667</v>
      </c>
      <c r="AC12" s="480">
        <v>0.39874999999999999</v>
      </c>
      <c r="AD12" s="445">
        <v>0.5</v>
      </c>
      <c r="AE12" s="480">
        <v>1.4790416666666666</v>
      </c>
      <c r="AF12" s="480">
        <v>0.55916666666666681</v>
      </c>
      <c r="AG12" s="445">
        <v>0.75</v>
      </c>
      <c r="AH12" s="480">
        <v>1.4741041666666668</v>
      </c>
      <c r="AI12" s="480">
        <v>0.68750000000000011</v>
      </c>
      <c r="AJ12" s="445">
        <v>0.62416666666666665</v>
      </c>
      <c r="AK12" s="480">
        <v>1.2992333333333332</v>
      </c>
      <c r="AL12" s="480">
        <v>0.85916666666666675</v>
      </c>
      <c r="AM12" s="445">
        <v>1.25</v>
      </c>
    </row>
    <row r="13" spans="1:39" s="252" customFormat="1" ht="12" customHeight="1">
      <c r="A13" s="527" t="s">
        <v>1693</v>
      </c>
      <c r="B13" s="40">
        <v>6.9166666666666696E-2</v>
      </c>
      <c r="C13" s="40">
        <v>0.21207052083333333</v>
      </c>
      <c r="D13" s="40">
        <v>5.3333333333333337E-2</v>
      </c>
      <c r="E13" s="40">
        <v>4.8898611111111108E-2</v>
      </c>
      <c r="F13" s="40">
        <v>0.24257020833333334</v>
      </c>
      <c r="G13" s="40">
        <v>5.9166666666666666E-2</v>
      </c>
      <c r="H13" s="40">
        <v>0.10368437500000001</v>
      </c>
      <c r="I13" s="40">
        <v>0.331078125</v>
      </c>
      <c r="J13" s="40">
        <v>9.8393750000000002E-2</v>
      </c>
      <c r="K13" s="40">
        <v>0.28775562500000001</v>
      </c>
      <c r="L13" s="40">
        <v>0.54730156250000006</v>
      </c>
      <c r="M13" s="40">
        <v>0.19117562500000004</v>
      </c>
      <c r="N13" s="527" t="s">
        <v>1693</v>
      </c>
      <c r="O13" s="40">
        <v>0.23060208333333335</v>
      </c>
      <c r="P13" s="40">
        <v>0.28789062500000001</v>
      </c>
      <c r="Q13" s="40">
        <v>0.19963549999999999</v>
      </c>
      <c r="R13" s="40">
        <v>0.2548333333333333</v>
      </c>
      <c r="S13" s="40">
        <v>0.41539350876666664</v>
      </c>
      <c r="T13" s="40">
        <v>0.2763631944444444</v>
      </c>
      <c r="U13" s="40">
        <v>0.39922916666666658</v>
      </c>
      <c r="V13" s="40">
        <v>0.48461499999999996</v>
      </c>
      <c r="W13" s="40">
        <v>0.38448833333333332</v>
      </c>
      <c r="X13" s="40">
        <v>0.6540076388888888</v>
      </c>
      <c r="Y13" s="40">
        <v>0.80578854166666669</v>
      </c>
      <c r="Z13" s="40">
        <v>0.50327416666666669</v>
      </c>
      <c r="AA13" s="527" t="s">
        <v>1693</v>
      </c>
      <c r="AB13" s="40">
        <v>0.90791666666666659</v>
      </c>
      <c r="AC13" s="40">
        <v>0.38708333333333339</v>
      </c>
      <c r="AD13" s="40">
        <v>0.45583333333333326</v>
      </c>
      <c r="AE13" s="40">
        <v>1.1558333333333335</v>
      </c>
      <c r="AF13" s="40">
        <v>0.53583333333333349</v>
      </c>
      <c r="AG13" s="40">
        <v>0.66000000000000014</v>
      </c>
      <c r="AH13" s="40">
        <v>1.1683333333333334</v>
      </c>
      <c r="AI13" s="40">
        <v>0.61583333333333323</v>
      </c>
      <c r="AJ13" s="40">
        <v>0.76750000000000007</v>
      </c>
      <c r="AK13" s="40">
        <v>1.1204166666666668</v>
      </c>
      <c r="AL13" s="40">
        <v>0.79604166666666665</v>
      </c>
      <c r="AM13" s="40">
        <v>1.1550000000000002</v>
      </c>
    </row>
    <row r="14" spans="1:39" s="393" customFormat="1" ht="12" customHeight="1">
      <c r="A14" s="1468" t="s">
        <v>1795</v>
      </c>
      <c r="B14" s="661">
        <v>6.0833333333333323E-2</v>
      </c>
      <c r="C14" s="661">
        <v>0.2014565555</v>
      </c>
      <c r="D14" s="661">
        <v>0</v>
      </c>
      <c r="E14" s="661">
        <v>3.8953055555555553E-2</v>
      </c>
      <c r="F14" s="661">
        <v>0.25167252783333338</v>
      </c>
      <c r="G14" s="661">
        <v>1.7500000000000002E-2</v>
      </c>
      <c r="H14" s="661">
        <v>8.435333333333335E-2</v>
      </c>
      <c r="I14" s="661">
        <v>0.36996055550000001</v>
      </c>
      <c r="J14" s="661">
        <v>1.0833333333333334E-2</v>
      </c>
      <c r="K14" s="661">
        <v>0.25765302783333327</v>
      </c>
      <c r="L14" s="661">
        <v>0.57783030549999992</v>
      </c>
      <c r="M14" s="661">
        <v>5.1990729166666673E-2</v>
      </c>
      <c r="N14" s="1468" t="s">
        <v>1795</v>
      </c>
      <c r="O14" s="661">
        <v>0.417658549951267</v>
      </c>
      <c r="P14" s="661">
        <v>0.42778127485021789</v>
      </c>
      <c r="Q14" s="661">
        <v>0.25705915530303031</v>
      </c>
      <c r="R14" s="661">
        <v>0.39406351697994985</v>
      </c>
      <c r="S14" s="661">
        <v>0.5138648752314815</v>
      </c>
      <c r="T14" s="661">
        <v>0.27559262629540598</v>
      </c>
      <c r="U14" s="661">
        <v>0.71116524939227155</v>
      </c>
      <c r="V14" s="661">
        <v>0.68667745396825397</v>
      </c>
      <c r="W14" s="661">
        <v>0.4250588182539683</v>
      </c>
      <c r="X14" s="661">
        <v>0.81893196351991071</v>
      </c>
      <c r="Y14" s="661">
        <v>1.0508996562908497</v>
      </c>
      <c r="Z14" s="661">
        <v>0.52704765201465198</v>
      </c>
      <c r="AA14" s="1468" t="s">
        <v>1795</v>
      </c>
      <c r="AB14" s="661">
        <v>1.0156928895833335</v>
      </c>
      <c r="AC14" s="661">
        <v>0.41749176666666665</v>
      </c>
      <c r="AD14" s="661">
        <v>0.46336752083333338</v>
      </c>
      <c r="AE14" s="661">
        <v>1.1542176916666664</v>
      </c>
      <c r="AF14" s="661">
        <v>0.57261966666666686</v>
      </c>
      <c r="AG14" s="661">
        <v>0.58483106666666662</v>
      </c>
      <c r="AH14" s="661">
        <v>0.76716723611111093</v>
      </c>
      <c r="AI14" s="661">
        <v>0.67324468055555553</v>
      </c>
      <c r="AJ14" s="661">
        <v>0.98999999999999988</v>
      </c>
      <c r="AK14" s="661">
        <v>0.94661391388888882</v>
      </c>
      <c r="AL14" s="661">
        <v>0.87057560555555547</v>
      </c>
      <c r="AM14" s="661">
        <v>1.0833333333333333</v>
      </c>
    </row>
    <row r="15" spans="1:39" s="393" customFormat="1" ht="12" customHeight="1">
      <c r="A15" s="657" t="s">
        <v>1996</v>
      </c>
      <c r="B15" s="831">
        <v>0.13249999999999998</v>
      </c>
      <c r="C15" s="831">
        <v>0.18583333333333332</v>
      </c>
      <c r="D15" s="831">
        <v>0</v>
      </c>
      <c r="E15" s="831">
        <v>0.19583333333333333</v>
      </c>
      <c r="F15" s="831">
        <v>0.24333333333333332</v>
      </c>
      <c r="G15" s="831">
        <v>0</v>
      </c>
      <c r="H15" s="831">
        <v>0.34833333333333333</v>
      </c>
      <c r="I15" s="831">
        <v>0.36833333333333335</v>
      </c>
      <c r="J15" s="831">
        <v>0</v>
      </c>
      <c r="K15" s="831">
        <v>0.53416666666666668</v>
      </c>
      <c r="L15" s="831">
        <v>0.53833333333333333</v>
      </c>
      <c r="M15" s="831">
        <v>0</v>
      </c>
      <c r="N15" s="657" t="s">
        <v>1996</v>
      </c>
      <c r="O15" s="831">
        <v>0.43916666666666665</v>
      </c>
      <c r="P15" s="831">
        <v>0.4283333333333334</v>
      </c>
      <c r="Q15" s="831">
        <v>0.29750000000000004</v>
      </c>
      <c r="R15" s="831">
        <v>0.47166666666666668</v>
      </c>
      <c r="S15" s="831">
        <v>0.50166666666666659</v>
      </c>
      <c r="T15" s="831">
        <v>0.3066666666666667</v>
      </c>
      <c r="U15" s="831">
        <v>1.1066666666666667</v>
      </c>
      <c r="V15" s="831">
        <v>0.70416666666666661</v>
      </c>
      <c r="W15" s="831">
        <v>0.48750000000000004</v>
      </c>
      <c r="X15" s="831">
        <v>1.1833333333333333</v>
      </c>
      <c r="Y15" s="831">
        <v>0.90083333333333326</v>
      </c>
      <c r="Z15" s="831">
        <v>0.51250000000000007</v>
      </c>
      <c r="AA15" s="657" t="s">
        <v>1996</v>
      </c>
      <c r="AB15" s="831">
        <v>1.0274999999999999</v>
      </c>
      <c r="AC15" s="831">
        <v>0.43500000000000005</v>
      </c>
      <c r="AD15" s="831">
        <v>0.51666666666666672</v>
      </c>
      <c r="AE15" s="831">
        <v>1.1783333333333332</v>
      </c>
      <c r="AF15" s="831">
        <v>0.65</v>
      </c>
      <c r="AG15" s="831">
        <v>0.63166666666666671</v>
      </c>
      <c r="AH15" s="831">
        <v>0.83250000000000002</v>
      </c>
      <c r="AI15" s="831">
        <v>0.71166666666666656</v>
      </c>
      <c r="AJ15" s="831">
        <v>0.9</v>
      </c>
      <c r="AK15" s="831">
        <v>0.9558333333333332</v>
      </c>
      <c r="AL15" s="831">
        <v>0.89583333333333337</v>
      </c>
      <c r="AM15" s="831">
        <v>1.0983333333333334</v>
      </c>
    </row>
    <row r="16" spans="1:39" s="393" customFormat="1" ht="12" customHeight="1">
      <c r="A16" s="1135" t="s">
        <v>2092</v>
      </c>
      <c r="B16" s="1044">
        <f>AVERAGE(B17:B28)</f>
        <v>0.46749999999999997</v>
      </c>
      <c r="C16" s="1044">
        <f t="shared" ref="C16:M16" si="0">AVERAGE(C17:C28)</f>
        <v>3.1666666666666676E-2</v>
      </c>
      <c r="D16" s="1044">
        <f t="shared" si="0"/>
        <v>0</v>
      </c>
      <c r="E16" s="1044">
        <f t="shared" si="0"/>
        <v>0.56916666666666671</v>
      </c>
      <c r="F16" s="1044">
        <f t="shared" si="0"/>
        <v>0.2525</v>
      </c>
      <c r="G16" s="1044">
        <f t="shared" si="0"/>
        <v>0</v>
      </c>
      <c r="H16" s="1044">
        <f t="shared" si="0"/>
        <v>0.86916666666666675</v>
      </c>
      <c r="I16" s="1044">
        <f t="shared" si="0"/>
        <v>0.21083333333333334</v>
      </c>
      <c r="J16" s="1044">
        <f t="shared" si="0"/>
        <v>0</v>
      </c>
      <c r="K16" s="1044">
        <f t="shared" si="0"/>
        <v>1.095</v>
      </c>
      <c r="L16" s="1044">
        <f t="shared" si="0"/>
        <v>0.36166666666666664</v>
      </c>
      <c r="M16" s="1044">
        <f t="shared" si="0"/>
        <v>0</v>
      </c>
      <c r="N16" s="1135" t="s">
        <v>2092</v>
      </c>
      <c r="O16" s="1044">
        <f t="shared" ref="O16:Z16" si="1">AVERAGE(O17:O28)</f>
        <v>0.48500000000000004</v>
      </c>
      <c r="P16" s="1044">
        <f t="shared" si="1"/>
        <v>0.30583333333333335</v>
      </c>
      <c r="Q16" s="1044">
        <f t="shared" si="1"/>
        <v>0.32083333333333336</v>
      </c>
      <c r="R16" s="1044">
        <f t="shared" si="1"/>
        <v>0.85083333333333344</v>
      </c>
      <c r="S16" s="1044">
        <f t="shared" si="1"/>
        <v>0.37666666666666665</v>
      </c>
      <c r="T16" s="1044">
        <f t="shared" si="1"/>
        <v>0.25500000000000006</v>
      </c>
      <c r="U16" s="1044">
        <f t="shared" si="1"/>
        <v>0.90499999999999992</v>
      </c>
      <c r="V16" s="1044">
        <f t="shared" si="1"/>
        <v>0.50666666666666671</v>
      </c>
      <c r="W16" s="1044">
        <f t="shared" si="1"/>
        <v>0.38333333333333336</v>
      </c>
      <c r="X16" s="1044">
        <f t="shared" si="1"/>
        <v>1.0366666666666666</v>
      </c>
      <c r="Y16" s="1044">
        <f t="shared" si="1"/>
        <v>0.62916666666666676</v>
      </c>
      <c r="Z16" s="1044">
        <f t="shared" si="1"/>
        <v>0.46416666666666662</v>
      </c>
      <c r="AA16" s="1135" t="s">
        <v>2092</v>
      </c>
      <c r="AB16" s="1044">
        <f t="shared" ref="AB16:AM16" si="2">AVERAGE(AB17:AB28)</f>
        <v>1.01</v>
      </c>
      <c r="AC16" s="1044">
        <f t="shared" si="2"/>
        <v>0.44416666666666665</v>
      </c>
      <c r="AD16" s="1044">
        <f t="shared" si="2"/>
        <v>0.49166666666666664</v>
      </c>
      <c r="AE16" s="1044">
        <f t="shared" si="2"/>
        <v>1.1283333333333334</v>
      </c>
      <c r="AF16" s="1044">
        <f t="shared" si="2"/>
        <v>0.58333333333333337</v>
      </c>
      <c r="AG16" s="1044">
        <f t="shared" si="2"/>
        <v>0.47666666666666657</v>
      </c>
      <c r="AH16" s="1044">
        <f t="shared" si="2"/>
        <v>0.86666666666666659</v>
      </c>
      <c r="AI16" s="1044">
        <f t="shared" si="2"/>
        <v>0.67249999999999999</v>
      </c>
      <c r="AJ16" s="1044">
        <f t="shared" si="2"/>
        <v>0.72916666666666663</v>
      </c>
      <c r="AK16" s="1044">
        <f t="shared" si="2"/>
        <v>1.0458333333333332</v>
      </c>
      <c r="AL16" s="1044">
        <f t="shared" si="2"/>
        <v>0.80000000000000016</v>
      </c>
      <c r="AM16" s="1044">
        <f t="shared" si="2"/>
        <v>0.9291666666666667</v>
      </c>
    </row>
    <row r="17" spans="1:39" s="393" customFormat="1" ht="12" customHeight="1">
      <c r="A17" s="1136" t="s">
        <v>843</v>
      </c>
      <c r="B17" s="691">
        <v>0.19</v>
      </c>
      <c r="C17" s="691">
        <v>0.18</v>
      </c>
      <c r="D17" s="840">
        <v>0</v>
      </c>
      <c r="E17" s="691">
        <v>0.32</v>
      </c>
      <c r="F17" s="691">
        <v>0.18</v>
      </c>
      <c r="G17" s="840">
        <v>0</v>
      </c>
      <c r="H17" s="691">
        <v>0.51</v>
      </c>
      <c r="I17" s="691">
        <v>0.25</v>
      </c>
      <c r="J17" s="840">
        <v>0</v>
      </c>
      <c r="K17" s="840">
        <v>0.52</v>
      </c>
      <c r="L17" s="840">
        <v>0.39</v>
      </c>
      <c r="M17" s="840">
        <v>0</v>
      </c>
      <c r="N17" s="1136" t="s">
        <v>843</v>
      </c>
      <c r="O17" s="691">
        <v>0.46</v>
      </c>
      <c r="P17" s="691">
        <v>0.39</v>
      </c>
      <c r="Q17" s="691">
        <v>0.32</v>
      </c>
      <c r="R17" s="691">
        <v>0.53</v>
      </c>
      <c r="S17" s="691">
        <v>0.45</v>
      </c>
      <c r="T17" s="691">
        <v>0.32</v>
      </c>
      <c r="U17" s="691">
        <v>0.87</v>
      </c>
      <c r="V17" s="691">
        <v>0.59</v>
      </c>
      <c r="W17" s="691">
        <v>0.49</v>
      </c>
      <c r="X17" s="691">
        <v>0.92</v>
      </c>
      <c r="Y17" s="691">
        <v>0.74</v>
      </c>
      <c r="Z17" s="691">
        <v>0.55000000000000004</v>
      </c>
      <c r="AA17" s="1136" t="s">
        <v>843</v>
      </c>
      <c r="AB17" s="691">
        <v>1.1200000000000001</v>
      </c>
      <c r="AC17" s="840">
        <v>0.56999999999999995</v>
      </c>
      <c r="AD17" s="691">
        <v>0.46</v>
      </c>
      <c r="AE17" s="691">
        <v>1.18</v>
      </c>
      <c r="AF17" s="691">
        <v>0.61</v>
      </c>
      <c r="AG17" s="691">
        <v>0.45</v>
      </c>
      <c r="AH17" s="691">
        <v>0.83</v>
      </c>
      <c r="AI17" s="691">
        <v>0.74</v>
      </c>
      <c r="AJ17" s="840">
        <v>0.82</v>
      </c>
      <c r="AK17" s="840">
        <v>1.01</v>
      </c>
      <c r="AL17" s="691">
        <v>0.82</v>
      </c>
      <c r="AM17" s="840">
        <v>1</v>
      </c>
    </row>
    <row r="18" spans="1:39" s="393" customFormat="1" ht="12" customHeight="1">
      <c r="A18" s="1137" t="s">
        <v>844</v>
      </c>
      <c r="B18" s="658">
        <v>0.21</v>
      </c>
      <c r="C18" s="661">
        <v>0.1</v>
      </c>
      <c r="D18" s="661">
        <v>0</v>
      </c>
      <c r="E18" s="658">
        <v>0.42</v>
      </c>
      <c r="F18" s="658">
        <v>0.13</v>
      </c>
      <c r="G18" s="661">
        <v>0</v>
      </c>
      <c r="H18" s="658">
        <v>0.71</v>
      </c>
      <c r="I18" s="658">
        <v>0.22</v>
      </c>
      <c r="J18" s="661">
        <v>0</v>
      </c>
      <c r="K18" s="661">
        <v>0.9</v>
      </c>
      <c r="L18" s="661">
        <v>0.35</v>
      </c>
      <c r="M18" s="661">
        <v>0</v>
      </c>
      <c r="N18" s="1137" t="s">
        <v>844</v>
      </c>
      <c r="O18" s="658">
        <v>0.46</v>
      </c>
      <c r="P18" s="658">
        <v>0.33</v>
      </c>
      <c r="Q18" s="658">
        <v>0.31</v>
      </c>
      <c r="R18" s="658">
        <v>3.94</v>
      </c>
      <c r="S18" s="658">
        <v>0.41</v>
      </c>
      <c r="T18" s="661">
        <v>0.3</v>
      </c>
      <c r="U18" s="658">
        <v>1.45</v>
      </c>
      <c r="V18" s="658">
        <v>0.53</v>
      </c>
      <c r="W18" s="658">
        <v>0.51</v>
      </c>
      <c r="X18" s="658">
        <v>1.65</v>
      </c>
      <c r="Y18" s="658">
        <v>0.67</v>
      </c>
      <c r="Z18" s="658">
        <v>0.61</v>
      </c>
      <c r="AA18" s="1137" t="s">
        <v>844</v>
      </c>
      <c r="AB18" s="658">
        <v>0.98</v>
      </c>
      <c r="AC18" s="661">
        <v>0.46</v>
      </c>
      <c r="AD18" s="658">
        <v>0.46</v>
      </c>
      <c r="AE18" s="658">
        <v>1.17</v>
      </c>
      <c r="AF18" s="658">
        <v>0.67</v>
      </c>
      <c r="AG18" s="658">
        <v>0.45</v>
      </c>
      <c r="AH18" s="658">
        <v>0.89</v>
      </c>
      <c r="AI18" s="658">
        <v>0.7</v>
      </c>
      <c r="AJ18" s="661">
        <v>0.82</v>
      </c>
      <c r="AK18" s="661">
        <v>1.01</v>
      </c>
      <c r="AL18" s="658">
        <v>0.82</v>
      </c>
      <c r="AM18" s="661">
        <v>1</v>
      </c>
    </row>
    <row r="19" spans="1:39" s="393" customFormat="1" ht="12" customHeight="1">
      <c r="A19" s="1136" t="s">
        <v>838</v>
      </c>
      <c r="B19" s="691">
        <v>0.21</v>
      </c>
      <c r="C19" s="691">
        <v>0.02</v>
      </c>
      <c r="D19" s="840">
        <v>0</v>
      </c>
      <c r="E19" s="691">
        <v>0.45</v>
      </c>
      <c r="F19" s="840">
        <v>0.1</v>
      </c>
      <c r="G19" s="840">
        <v>0</v>
      </c>
      <c r="H19" s="691">
        <v>0.75</v>
      </c>
      <c r="I19" s="691">
        <v>0.21</v>
      </c>
      <c r="J19" s="840">
        <v>0</v>
      </c>
      <c r="K19" s="840">
        <v>0.98</v>
      </c>
      <c r="L19" s="840">
        <v>0.37</v>
      </c>
      <c r="M19" s="840">
        <v>0</v>
      </c>
      <c r="N19" s="1136" t="s">
        <v>838</v>
      </c>
      <c r="O19" s="691">
        <v>0.51</v>
      </c>
      <c r="P19" s="691">
        <v>0.42</v>
      </c>
      <c r="Q19" s="691">
        <v>0.28999999999999998</v>
      </c>
      <c r="R19" s="691">
        <v>0.54</v>
      </c>
      <c r="S19" s="691">
        <v>0.49</v>
      </c>
      <c r="T19" s="691">
        <v>0.28999999999999998</v>
      </c>
      <c r="U19" s="691">
        <v>0.87</v>
      </c>
      <c r="V19" s="691">
        <v>0.79</v>
      </c>
      <c r="W19" s="691">
        <v>0.51</v>
      </c>
      <c r="X19" s="691">
        <v>0.92</v>
      </c>
      <c r="Y19" s="691">
        <v>0.75</v>
      </c>
      <c r="Z19" s="691">
        <v>0.56000000000000005</v>
      </c>
      <c r="AA19" s="1136" t="s">
        <v>838</v>
      </c>
      <c r="AB19" s="691">
        <v>1.1100000000000001</v>
      </c>
      <c r="AC19" s="840">
        <v>0.33</v>
      </c>
      <c r="AD19" s="691">
        <v>0.25</v>
      </c>
      <c r="AE19" s="691">
        <v>1.46</v>
      </c>
      <c r="AF19" s="840">
        <v>0.5</v>
      </c>
      <c r="AG19" s="840">
        <v>0.5</v>
      </c>
      <c r="AH19" s="691">
        <v>1.0900000000000001</v>
      </c>
      <c r="AI19" s="691">
        <v>0.65</v>
      </c>
      <c r="AJ19" s="840">
        <v>0.75</v>
      </c>
      <c r="AK19" s="840">
        <v>1.22</v>
      </c>
      <c r="AL19" s="691">
        <v>0.74</v>
      </c>
      <c r="AM19" s="840">
        <v>1</v>
      </c>
    </row>
    <row r="20" spans="1:39" s="393" customFormat="1" ht="12" customHeight="1">
      <c r="A20" s="1137" t="s">
        <v>845</v>
      </c>
      <c r="B20" s="658">
        <v>0.24</v>
      </c>
      <c r="C20" s="658">
        <v>0.01</v>
      </c>
      <c r="D20" s="661">
        <v>0</v>
      </c>
      <c r="E20" s="658">
        <v>0.49</v>
      </c>
      <c r="F20" s="658">
        <v>1.08</v>
      </c>
      <c r="G20" s="661">
        <v>0</v>
      </c>
      <c r="H20" s="658">
        <v>0.78</v>
      </c>
      <c r="I20" s="658">
        <v>0.22</v>
      </c>
      <c r="J20" s="661">
        <v>0</v>
      </c>
      <c r="K20" s="661">
        <v>0.98</v>
      </c>
      <c r="L20" s="661">
        <v>0.36</v>
      </c>
      <c r="M20" s="661">
        <v>0</v>
      </c>
      <c r="N20" s="1137" t="s">
        <v>845</v>
      </c>
      <c r="O20" s="658">
        <v>0.47</v>
      </c>
      <c r="P20" s="658">
        <v>0.32</v>
      </c>
      <c r="Q20" s="658">
        <v>0.32</v>
      </c>
      <c r="R20" s="661">
        <v>0.6</v>
      </c>
      <c r="S20" s="658">
        <v>0.41</v>
      </c>
      <c r="T20" s="658">
        <v>0.31</v>
      </c>
      <c r="U20" s="661">
        <v>1.6</v>
      </c>
      <c r="V20" s="658">
        <v>0.55000000000000004</v>
      </c>
      <c r="W20" s="658">
        <v>0.47</v>
      </c>
      <c r="X20" s="661">
        <v>1.6</v>
      </c>
      <c r="Y20" s="658">
        <v>0.69</v>
      </c>
      <c r="Z20" s="658">
        <v>0.53</v>
      </c>
      <c r="AA20" s="1137" t="s">
        <v>845</v>
      </c>
      <c r="AB20" s="661">
        <v>0.96</v>
      </c>
      <c r="AC20" s="661">
        <v>0.55000000000000004</v>
      </c>
      <c r="AD20" s="661">
        <v>0.46</v>
      </c>
      <c r="AE20" s="661">
        <v>1.1499999999999999</v>
      </c>
      <c r="AF20" s="661">
        <v>0.57999999999999996</v>
      </c>
      <c r="AG20" s="661">
        <v>0.56999999999999995</v>
      </c>
      <c r="AH20" s="661">
        <v>0.9</v>
      </c>
      <c r="AI20" s="661">
        <v>0.66</v>
      </c>
      <c r="AJ20" s="661">
        <v>0.75</v>
      </c>
      <c r="AK20" s="661">
        <v>1.04</v>
      </c>
      <c r="AL20" s="661">
        <v>0.82</v>
      </c>
      <c r="AM20" s="661">
        <v>1</v>
      </c>
    </row>
    <row r="21" spans="1:39" s="393" customFormat="1" ht="12" customHeight="1">
      <c r="A21" s="1136" t="s">
        <v>846</v>
      </c>
      <c r="B21" s="691">
        <v>0.25</v>
      </c>
      <c r="C21" s="691">
        <v>0.01</v>
      </c>
      <c r="D21" s="840">
        <v>0</v>
      </c>
      <c r="E21" s="691">
        <v>0.51</v>
      </c>
      <c r="F21" s="691">
        <v>0.69</v>
      </c>
      <c r="G21" s="840">
        <v>0</v>
      </c>
      <c r="H21" s="691">
        <v>0.61</v>
      </c>
      <c r="I21" s="691">
        <v>0.23</v>
      </c>
      <c r="J21" s="840">
        <v>0</v>
      </c>
      <c r="K21" s="840">
        <v>0.99</v>
      </c>
      <c r="L21" s="840">
        <v>0.38</v>
      </c>
      <c r="M21" s="840">
        <v>0</v>
      </c>
      <c r="N21" s="1136" t="s">
        <v>846</v>
      </c>
      <c r="O21" s="691">
        <v>0.47</v>
      </c>
      <c r="P21" s="691">
        <v>0.32</v>
      </c>
      <c r="Q21" s="691">
        <v>0.31</v>
      </c>
      <c r="R21" s="840">
        <v>0.57999999999999996</v>
      </c>
      <c r="S21" s="691">
        <v>0.41</v>
      </c>
      <c r="T21" s="691">
        <v>0.26</v>
      </c>
      <c r="U21" s="840">
        <v>0.88</v>
      </c>
      <c r="V21" s="691">
        <v>0.56000000000000005</v>
      </c>
      <c r="W21" s="691">
        <v>0.4</v>
      </c>
      <c r="X21" s="840">
        <v>0.99</v>
      </c>
      <c r="Y21" s="691">
        <v>0.67</v>
      </c>
      <c r="Z21" s="691">
        <v>0.49</v>
      </c>
      <c r="AA21" s="1136" t="s">
        <v>846</v>
      </c>
      <c r="AB21" s="840">
        <v>1</v>
      </c>
      <c r="AC21" s="840">
        <v>0.44</v>
      </c>
      <c r="AD21" s="840">
        <v>0.46</v>
      </c>
      <c r="AE21" s="840">
        <v>1.1499999999999999</v>
      </c>
      <c r="AF21" s="840">
        <v>0.65</v>
      </c>
      <c r="AG21" s="840">
        <v>0.56999999999999995</v>
      </c>
      <c r="AH21" s="840">
        <v>0.93</v>
      </c>
      <c r="AI21" s="840">
        <v>0.65</v>
      </c>
      <c r="AJ21" s="840">
        <v>0.75</v>
      </c>
      <c r="AK21" s="840">
        <v>1.0900000000000001</v>
      </c>
      <c r="AL21" s="840">
        <v>0.82</v>
      </c>
      <c r="AM21" s="840">
        <v>1</v>
      </c>
    </row>
    <row r="22" spans="1:39" s="393" customFormat="1" ht="12" customHeight="1">
      <c r="A22" s="1137" t="s">
        <v>839</v>
      </c>
      <c r="B22" s="658">
        <v>0.34</v>
      </c>
      <c r="C22" s="658">
        <v>0.01</v>
      </c>
      <c r="D22" s="661">
        <v>0</v>
      </c>
      <c r="E22" s="658">
        <v>0.56000000000000005</v>
      </c>
      <c r="F22" s="658">
        <v>0.48</v>
      </c>
      <c r="G22" s="661">
        <v>0</v>
      </c>
      <c r="H22" s="658">
        <v>0.82</v>
      </c>
      <c r="I22" s="658">
        <v>0.22</v>
      </c>
      <c r="J22" s="661">
        <v>0</v>
      </c>
      <c r="K22" s="661">
        <v>1.03</v>
      </c>
      <c r="L22" s="661">
        <v>0.36</v>
      </c>
      <c r="M22" s="661">
        <v>0</v>
      </c>
      <c r="N22" s="1137" t="s">
        <v>839</v>
      </c>
      <c r="O22" s="658">
        <v>0.52</v>
      </c>
      <c r="P22" s="658">
        <v>0.32</v>
      </c>
      <c r="Q22" s="658">
        <v>0.38</v>
      </c>
      <c r="R22" s="661">
        <v>0.6</v>
      </c>
      <c r="S22" s="658">
        <v>0.45</v>
      </c>
      <c r="T22" s="658">
        <v>0.28999999999999998</v>
      </c>
      <c r="U22" s="661">
        <v>0.9</v>
      </c>
      <c r="V22" s="658">
        <v>0.56000000000000005</v>
      </c>
      <c r="W22" s="658">
        <v>0.47</v>
      </c>
      <c r="X22" s="661">
        <v>1.02</v>
      </c>
      <c r="Y22" s="658">
        <v>0.71</v>
      </c>
      <c r="Z22" s="658">
        <v>0.56999999999999995</v>
      </c>
      <c r="AA22" s="1137" t="s">
        <v>839</v>
      </c>
      <c r="AB22" s="661">
        <v>0.92</v>
      </c>
      <c r="AC22" s="661">
        <v>0.54</v>
      </c>
      <c r="AD22" s="661">
        <v>0.45</v>
      </c>
      <c r="AE22" s="661">
        <v>1.21</v>
      </c>
      <c r="AF22" s="661">
        <v>0.59</v>
      </c>
      <c r="AG22" s="661">
        <v>0.5</v>
      </c>
      <c r="AH22" s="661">
        <v>0.93</v>
      </c>
      <c r="AI22" s="661">
        <v>0.7</v>
      </c>
      <c r="AJ22" s="661">
        <v>0.75</v>
      </c>
      <c r="AK22" s="661">
        <v>1.0900000000000001</v>
      </c>
      <c r="AL22" s="661">
        <v>0.82</v>
      </c>
      <c r="AM22" s="661">
        <v>1</v>
      </c>
    </row>
    <row r="23" spans="1:39" s="393" customFormat="1" ht="12" customHeight="1">
      <c r="A23" s="1136" t="s">
        <v>847</v>
      </c>
      <c r="B23" s="691">
        <v>0.43</v>
      </c>
      <c r="C23" s="691">
        <v>0.01</v>
      </c>
      <c r="D23" s="840">
        <v>0</v>
      </c>
      <c r="E23" s="840">
        <v>0.6</v>
      </c>
      <c r="F23" s="691">
        <v>7.0000000000000007E-2</v>
      </c>
      <c r="G23" s="840">
        <v>0</v>
      </c>
      <c r="H23" s="691">
        <v>0.85</v>
      </c>
      <c r="I23" s="840">
        <v>0.2</v>
      </c>
      <c r="J23" s="840">
        <v>0</v>
      </c>
      <c r="K23" s="840">
        <v>1.07</v>
      </c>
      <c r="L23" s="840">
        <v>0.35</v>
      </c>
      <c r="M23" s="840">
        <v>0</v>
      </c>
      <c r="N23" s="1136" t="s">
        <v>847</v>
      </c>
      <c r="O23" s="691">
        <v>0.53</v>
      </c>
      <c r="P23" s="691">
        <v>0.28999999999999998</v>
      </c>
      <c r="Q23" s="691">
        <v>0.45</v>
      </c>
      <c r="R23" s="840">
        <v>0.63</v>
      </c>
      <c r="S23" s="691">
        <v>0.43</v>
      </c>
      <c r="T23" s="691">
        <v>0.36</v>
      </c>
      <c r="U23" s="840">
        <v>0.93</v>
      </c>
      <c r="V23" s="691">
        <v>0.56999999999999995</v>
      </c>
      <c r="W23" s="691">
        <v>0.55000000000000004</v>
      </c>
      <c r="X23" s="840">
        <v>1.1000000000000001</v>
      </c>
      <c r="Y23" s="691">
        <v>0.75</v>
      </c>
      <c r="Z23" s="691">
        <v>0.63</v>
      </c>
      <c r="AA23" s="1136" t="s">
        <v>847</v>
      </c>
      <c r="AB23" s="840">
        <v>1.02</v>
      </c>
      <c r="AC23" s="840">
        <v>0.53</v>
      </c>
      <c r="AD23" s="840">
        <v>0.46</v>
      </c>
      <c r="AE23" s="840">
        <v>1.1599999999999999</v>
      </c>
      <c r="AF23" s="840">
        <v>0.57999999999999996</v>
      </c>
      <c r="AG23" s="840">
        <v>0.45</v>
      </c>
      <c r="AH23" s="840">
        <v>0.92</v>
      </c>
      <c r="AI23" s="840">
        <v>0.7</v>
      </c>
      <c r="AJ23" s="840">
        <v>0.75</v>
      </c>
      <c r="AK23" s="840">
        <v>1.0900000000000001</v>
      </c>
      <c r="AL23" s="840">
        <v>0.82</v>
      </c>
      <c r="AM23" s="840">
        <v>0.94</v>
      </c>
    </row>
    <row r="24" spans="1:39" s="393" customFormat="1" ht="12" customHeight="1">
      <c r="A24" s="1137" t="s">
        <v>848</v>
      </c>
      <c r="B24" s="658">
        <v>1.39</v>
      </c>
      <c r="C24" s="658">
        <v>0.01</v>
      </c>
      <c r="D24" s="661">
        <v>0</v>
      </c>
      <c r="E24" s="661">
        <v>0.62</v>
      </c>
      <c r="F24" s="658">
        <v>7.0000000000000007E-2</v>
      </c>
      <c r="G24" s="661">
        <v>0</v>
      </c>
      <c r="H24" s="658">
        <v>0.86</v>
      </c>
      <c r="I24" s="661">
        <v>0.2</v>
      </c>
      <c r="J24" s="661">
        <v>0</v>
      </c>
      <c r="K24" s="661">
        <v>1.08</v>
      </c>
      <c r="L24" s="661">
        <v>0.34</v>
      </c>
      <c r="M24" s="661">
        <v>0</v>
      </c>
      <c r="N24" s="1137" t="s">
        <v>848</v>
      </c>
      <c r="O24" s="661">
        <v>0.4</v>
      </c>
      <c r="P24" s="658">
        <v>0.17</v>
      </c>
      <c r="Q24" s="658">
        <v>0.17</v>
      </c>
      <c r="R24" s="661">
        <v>0.5</v>
      </c>
      <c r="S24" s="661">
        <v>0.3</v>
      </c>
      <c r="T24" s="658">
        <v>0.17</v>
      </c>
      <c r="U24" s="661">
        <v>0.68</v>
      </c>
      <c r="V24" s="658">
        <v>0.39</v>
      </c>
      <c r="W24" s="658">
        <v>0.22</v>
      </c>
      <c r="X24" s="661">
        <v>0.87</v>
      </c>
      <c r="Y24" s="658">
        <v>0.54</v>
      </c>
      <c r="Z24" s="658">
        <v>0.28000000000000003</v>
      </c>
      <c r="AA24" s="1137" t="s">
        <v>848</v>
      </c>
      <c r="AB24" s="661">
        <v>1.01</v>
      </c>
      <c r="AC24" s="661">
        <v>0.48</v>
      </c>
      <c r="AD24" s="661">
        <v>0.59</v>
      </c>
      <c r="AE24" s="661">
        <v>1.18</v>
      </c>
      <c r="AF24" s="661">
        <v>0.54</v>
      </c>
      <c r="AG24" s="661">
        <v>0.57999999999999996</v>
      </c>
      <c r="AH24" s="661">
        <v>0.94</v>
      </c>
      <c r="AI24" s="661">
        <v>0.7</v>
      </c>
      <c r="AJ24" s="661">
        <v>1</v>
      </c>
      <c r="AK24" s="661">
        <v>1.0900000000000001</v>
      </c>
      <c r="AL24" s="661">
        <v>0.82</v>
      </c>
      <c r="AM24" s="661">
        <v>1.07</v>
      </c>
    </row>
    <row r="25" spans="1:39" s="393" customFormat="1" ht="12" customHeight="1">
      <c r="A25" s="1136" t="s">
        <v>840</v>
      </c>
      <c r="B25" s="691">
        <v>0.47</v>
      </c>
      <c r="C25" s="691">
        <v>0.01</v>
      </c>
      <c r="D25" s="840">
        <v>0</v>
      </c>
      <c r="E25" s="840">
        <v>0.65</v>
      </c>
      <c r="F25" s="691">
        <v>0.06</v>
      </c>
      <c r="G25" s="840">
        <v>0</v>
      </c>
      <c r="H25" s="691">
        <v>1.1100000000000001</v>
      </c>
      <c r="I25" s="840">
        <v>0.23</v>
      </c>
      <c r="J25" s="840">
        <v>0</v>
      </c>
      <c r="K25" s="840">
        <v>1.39</v>
      </c>
      <c r="L25" s="840">
        <v>0.4</v>
      </c>
      <c r="M25" s="840">
        <v>0</v>
      </c>
      <c r="N25" s="1136" t="s">
        <v>840</v>
      </c>
      <c r="O25" s="840">
        <v>0.45</v>
      </c>
      <c r="P25" s="691">
        <v>0.22</v>
      </c>
      <c r="Q25" s="691">
        <v>0.48</v>
      </c>
      <c r="R25" s="840">
        <v>0.54</v>
      </c>
      <c r="S25" s="840">
        <v>0.31</v>
      </c>
      <c r="T25" s="691">
        <v>0.22</v>
      </c>
      <c r="U25" s="840">
        <v>0.62</v>
      </c>
      <c r="V25" s="691">
        <v>0.41</v>
      </c>
      <c r="W25" s="691">
        <v>0.27</v>
      </c>
      <c r="X25" s="840">
        <v>0.79</v>
      </c>
      <c r="Y25" s="691">
        <v>0.52</v>
      </c>
      <c r="Z25" s="840">
        <v>0.4</v>
      </c>
      <c r="AA25" s="1136" t="s">
        <v>840</v>
      </c>
      <c r="AB25" s="840">
        <v>0.93</v>
      </c>
      <c r="AC25" s="840">
        <v>0.33</v>
      </c>
      <c r="AD25" s="840">
        <v>0.59</v>
      </c>
      <c r="AE25" s="840">
        <v>1.05</v>
      </c>
      <c r="AF25" s="840">
        <v>0.59</v>
      </c>
      <c r="AG25" s="840">
        <v>0.39</v>
      </c>
      <c r="AH25" s="840">
        <v>0.79</v>
      </c>
      <c r="AI25" s="840">
        <v>0.63</v>
      </c>
      <c r="AJ25" s="840">
        <v>0.65</v>
      </c>
      <c r="AK25" s="840">
        <v>1.01</v>
      </c>
      <c r="AL25" s="840">
        <v>0.79</v>
      </c>
      <c r="AM25" s="840">
        <v>0.84</v>
      </c>
    </row>
    <row r="26" spans="1:39" s="393" customFormat="1" ht="12" customHeight="1">
      <c r="A26" s="1164" t="s">
        <v>849</v>
      </c>
      <c r="B26" s="661">
        <v>0.6</v>
      </c>
      <c r="C26" s="658">
        <v>0.01</v>
      </c>
      <c r="D26" s="661">
        <v>0</v>
      </c>
      <c r="E26" s="661">
        <v>0.72</v>
      </c>
      <c r="F26" s="658">
        <v>7.0000000000000007E-2</v>
      </c>
      <c r="G26" s="661">
        <v>0</v>
      </c>
      <c r="H26" s="658">
        <v>1.1399999999999999</v>
      </c>
      <c r="I26" s="661">
        <v>0.21</v>
      </c>
      <c r="J26" s="661">
        <v>0</v>
      </c>
      <c r="K26" s="661">
        <v>1.43</v>
      </c>
      <c r="L26" s="661">
        <v>0.38</v>
      </c>
      <c r="M26" s="661">
        <v>0</v>
      </c>
      <c r="N26" s="1164" t="s">
        <v>849</v>
      </c>
      <c r="O26" s="661">
        <v>0.46</v>
      </c>
      <c r="P26" s="658">
        <v>0.23</v>
      </c>
      <c r="Q26" s="658">
        <v>0.48</v>
      </c>
      <c r="R26" s="661">
        <v>0.54</v>
      </c>
      <c r="S26" s="661">
        <v>0.32</v>
      </c>
      <c r="T26" s="658">
        <v>0.18</v>
      </c>
      <c r="U26" s="661">
        <v>0.62</v>
      </c>
      <c r="V26" s="658">
        <v>0.41</v>
      </c>
      <c r="W26" s="658">
        <v>0.23</v>
      </c>
      <c r="X26" s="661">
        <v>0.78</v>
      </c>
      <c r="Y26" s="658">
        <v>0.53</v>
      </c>
      <c r="Z26" s="661">
        <v>0.33</v>
      </c>
      <c r="AA26" s="1164" t="s">
        <v>849</v>
      </c>
      <c r="AB26" s="661">
        <v>1.04</v>
      </c>
      <c r="AC26" s="661">
        <v>0.33</v>
      </c>
      <c r="AD26" s="661">
        <v>0.59</v>
      </c>
      <c r="AE26" s="661">
        <v>0.89</v>
      </c>
      <c r="AF26" s="661">
        <v>0.56999999999999995</v>
      </c>
      <c r="AG26" s="661">
        <v>0.39</v>
      </c>
      <c r="AH26" s="661">
        <v>0.69</v>
      </c>
      <c r="AI26" s="661">
        <v>0.62</v>
      </c>
      <c r="AJ26" s="661">
        <v>0.53</v>
      </c>
      <c r="AK26" s="661">
        <v>0.94</v>
      </c>
      <c r="AL26" s="661">
        <v>0.77</v>
      </c>
      <c r="AM26" s="661">
        <v>0.73</v>
      </c>
    </row>
    <row r="27" spans="1:39" s="393" customFormat="1" ht="12" customHeight="1">
      <c r="A27" s="1168" t="s">
        <v>850</v>
      </c>
      <c r="B27" s="840">
        <v>0.61</v>
      </c>
      <c r="C27" s="691">
        <v>0.01</v>
      </c>
      <c r="D27" s="840">
        <v>0</v>
      </c>
      <c r="E27" s="840">
        <v>0.73</v>
      </c>
      <c r="F27" s="691">
        <v>0.06</v>
      </c>
      <c r="G27" s="840">
        <v>0</v>
      </c>
      <c r="H27" s="691">
        <v>1.1499999999999999</v>
      </c>
      <c r="I27" s="840">
        <v>0.18</v>
      </c>
      <c r="J27" s="840">
        <v>0</v>
      </c>
      <c r="K27" s="840">
        <v>1.4</v>
      </c>
      <c r="L27" s="840">
        <v>0.34</v>
      </c>
      <c r="M27" s="840">
        <v>0</v>
      </c>
      <c r="N27" s="1168" t="s">
        <v>850</v>
      </c>
      <c r="O27" s="840">
        <v>0.52</v>
      </c>
      <c r="P27" s="691">
        <v>0.32</v>
      </c>
      <c r="Q27" s="691">
        <v>0.17</v>
      </c>
      <c r="R27" s="840">
        <v>0.56999999999999995</v>
      </c>
      <c r="S27" s="840">
        <v>0.27</v>
      </c>
      <c r="T27" s="691">
        <v>0.18</v>
      </c>
      <c r="U27" s="840">
        <v>0.71</v>
      </c>
      <c r="V27" s="691">
        <v>0.36</v>
      </c>
      <c r="W27" s="691">
        <v>0.24</v>
      </c>
      <c r="X27" s="840">
        <v>0.9</v>
      </c>
      <c r="Y27" s="691">
        <v>0.49</v>
      </c>
      <c r="Z27" s="840">
        <v>0.31</v>
      </c>
      <c r="AA27" s="1168" t="s">
        <v>850</v>
      </c>
      <c r="AB27" s="840">
        <v>1.05</v>
      </c>
      <c r="AC27" s="840">
        <v>0.44</v>
      </c>
      <c r="AD27" s="840">
        <v>0.59</v>
      </c>
      <c r="AE27" s="840">
        <v>0.89</v>
      </c>
      <c r="AF27" s="840">
        <v>0.57999999999999996</v>
      </c>
      <c r="AG27" s="840">
        <v>0.39</v>
      </c>
      <c r="AH27" s="840">
        <v>0.7</v>
      </c>
      <c r="AI27" s="840">
        <v>0.65</v>
      </c>
      <c r="AJ27" s="840">
        <v>0.53</v>
      </c>
      <c r="AK27" s="840">
        <v>0.94</v>
      </c>
      <c r="AL27" s="840">
        <v>0.77</v>
      </c>
      <c r="AM27" s="840">
        <v>0.73</v>
      </c>
    </row>
    <row r="28" spans="1:39" s="393" customFormat="1" ht="12" customHeight="1">
      <c r="A28" s="1183" t="s">
        <v>841</v>
      </c>
      <c r="B28" s="661">
        <v>0.67</v>
      </c>
      <c r="C28" s="661">
        <v>0</v>
      </c>
      <c r="D28" s="661">
        <v>0</v>
      </c>
      <c r="E28" s="661">
        <v>0.76</v>
      </c>
      <c r="F28" s="658">
        <v>0.04</v>
      </c>
      <c r="G28" s="661">
        <v>0</v>
      </c>
      <c r="H28" s="658">
        <v>1.1399999999999999</v>
      </c>
      <c r="I28" s="661">
        <v>0.16</v>
      </c>
      <c r="J28" s="661">
        <v>0</v>
      </c>
      <c r="K28" s="661">
        <v>1.37</v>
      </c>
      <c r="L28" s="661">
        <v>0.32</v>
      </c>
      <c r="M28" s="661">
        <v>0</v>
      </c>
      <c r="N28" s="1183" t="s">
        <v>841</v>
      </c>
      <c r="O28" s="661">
        <v>0.56999999999999995</v>
      </c>
      <c r="P28" s="658">
        <v>0.34</v>
      </c>
      <c r="Q28" s="658">
        <v>0.17</v>
      </c>
      <c r="R28" s="661">
        <v>0.64</v>
      </c>
      <c r="S28" s="661">
        <v>0.27</v>
      </c>
      <c r="T28" s="658">
        <v>0.18</v>
      </c>
      <c r="U28" s="661">
        <v>0.73</v>
      </c>
      <c r="V28" s="658">
        <v>0.36</v>
      </c>
      <c r="W28" s="658">
        <v>0.24</v>
      </c>
      <c r="X28" s="661">
        <v>0.9</v>
      </c>
      <c r="Y28" s="658">
        <v>0.49</v>
      </c>
      <c r="Z28" s="661">
        <v>0.31</v>
      </c>
      <c r="AA28" s="1183" t="s">
        <v>841</v>
      </c>
      <c r="AB28" s="661">
        <v>0.98</v>
      </c>
      <c r="AC28" s="661">
        <v>0.33</v>
      </c>
      <c r="AD28" s="661">
        <v>0.54</v>
      </c>
      <c r="AE28" s="661">
        <v>1.05</v>
      </c>
      <c r="AF28" s="661">
        <v>0.54</v>
      </c>
      <c r="AG28" s="661">
        <v>0.48</v>
      </c>
      <c r="AH28" s="661">
        <v>0.79</v>
      </c>
      <c r="AI28" s="661">
        <v>0.67</v>
      </c>
      <c r="AJ28" s="661">
        <v>0.65</v>
      </c>
      <c r="AK28" s="661">
        <v>1.02</v>
      </c>
      <c r="AL28" s="661">
        <v>0.79</v>
      </c>
      <c r="AM28" s="661">
        <v>0.84</v>
      </c>
    </row>
    <row r="29" spans="1:39" s="393" customFormat="1" ht="12" customHeight="1">
      <c r="A29" s="657" t="s">
        <v>2320</v>
      </c>
      <c r="B29" s="831">
        <f>AVERAGE(B30:B41)</f>
        <v>1.0958333333333334</v>
      </c>
      <c r="C29" s="831">
        <f t="shared" ref="C29:M29" si="3">AVERAGE(C30:C41)</f>
        <v>0.17250000000000001</v>
      </c>
      <c r="D29" s="831">
        <f t="shared" si="3"/>
        <v>0</v>
      </c>
      <c r="E29" s="831">
        <f t="shared" si="3"/>
        <v>1.2591666666666668</v>
      </c>
      <c r="F29" s="831">
        <f t="shared" si="3"/>
        <v>0.23833333333333337</v>
      </c>
      <c r="G29" s="831">
        <f t="shared" si="3"/>
        <v>0</v>
      </c>
      <c r="H29" s="831">
        <f t="shared" si="3"/>
        <v>1.7641666666666664</v>
      </c>
      <c r="I29" s="831">
        <f t="shared" si="3"/>
        <v>0.40750000000000003</v>
      </c>
      <c r="J29" s="831">
        <f t="shared" si="3"/>
        <v>0</v>
      </c>
      <c r="K29" s="831">
        <f t="shared" si="3"/>
        <v>1.9741666666666668</v>
      </c>
      <c r="L29" s="831">
        <f t="shared" si="3"/>
        <v>0.56000000000000005</v>
      </c>
      <c r="M29" s="831">
        <f t="shared" si="3"/>
        <v>0</v>
      </c>
      <c r="N29" s="657" t="s">
        <v>2320</v>
      </c>
      <c r="O29" s="831">
        <f t="shared" ref="O29:Z29" si="4">AVERAGE(O30:O41)</f>
        <v>0.77499999999999991</v>
      </c>
      <c r="P29" s="831">
        <f t="shared" si="4"/>
        <v>0.30499999999999999</v>
      </c>
      <c r="Q29" s="831">
        <f t="shared" si="4"/>
        <v>0.16999999999999996</v>
      </c>
      <c r="R29" s="831">
        <f t="shared" si="4"/>
        <v>1.6150000000000002</v>
      </c>
      <c r="S29" s="831">
        <f t="shared" si="4"/>
        <v>0.38666666666666671</v>
      </c>
      <c r="T29" s="831">
        <f t="shared" si="4"/>
        <v>0.17833333333333332</v>
      </c>
      <c r="U29" s="831">
        <f t="shared" si="4"/>
        <v>0.98749999999999993</v>
      </c>
      <c r="V29" s="831">
        <f t="shared" si="4"/>
        <v>0.5083333333333333</v>
      </c>
      <c r="W29" s="831">
        <f t="shared" si="4"/>
        <v>0.24583333333333335</v>
      </c>
      <c r="X29" s="831">
        <f t="shared" si="4"/>
        <v>1.0891666666666666</v>
      </c>
      <c r="Y29" s="831">
        <f t="shared" si="4"/>
        <v>0.57500000000000007</v>
      </c>
      <c r="Z29" s="831">
        <f t="shared" si="4"/>
        <v>0.31749999999999995</v>
      </c>
      <c r="AA29" s="657" t="s">
        <v>2320</v>
      </c>
      <c r="AB29" s="831">
        <f t="shared" ref="AB29:AM29" si="5">AVERAGE(AB30:AB41)</f>
        <v>0.87833333333333341</v>
      </c>
      <c r="AC29" s="831">
        <f t="shared" si="5"/>
        <v>0.53999999999999992</v>
      </c>
      <c r="AD29" s="831">
        <f t="shared" si="5"/>
        <v>0.52083333333333337</v>
      </c>
      <c r="AE29" s="831">
        <f t="shared" si="5"/>
        <v>0.79499999999999993</v>
      </c>
      <c r="AF29" s="831">
        <f t="shared" si="5"/>
        <v>0.58083333333333342</v>
      </c>
      <c r="AG29" s="831">
        <f t="shared" si="5"/>
        <v>0.38999999999999996</v>
      </c>
      <c r="AH29" s="831">
        <f t="shared" si="5"/>
        <v>0.85083333333333322</v>
      </c>
      <c r="AI29" s="831">
        <f t="shared" si="5"/>
        <v>0.66500000000000004</v>
      </c>
      <c r="AJ29" s="831">
        <f t="shared" si="5"/>
        <v>0.57250000000000012</v>
      </c>
      <c r="AK29" s="831">
        <f t="shared" si="5"/>
        <v>1.1216666666666666</v>
      </c>
      <c r="AL29" s="831">
        <f t="shared" si="5"/>
        <v>0.76499999999999979</v>
      </c>
      <c r="AM29" s="831">
        <f t="shared" si="5"/>
        <v>0.72166666666666668</v>
      </c>
    </row>
    <row r="30" spans="1:39" s="393" customFormat="1" ht="12" customHeight="1">
      <c r="A30" s="1188" t="s">
        <v>843</v>
      </c>
      <c r="B30" s="661">
        <v>0.79</v>
      </c>
      <c r="C30" s="661">
        <v>0</v>
      </c>
      <c r="D30" s="661">
        <v>0</v>
      </c>
      <c r="E30" s="661">
        <v>0.84</v>
      </c>
      <c r="F30" s="658">
        <v>0.04</v>
      </c>
      <c r="G30" s="661">
        <v>0</v>
      </c>
      <c r="H30" s="658">
        <v>1.18</v>
      </c>
      <c r="I30" s="661">
        <v>0.17</v>
      </c>
      <c r="J30" s="661">
        <v>0</v>
      </c>
      <c r="K30" s="661">
        <v>1.4</v>
      </c>
      <c r="L30" s="661">
        <v>0.33</v>
      </c>
      <c r="M30" s="661">
        <v>0</v>
      </c>
      <c r="N30" s="1188" t="s">
        <v>843</v>
      </c>
      <c r="O30" s="661">
        <v>0.57999999999999996</v>
      </c>
      <c r="P30" s="658">
        <v>0.33</v>
      </c>
      <c r="Q30" s="658">
        <v>0.17</v>
      </c>
      <c r="R30" s="661">
        <v>1.1000000000000001</v>
      </c>
      <c r="S30" s="661">
        <v>0.27</v>
      </c>
      <c r="T30" s="658">
        <v>0.18</v>
      </c>
      <c r="U30" s="661">
        <v>0.74</v>
      </c>
      <c r="V30" s="658">
        <v>0.35</v>
      </c>
      <c r="W30" s="658">
        <v>0.24</v>
      </c>
      <c r="X30" s="661">
        <v>0.9</v>
      </c>
      <c r="Y30" s="658">
        <v>0.49</v>
      </c>
      <c r="Z30" s="661">
        <v>0.31</v>
      </c>
      <c r="AA30" s="1188" t="s">
        <v>843</v>
      </c>
      <c r="AB30" s="661">
        <v>1.05</v>
      </c>
      <c r="AC30" s="661">
        <v>0.53</v>
      </c>
      <c r="AD30" s="661">
        <v>0.59</v>
      </c>
      <c r="AE30" s="661">
        <v>1.01</v>
      </c>
      <c r="AF30" s="661">
        <v>0.54</v>
      </c>
      <c r="AG30" s="661">
        <v>0.45</v>
      </c>
      <c r="AH30" s="661">
        <v>0.8</v>
      </c>
      <c r="AI30" s="661">
        <v>0.67</v>
      </c>
      <c r="AJ30" s="661">
        <v>0.73</v>
      </c>
      <c r="AK30" s="661">
        <v>1.02</v>
      </c>
      <c r="AL30" s="661">
        <v>0.76</v>
      </c>
      <c r="AM30" s="661">
        <v>0.83</v>
      </c>
    </row>
    <row r="31" spans="1:39" s="393" customFormat="1" ht="12" customHeight="1">
      <c r="A31" s="1225" t="s">
        <v>844</v>
      </c>
      <c r="B31" s="840">
        <v>0.8</v>
      </c>
      <c r="C31" s="840">
        <v>0</v>
      </c>
      <c r="D31" s="840">
        <v>0</v>
      </c>
      <c r="E31" s="840">
        <v>0.84</v>
      </c>
      <c r="F31" s="691">
        <v>0.03</v>
      </c>
      <c r="G31" s="840">
        <v>0</v>
      </c>
      <c r="H31" s="691">
        <v>1.18</v>
      </c>
      <c r="I31" s="840">
        <v>0.14000000000000001</v>
      </c>
      <c r="J31" s="840">
        <v>0</v>
      </c>
      <c r="K31" s="840">
        <v>1.39</v>
      </c>
      <c r="L31" s="840">
        <v>0.28999999999999998</v>
      </c>
      <c r="M31" s="840">
        <v>0</v>
      </c>
      <c r="N31" s="1225" t="s">
        <v>844</v>
      </c>
      <c r="O31" s="840">
        <v>0.57999999999999996</v>
      </c>
      <c r="P31" s="691">
        <v>0.33</v>
      </c>
      <c r="Q31" s="691">
        <v>0.17</v>
      </c>
      <c r="R31" s="840">
        <v>1.1499999999999999</v>
      </c>
      <c r="S31" s="840">
        <v>0.26</v>
      </c>
      <c r="T31" s="691">
        <v>0.18</v>
      </c>
      <c r="U31" s="840">
        <v>0.74</v>
      </c>
      <c r="V31" s="691">
        <v>0.35</v>
      </c>
      <c r="W31" s="691">
        <v>0.24</v>
      </c>
      <c r="X31" s="840">
        <v>0.89</v>
      </c>
      <c r="Y31" s="691">
        <v>0.48</v>
      </c>
      <c r="Z31" s="840">
        <v>0.31</v>
      </c>
      <c r="AA31" s="1225" t="s">
        <v>844</v>
      </c>
      <c r="AB31" s="840">
        <v>1.1000000000000001</v>
      </c>
      <c r="AC31" s="840">
        <v>0.45</v>
      </c>
      <c r="AD31" s="840">
        <v>0.59</v>
      </c>
      <c r="AE31" s="840">
        <v>1.01</v>
      </c>
      <c r="AF31" s="840">
        <v>0.61</v>
      </c>
      <c r="AG31" s="840">
        <v>0.45</v>
      </c>
      <c r="AH31" s="840">
        <v>0.78</v>
      </c>
      <c r="AI31" s="840">
        <v>0.63</v>
      </c>
      <c r="AJ31" s="840">
        <v>0.73</v>
      </c>
      <c r="AK31" s="840">
        <v>1.02</v>
      </c>
      <c r="AL31" s="840">
        <v>0.76</v>
      </c>
      <c r="AM31" s="840">
        <v>0.83</v>
      </c>
    </row>
    <row r="32" spans="1:39" s="393" customFormat="1" ht="12" customHeight="1">
      <c r="A32" s="1292" t="s">
        <v>838</v>
      </c>
      <c r="B32" s="661">
        <v>0.8</v>
      </c>
      <c r="C32" s="661">
        <v>0</v>
      </c>
      <c r="D32" s="661">
        <v>0</v>
      </c>
      <c r="E32" s="661">
        <v>0.85</v>
      </c>
      <c r="F32" s="658">
        <v>0.04</v>
      </c>
      <c r="G32" s="661">
        <v>0</v>
      </c>
      <c r="H32" s="658">
        <v>1.18</v>
      </c>
      <c r="I32" s="661">
        <v>0.14000000000000001</v>
      </c>
      <c r="J32" s="661">
        <v>0</v>
      </c>
      <c r="K32" s="661">
        <v>1.38</v>
      </c>
      <c r="L32" s="661">
        <v>0.3</v>
      </c>
      <c r="M32" s="661">
        <v>0</v>
      </c>
      <c r="N32" s="1292" t="s">
        <v>838</v>
      </c>
      <c r="O32" s="661">
        <v>0.6</v>
      </c>
      <c r="P32" s="658">
        <v>0.33</v>
      </c>
      <c r="Q32" s="658">
        <v>0.17</v>
      </c>
      <c r="R32" s="661">
        <v>1.17</v>
      </c>
      <c r="S32" s="661">
        <v>0.28000000000000003</v>
      </c>
      <c r="T32" s="658">
        <v>0.18</v>
      </c>
      <c r="U32" s="661">
        <v>0.77</v>
      </c>
      <c r="V32" s="658">
        <v>0.37</v>
      </c>
      <c r="W32" s="658">
        <v>0.24</v>
      </c>
      <c r="X32" s="661">
        <v>0.92</v>
      </c>
      <c r="Y32" s="658">
        <v>0.52</v>
      </c>
      <c r="Z32" s="661">
        <v>0.31</v>
      </c>
      <c r="AA32" s="1292" t="s">
        <v>838</v>
      </c>
      <c r="AB32" s="661">
        <v>1.01</v>
      </c>
      <c r="AC32" s="661">
        <v>0.52</v>
      </c>
      <c r="AD32" s="661">
        <v>0.42</v>
      </c>
      <c r="AE32" s="661">
        <v>1.06</v>
      </c>
      <c r="AF32" s="661">
        <v>0.59</v>
      </c>
      <c r="AG32" s="661">
        <v>0.35</v>
      </c>
      <c r="AH32" s="661">
        <v>0.77</v>
      </c>
      <c r="AI32" s="661">
        <v>0.64</v>
      </c>
      <c r="AJ32" s="661">
        <v>0.64</v>
      </c>
      <c r="AK32" s="661">
        <v>1.02</v>
      </c>
      <c r="AL32" s="661">
        <v>0.76</v>
      </c>
      <c r="AM32" s="661">
        <v>0.7</v>
      </c>
    </row>
    <row r="33" spans="1:39" s="393" customFormat="1" ht="12" customHeight="1">
      <c r="A33" s="1348" t="s">
        <v>845</v>
      </c>
      <c r="B33" s="840">
        <v>0.9</v>
      </c>
      <c r="C33" s="840">
        <v>0.09</v>
      </c>
      <c r="D33" s="840">
        <v>0</v>
      </c>
      <c r="E33" s="840">
        <v>0.98</v>
      </c>
      <c r="F33" s="691">
        <v>0.14000000000000001</v>
      </c>
      <c r="G33" s="840">
        <v>0</v>
      </c>
      <c r="H33" s="691">
        <v>1.46</v>
      </c>
      <c r="I33" s="840">
        <v>0.34</v>
      </c>
      <c r="J33" s="840">
        <v>0</v>
      </c>
      <c r="K33" s="840">
        <v>1.67</v>
      </c>
      <c r="L33" s="840">
        <v>0.51</v>
      </c>
      <c r="M33" s="840">
        <v>0</v>
      </c>
      <c r="N33" s="1348" t="s">
        <v>845</v>
      </c>
      <c r="O33" s="840">
        <v>0.55000000000000004</v>
      </c>
      <c r="P33" s="691">
        <v>0.32</v>
      </c>
      <c r="Q33" s="691">
        <v>0.17</v>
      </c>
      <c r="R33" s="840">
        <v>1.1599999999999999</v>
      </c>
      <c r="S33" s="840">
        <v>0.28999999999999998</v>
      </c>
      <c r="T33" s="691">
        <v>0.18</v>
      </c>
      <c r="U33" s="840">
        <v>0.75</v>
      </c>
      <c r="V33" s="691">
        <v>0.37</v>
      </c>
      <c r="W33" s="691">
        <v>0.25</v>
      </c>
      <c r="X33" s="840">
        <v>0.88</v>
      </c>
      <c r="Y33" s="691">
        <v>0.51</v>
      </c>
      <c r="Z33" s="840">
        <v>0.32</v>
      </c>
      <c r="AA33" s="1348" t="s">
        <v>845</v>
      </c>
      <c r="AB33" s="840">
        <v>1.1000000000000001</v>
      </c>
      <c r="AC33" s="840">
        <v>0.56999999999999995</v>
      </c>
      <c r="AD33" s="840">
        <v>0.46</v>
      </c>
      <c r="AE33" s="840">
        <v>1.01</v>
      </c>
      <c r="AF33" s="840">
        <v>0.55000000000000004</v>
      </c>
      <c r="AG33" s="840">
        <v>0.45</v>
      </c>
      <c r="AH33" s="840">
        <v>0.76</v>
      </c>
      <c r="AI33" s="840">
        <v>0.65</v>
      </c>
      <c r="AJ33" s="840">
        <v>0.53</v>
      </c>
      <c r="AK33" s="840">
        <v>1.02</v>
      </c>
      <c r="AL33" s="840">
        <v>0.76</v>
      </c>
      <c r="AM33" s="840">
        <v>0.7</v>
      </c>
    </row>
    <row r="34" spans="1:39" s="393" customFormat="1" ht="12" customHeight="1">
      <c r="A34" s="1376" t="s">
        <v>846</v>
      </c>
      <c r="B34" s="661">
        <v>0.91</v>
      </c>
      <c r="C34" s="661">
        <v>0.19</v>
      </c>
      <c r="D34" s="661">
        <v>0</v>
      </c>
      <c r="E34" s="661">
        <v>1.03</v>
      </c>
      <c r="F34" s="658">
        <v>0.23</v>
      </c>
      <c r="G34" s="661">
        <v>0</v>
      </c>
      <c r="H34" s="658">
        <v>1.53</v>
      </c>
      <c r="I34" s="661">
        <v>0.41</v>
      </c>
      <c r="J34" s="661">
        <v>0</v>
      </c>
      <c r="K34" s="661">
        <v>1.74</v>
      </c>
      <c r="L34" s="661">
        <v>0.56000000000000005</v>
      </c>
      <c r="M34" s="661">
        <v>0</v>
      </c>
      <c r="N34" s="1376" t="s">
        <v>846</v>
      </c>
      <c r="O34" s="661">
        <v>0.57999999999999996</v>
      </c>
      <c r="P34" s="658">
        <v>0.37</v>
      </c>
      <c r="Q34" s="658">
        <v>0.17</v>
      </c>
      <c r="R34" s="661">
        <v>1.24</v>
      </c>
      <c r="S34" s="661">
        <v>0.57999999999999996</v>
      </c>
      <c r="T34" s="658">
        <v>0.18</v>
      </c>
      <c r="U34" s="661">
        <v>0.77</v>
      </c>
      <c r="V34" s="658">
        <v>0.69</v>
      </c>
      <c r="W34" s="658">
        <v>0.25</v>
      </c>
      <c r="X34" s="661">
        <v>0.91</v>
      </c>
      <c r="Y34" s="658">
        <v>0.51</v>
      </c>
      <c r="Z34" s="661">
        <v>0.32</v>
      </c>
      <c r="AA34" s="1376" t="s">
        <v>846</v>
      </c>
      <c r="AB34" s="661">
        <v>0.67</v>
      </c>
      <c r="AC34" s="661">
        <v>0.5</v>
      </c>
      <c r="AD34" s="661">
        <v>0.46</v>
      </c>
      <c r="AE34" s="661">
        <v>0.59</v>
      </c>
      <c r="AF34" s="661">
        <v>0.62</v>
      </c>
      <c r="AG34" s="661">
        <v>0.45</v>
      </c>
      <c r="AH34" s="661">
        <v>0.82</v>
      </c>
      <c r="AI34" s="661">
        <v>0.65</v>
      </c>
      <c r="AJ34" s="661">
        <v>0.53</v>
      </c>
      <c r="AK34" s="661">
        <v>1.04</v>
      </c>
      <c r="AL34" s="661">
        <v>0.77</v>
      </c>
      <c r="AM34" s="661">
        <v>0.7</v>
      </c>
    </row>
    <row r="35" spans="1:39" s="393" customFormat="1" ht="12" customHeight="1">
      <c r="A35" s="1381" t="s">
        <v>839</v>
      </c>
      <c r="B35" s="840">
        <v>1</v>
      </c>
      <c r="C35" s="840">
        <v>0.23</v>
      </c>
      <c r="D35" s="840">
        <v>0</v>
      </c>
      <c r="E35" s="840">
        <v>1.1100000000000001</v>
      </c>
      <c r="F35" s="691">
        <v>0.26</v>
      </c>
      <c r="G35" s="840">
        <v>0</v>
      </c>
      <c r="H35" s="691">
        <v>1.61</v>
      </c>
      <c r="I35" s="840">
        <v>0.41</v>
      </c>
      <c r="J35" s="840">
        <v>0</v>
      </c>
      <c r="K35" s="840">
        <v>1.83</v>
      </c>
      <c r="L35" s="840">
        <v>0.56000000000000005</v>
      </c>
      <c r="M35" s="840">
        <v>0</v>
      </c>
      <c r="N35" s="1381" t="s">
        <v>839</v>
      </c>
      <c r="O35" s="840">
        <v>0.61</v>
      </c>
      <c r="P35" s="691">
        <v>0.37</v>
      </c>
      <c r="Q35" s="691">
        <v>0.17</v>
      </c>
      <c r="R35" s="840">
        <v>1.44</v>
      </c>
      <c r="S35" s="840">
        <v>0.6</v>
      </c>
      <c r="T35" s="691">
        <v>0.18</v>
      </c>
      <c r="U35" s="840">
        <v>0.86</v>
      </c>
      <c r="V35" s="691">
        <v>0.69</v>
      </c>
      <c r="W35" s="691">
        <v>0.25</v>
      </c>
      <c r="X35" s="840">
        <v>0.95</v>
      </c>
      <c r="Y35" s="691">
        <v>0.51</v>
      </c>
      <c r="Z35" s="840">
        <v>0.32</v>
      </c>
      <c r="AA35" s="1381" t="s">
        <v>839</v>
      </c>
      <c r="AB35" s="840">
        <v>0.61</v>
      </c>
      <c r="AC35" s="840">
        <v>0.57999999999999996</v>
      </c>
      <c r="AD35" s="840">
        <v>0.45</v>
      </c>
      <c r="AE35" s="840">
        <v>0.61</v>
      </c>
      <c r="AF35" s="840">
        <v>0.57999999999999996</v>
      </c>
      <c r="AG35" s="840">
        <v>0.35</v>
      </c>
      <c r="AH35" s="840">
        <v>0.83</v>
      </c>
      <c r="AI35" s="840">
        <v>0.61</v>
      </c>
      <c r="AJ35" s="840">
        <v>0.53</v>
      </c>
      <c r="AK35" s="840">
        <v>1.04</v>
      </c>
      <c r="AL35" s="840">
        <v>0.77</v>
      </c>
      <c r="AM35" s="840">
        <v>0.7</v>
      </c>
    </row>
    <row r="36" spans="1:39" s="393" customFormat="1" ht="12" customHeight="1">
      <c r="A36" s="1388" t="s">
        <v>847</v>
      </c>
      <c r="B36" s="661">
        <v>1.1599999999999999</v>
      </c>
      <c r="C36" s="661">
        <v>0.26</v>
      </c>
      <c r="D36" s="661">
        <v>0</v>
      </c>
      <c r="E36" s="661">
        <v>1.28</v>
      </c>
      <c r="F36" s="658">
        <v>0.28000000000000003</v>
      </c>
      <c r="G36" s="661">
        <v>0</v>
      </c>
      <c r="H36" s="661">
        <v>1.8</v>
      </c>
      <c r="I36" s="661">
        <v>0.42</v>
      </c>
      <c r="J36" s="661">
        <v>0</v>
      </c>
      <c r="K36" s="661">
        <v>2.0099999999999998</v>
      </c>
      <c r="L36" s="661">
        <v>0.56000000000000005</v>
      </c>
      <c r="M36" s="661">
        <v>0</v>
      </c>
      <c r="N36" s="1388" t="s">
        <v>847</v>
      </c>
      <c r="O36" s="661">
        <v>0.62</v>
      </c>
      <c r="P36" s="658">
        <v>0.37</v>
      </c>
      <c r="Q36" s="658">
        <v>0.17</v>
      </c>
      <c r="R36" s="661">
        <v>1.55</v>
      </c>
      <c r="S36" s="661">
        <v>0.35</v>
      </c>
      <c r="T36" s="658">
        <v>0.18</v>
      </c>
      <c r="U36" s="661">
        <v>0.95</v>
      </c>
      <c r="V36" s="658">
        <v>0.65</v>
      </c>
      <c r="W36" s="658">
        <v>0.25</v>
      </c>
      <c r="X36" s="661">
        <v>1.02</v>
      </c>
      <c r="Y36" s="658">
        <v>0.51</v>
      </c>
      <c r="Z36" s="661">
        <v>0.32</v>
      </c>
      <c r="AA36" s="1388" t="s">
        <v>847</v>
      </c>
      <c r="AB36" s="661">
        <v>0.75</v>
      </c>
      <c r="AC36" s="661">
        <v>0.57999999999999996</v>
      </c>
      <c r="AD36" s="661">
        <v>0.56999999999999995</v>
      </c>
      <c r="AE36" s="661">
        <v>0.64</v>
      </c>
      <c r="AF36" s="661">
        <v>0.59</v>
      </c>
      <c r="AG36" s="661">
        <v>0.37</v>
      </c>
      <c r="AH36" s="661">
        <v>0.83</v>
      </c>
      <c r="AI36" s="661">
        <v>0.61</v>
      </c>
      <c r="AJ36" s="661">
        <v>0.53</v>
      </c>
      <c r="AK36" s="661">
        <v>1.04</v>
      </c>
      <c r="AL36" s="661">
        <v>0.77</v>
      </c>
      <c r="AM36" s="661">
        <v>0.7</v>
      </c>
    </row>
    <row r="37" spans="1:39" s="393" customFormat="1" ht="12" customHeight="1">
      <c r="A37" s="1414" t="s">
        <v>848</v>
      </c>
      <c r="B37" s="840">
        <v>1.18</v>
      </c>
      <c r="C37" s="840">
        <v>0.26</v>
      </c>
      <c r="D37" s="840">
        <v>0</v>
      </c>
      <c r="E37" s="840">
        <v>1.35</v>
      </c>
      <c r="F37" s="691">
        <v>0.28999999999999998</v>
      </c>
      <c r="G37" s="840">
        <v>0</v>
      </c>
      <c r="H37" s="840">
        <v>1.95</v>
      </c>
      <c r="I37" s="840">
        <v>0.45</v>
      </c>
      <c r="J37" s="840">
        <v>0</v>
      </c>
      <c r="K37" s="840">
        <v>2.17</v>
      </c>
      <c r="L37" s="840">
        <v>0.61</v>
      </c>
      <c r="M37" s="840">
        <v>0</v>
      </c>
      <c r="N37" s="1414" t="s">
        <v>848</v>
      </c>
      <c r="O37" s="840">
        <v>0.93</v>
      </c>
      <c r="P37" s="691">
        <v>0.24</v>
      </c>
      <c r="Q37" s="691">
        <v>0.17</v>
      </c>
      <c r="R37" s="840">
        <v>1.84</v>
      </c>
      <c r="S37" s="840">
        <v>0.39</v>
      </c>
      <c r="T37" s="691">
        <v>0.18</v>
      </c>
      <c r="U37" s="840">
        <v>1.1499999999999999</v>
      </c>
      <c r="V37" s="691">
        <v>0.71</v>
      </c>
      <c r="W37" s="691">
        <v>0.25</v>
      </c>
      <c r="X37" s="840">
        <v>1.3</v>
      </c>
      <c r="Y37" s="691">
        <v>0.57999999999999996</v>
      </c>
      <c r="Z37" s="840">
        <v>0.32</v>
      </c>
      <c r="AA37" s="1414" t="s">
        <v>848</v>
      </c>
      <c r="AB37" s="840">
        <v>0.77</v>
      </c>
      <c r="AC37" s="840">
        <v>0.54</v>
      </c>
      <c r="AD37" s="840">
        <v>0.56999999999999995</v>
      </c>
      <c r="AE37" s="840">
        <v>0.7</v>
      </c>
      <c r="AF37" s="840">
        <v>0.56000000000000005</v>
      </c>
      <c r="AG37" s="840">
        <v>0.37</v>
      </c>
      <c r="AH37" s="840">
        <v>0.89</v>
      </c>
      <c r="AI37" s="840">
        <v>0.66</v>
      </c>
      <c r="AJ37" s="840">
        <v>0.53</v>
      </c>
      <c r="AK37" s="840">
        <v>1.2</v>
      </c>
      <c r="AL37" s="840">
        <v>0.77</v>
      </c>
      <c r="AM37" s="840">
        <v>0.7</v>
      </c>
    </row>
    <row r="38" spans="1:39" s="393" customFormat="1" ht="12" customHeight="1">
      <c r="A38" s="1426" t="s">
        <v>840</v>
      </c>
      <c r="B38" s="661">
        <v>1.31</v>
      </c>
      <c r="C38" s="661">
        <v>0.26</v>
      </c>
      <c r="D38" s="661">
        <v>0</v>
      </c>
      <c r="E38" s="661">
        <v>1.61</v>
      </c>
      <c r="F38" s="658">
        <v>0.35</v>
      </c>
      <c r="G38" s="661">
        <v>0</v>
      </c>
      <c r="H38" s="661">
        <v>2.2400000000000002</v>
      </c>
      <c r="I38" s="661">
        <v>0.54</v>
      </c>
      <c r="J38" s="661">
        <v>0</v>
      </c>
      <c r="K38" s="661">
        <v>2.44</v>
      </c>
      <c r="L38" s="661">
        <v>0.7</v>
      </c>
      <c r="M38" s="661">
        <v>0</v>
      </c>
      <c r="N38" s="1426" t="s">
        <v>840</v>
      </c>
      <c r="O38" s="661">
        <v>1.01</v>
      </c>
      <c r="P38" s="658">
        <v>0.25</v>
      </c>
      <c r="Q38" s="658">
        <v>0.17</v>
      </c>
      <c r="R38" s="661">
        <v>2.14</v>
      </c>
      <c r="S38" s="661">
        <v>0.4</v>
      </c>
      <c r="T38" s="658">
        <v>0.18</v>
      </c>
      <c r="U38" s="661">
        <v>1.25</v>
      </c>
      <c r="V38" s="658">
        <v>0.49</v>
      </c>
      <c r="W38" s="658">
        <v>0.25</v>
      </c>
      <c r="X38" s="661">
        <v>1.25</v>
      </c>
      <c r="Y38" s="658">
        <v>0.54</v>
      </c>
      <c r="Z38" s="661">
        <v>0.32</v>
      </c>
      <c r="AA38" s="1426" t="s">
        <v>840</v>
      </c>
      <c r="AB38" s="661">
        <v>0.74</v>
      </c>
      <c r="AC38" s="661">
        <v>0.55000000000000004</v>
      </c>
      <c r="AD38" s="661">
        <v>0.5</v>
      </c>
      <c r="AE38" s="661">
        <v>0.75</v>
      </c>
      <c r="AF38" s="661">
        <v>0.51</v>
      </c>
      <c r="AG38" s="661">
        <v>0.35</v>
      </c>
      <c r="AH38" s="661">
        <v>0.9</v>
      </c>
      <c r="AI38" s="661">
        <v>0.66</v>
      </c>
      <c r="AJ38" s="661">
        <v>0.53</v>
      </c>
      <c r="AK38" s="661">
        <v>1.26</v>
      </c>
      <c r="AL38" s="661">
        <v>0.77</v>
      </c>
      <c r="AM38" s="661">
        <v>0.7</v>
      </c>
    </row>
    <row r="39" spans="1:39" s="393" customFormat="1" ht="12" customHeight="1">
      <c r="A39" s="1435" t="s">
        <v>849</v>
      </c>
      <c r="B39" s="840">
        <v>1.43</v>
      </c>
      <c r="C39" s="840">
        <v>0.27</v>
      </c>
      <c r="D39" s="840">
        <v>0</v>
      </c>
      <c r="E39" s="840">
        <v>1.78</v>
      </c>
      <c r="F39" s="691">
        <v>0.46</v>
      </c>
      <c r="G39" s="840">
        <v>0</v>
      </c>
      <c r="H39" s="840">
        <v>2.42</v>
      </c>
      <c r="I39" s="840">
        <v>0.7</v>
      </c>
      <c r="J39" s="840">
        <v>0</v>
      </c>
      <c r="K39" s="840">
        <v>2.59</v>
      </c>
      <c r="L39" s="840">
        <v>0.82</v>
      </c>
      <c r="M39" s="840">
        <v>0</v>
      </c>
      <c r="N39" s="1435" t="s">
        <v>849</v>
      </c>
      <c r="O39" s="840">
        <v>1.02</v>
      </c>
      <c r="P39" s="691">
        <v>0.25</v>
      </c>
      <c r="Q39" s="691">
        <v>0.17</v>
      </c>
      <c r="R39" s="840">
        <v>2.19</v>
      </c>
      <c r="S39" s="840">
        <v>0.42</v>
      </c>
      <c r="T39" s="691">
        <v>0.17</v>
      </c>
      <c r="U39" s="840">
        <v>1.28</v>
      </c>
      <c r="V39" s="691">
        <v>0.49</v>
      </c>
      <c r="W39" s="691">
        <v>0.24</v>
      </c>
      <c r="X39" s="840">
        <v>1.29</v>
      </c>
      <c r="Y39" s="691">
        <v>1.1100000000000001</v>
      </c>
      <c r="Z39" s="840">
        <v>0.32</v>
      </c>
      <c r="AA39" s="1435" t="s">
        <v>849</v>
      </c>
      <c r="AB39" s="840">
        <v>0.88</v>
      </c>
      <c r="AC39" s="840">
        <v>0.59</v>
      </c>
      <c r="AD39" s="840">
        <v>0.56999999999999995</v>
      </c>
      <c r="AE39" s="840">
        <v>0.7</v>
      </c>
      <c r="AF39" s="840">
        <v>0.53</v>
      </c>
      <c r="AG39" s="840">
        <v>0.37</v>
      </c>
      <c r="AH39" s="840">
        <v>0.94</v>
      </c>
      <c r="AI39" s="840">
        <v>0.72</v>
      </c>
      <c r="AJ39" s="840">
        <v>0.53</v>
      </c>
      <c r="AK39" s="840">
        <v>1.26</v>
      </c>
      <c r="AL39" s="840">
        <v>0.77</v>
      </c>
      <c r="AM39" s="840">
        <v>0.7</v>
      </c>
    </row>
    <row r="40" spans="1:39" s="393" customFormat="1" ht="12" customHeight="1">
      <c r="A40" s="1438" t="s">
        <v>850</v>
      </c>
      <c r="B40" s="661">
        <v>1.39</v>
      </c>
      <c r="C40" s="661">
        <v>0.26</v>
      </c>
      <c r="D40" s="661">
        <v>0</v>
      </c>
      <c r="E40" s="661">
        <v>1.72</v>
      </c>
      <c r="F40" s="658">
        <v>0.39</v>
      </c>
      <c r="G40" s="661">
        <v>0</v>
      </c>
      <c r="H40" s="661">
        <v>2.31</v>
      </c>
      <c r="I40" s="661">
        <v>0.61</v>
      </c>
      <c r="J40" s="661">
        <v>0</v>
      </c>
      <c r="K40" s="661">
        <v>2.5099999999999998</v>
      </c>
      <c r="L40" s="661">
        <v>0.74</v>
      </c>
      <c r="M40" s="661">
        <v>0</v>
      </c>
      <c r="N40" s="1438" t="s">
        <v>850</v>
      </c>
      <c r="O40" s="661">
        <v>1.08</v>
      </c>
      <c r="P40" s="658">
        <v>0.25</v>
      </c>
      <c r="Q40" s="658">
        <v>0.17</v>
      </c>
      <c r="R40" s="661">
        <v>2.19</v>
      </c>
      <c r="S40" s="661">
        <v>0.4</v>
      </c>
      <c r="T40" s="658">
        <v>0.17</v>
      </c>
      <c r="U40" s="661">
        <v>1.23</v>
      </c>
      <c r="V40" s="658">
        <v>0.46</v>
      </c>
      <c r="W40" s="658">
        <v>0.24</v>
      </c>
      <c r="X40" s="661">
        <v>1.32</v>
      </c>
      <c r="Y40" s="658">
        <v>0.56000000000000005</v>
      </c>
      <c r="Z40" s="661">
        <v>0.32</v>
      </c>
      <c r="AA40" s="1438" t="s">
        <v>850</v>
      </c>
      <c r="AB40" s="661">
        <v>0.85</v>
      </c>
      <c r="AC40" s="661">
        <v>0.49</v>
      </c>
      <c r="AD40" s="661">
        <v>0.56999999999999995</v>
      </c>
      <c r="AE40" s="661">
        <v>0.7</v>
      </c>
      <c r="AF40" s="661">
        <v>0.66</v>
      </c>
      <c r="AG40" s="661">
        <v>0.37</v>
      </c>
      <c r="AH40" s="661">
        <v>0.94</v>
      </c>
      <c r="AI40" s="661">
        <v>0.73</v>
      </c>
      <c r="AJ40" s="661">
        <v>0.53</v>
      </c>
      <c r="AK40" s="661">
        <v>1.27</v>
      </c>
      <c r="AL40" s="661">
        <v>0.76</v>
      </c>
      <c r="AM40" s="661">
        <v>0.7</v>
      </c>
    </row>
    <row r="41" spans="1:39" s="393" customFormat="1" ht="12" customHeight="1">
      <c r="A41" s="1450" t="s">
        <v>841</v>
      </c>
      <c r="B41" s="840">
        <v>1.48</v>
      </c>
      <c r="C41" s="840">
        <v>0.25</v>
      </c>
      <c r="D41" s="840">
        <v>0</v>
      </c>
      <c r="E41" s="840">
        <v>1.72</v>
      </c>
      <c r="F41" s="691">
        <v>0.35</v>
      </c>
      <c r="G41" s="840">
        <v>0</v>
      </c>
      <c r="H41" s="840">
        <v>2.31</v>
      </c>
      <c r="I41" s="840">
        <v>0.56000000000000005</v>
      </c>
      <c r="J41" s="840">
        <v>0</v>
      </c>
      <c r="K41" s="840">
        <v>2.56</v>
      </c>
      <c r="L41" s="840">
        <v>0.74</v>
      </c>
      <c r="M41" s="840">
        <v>0</v>
      </c>
      <c r="N41" s="1450" t="s">
        <v>841</v>
      </c>
      <c r="O41" s="840">
        <v>1.1399999999999999</v>
      </c>
      <c r="P41" s="691">
        <v>0.25</v>
      </c>
      <c r="Q41" s="691">
        <v>0.17</v>
      </c>
      <c r="R41" s="840">
        <v>2.21</v>
      </c>
      <c r="S41" s="840">
        <v>0.4</v>
      </c>
      <c r="T41" s="691">
        <v>0.18</v>
      </c>
      <c r="U41" s="840">
        <v>1.36</v>
      </c>
      <c r="V41" s="691">
        <v>0.48</v>
      </c>
      <c r="W41" s="691">
        <v>0.25</v>
      </c>
      <c r="X41" s="840">
        <v>1.44</v>
      </c>
      <c r="Y41" s="691">
        <v>0.57999999999999996</v>
      </c>
      <c r="Z41" s="840">
        <v>0.32</v>
      </c>
      <c r="AA41" s="1450" t="s">
        <v>841</v>
      </c>
      <c r="AB41" s="840">
        <v>1.01</v>
      </c>
      <c r="AC41" s="840">
        <v>0.57999999999999996</v>
      </c>
      <c r="AD41" s="840">
        <v>0.5</v>
      </c>
      <c r="AE41" s="840">
        <v>0.76</v>
      </c>
      <c r="AF41" s="840">
        <v>0.63</v>
      </c>
      <c r="AG41" s="840">
        <v>0.35</v>
      </c>
      <c r="AH41" s="840">
        <v>0.95</v>
      </c>
      <c r="AI41" s="840">
        <v>0.75</v>
      </c>
      <c r="AJ41" s="840">
        <v>0.53</v>
      </c>
      <c r="AK41" s="840">
        <v>1.27</v>
      </c>
      <c r="AL41" s="840">
        <v>0.76</v>
      </c>
      <c r="AM41" s="840">
        <v>0.7</v>
      </c>
    </row>
    <row r="42" spans="1:39" s="393" customFormat="1" ht="12" customHeight="1">
      <c r="A42" s="1449" t="s">
        <v>2585</v>
      </c>
      <c r="B42" s="661"/>
      <c r="C42" s="661"/>
      <c r="D42" s="661"/>
      <c r="E42" s="661"/>
      <c r="F42" s="658"/>
      <c r="G42" s="661"/>
      <c r="H42" s="661"/>
      <c r="I42" s="661"/>
      <c r="J42" s="661"/>
      <c r="K42" s="661"/>
      <c r="L42" s="661"/>
      <c r="M42" s="661"/>
      <c r="N42" s="1467" t="s">
        <v>2585</v>
      </c>
      <c r="O42" s="661"/>
      <c r="P42" s="658"/>
      <c r="Q42" s="658"/>
      <c r="R42" s="661"/>
      <c r="S42" s="661"/>
      <c r="T42" s="658"/>
      <c r="U42" s="661"/>
      <c r="V42" s="658"/>
      <c r="W42" s="658"/>
      <c r="X42" s="661"/>
      <c r="Y42" s="658"/>
      <c r="Z42" s="661"/>
      <c r="AA42" s="1449" t="s">
        <v>2585</v>
      </c>
      <c r="AB42" s="661"/>
      <c r="AC42" s="661"/>
      <c r="AD42" s="661"/>
      <c r="AE42" s="661"/>
      <c r="AF42" s="661"/>
      <c r="AG42" s="661"/>
      <c r="AH42" s="661"/>
      <c r="AI42" s="661"/>
      <c r="AJ42" s="661"/>
      <c r="AK42" s="661"/>
      <c r="AL42" s="661"/>
      <c r="AM42" s="661"/>
    </row>
    <row r="43" spans="1:39" s="393" customFormat="1" ht="12" customHeight="1">
      <c r="A43" s="1477" t="s">
        <v>843</v>
      </c>
      <c r="B43" s="840">
        <v>1.51</v>
      </c>
      <c r="C43" s="840">
        <v>0.27</v>
      </c>
      <c r="D43" s="840">
        <v>0</v>
      </c>
      <c r="E43" s="840">
        <v>1.72</v>
      </c>
      <c r="F43" s="691">
        <v>0.41</v>
      </c>
      <c r="G43" s="840">
        <v>0</v>
      </c>
      <c r="H43" s="840">
        <v>2.3199999999999998</v>
      </c>
      <c r="I43" s="840">
        <v>0.62</v>
      </c>
      <c r="J43" s="840">
        <v>0</v>
      </c>
      <c r="K43" s="840">
        <v>2.59</v>
      </c>
      <c r="L43" s="840">
        <v>0.79</v>
      </c>
      <c r="M43" s="840">
        <v>0</v>
      </c>
      <c r="N43" s="1477" t="s">
        <v>843</v>
      </c>
      <c r="O43" s="840">
        <v>1.17</v>
      </c>
      <c r="P43" s="691">
        <v>0.33</v>
      </c>
      <c r="Q43" s="691">
        <v>0.17</v>
      </c>
      <c r="R43" s="840">
        <v>2.23</v>
      </c>
      <c r="S43" s="840">
        <v>0.47</v>
      </c>
      <c r="T43" s="691">
        <v>0.17</v>
      </c>
      <c r="U43" s="840">
        <v>1.39</v>
      </c>
      <c r="V43" s="691">
        <v>0.55000000000000004</v>
      </c>
      <c r="W43" s="691">
        <v>0.24</v>
      </c>
      <c r="X43" s="840">
        <v>1.52</v>
      </c>
      <c r="Y43" s="691">
        <v>0.66</v>
      </c>
      <c r="Z43" s="840">
        <v>0.32</v>
      </c>
      <c r="AA43" s="1477" t="s">
        <v>843</v>
      </c>
      <c r="AB43" s="840">
        <v>1.02</v>
      </c>
      <c r="AC43" s="840">
        <v>0.61</v>
      </c>
      <c r="AD43" s="840">
        <v>0.56999999999999995</v>
      </c>
      <c r="AE43" s="840">
        <v>0.74</v>
      </c>
      <c r="AF43" s="840">
        <v>0.6</v>
      </c>
      <c r="AG43" s="840">
        <v>0.37</v>
      </c>
      <c r="AH43" s="840">
        <v>0.95</v>
      </c>
      <c r="AI43" s="840">
        <v>0.75</v>
      </c>
      <c r="AJ43" s="840">
        <v>0.53</v>
      </c>
      <c r="AK43" s="840">
        <v>1.27</v>
      </c>
      <c r="AL43" s="840">
        <v>0.82</v>
      </c>
      <c r="AM43" s="840">
        <v>0.7</v>
      </c>
    </row>
    <row r="44" spans="1:39" s="393" customFormat="1" ht="12" customHeight="1">
      <c r="A44" s="1558" t="s">
        <v>844</v>
      </c>
      <c r="B44" s="661">
        <v>1.51</v>
      </c>
      <c r="C44" s="661">
        <v>0.39</v>
      </c>
      <c r="D44" s="661">
        <v>0</v>
      </c>
      <c r="E44" s="661">
        <v>1.72</v>
      </c>
      <c r="F44" s="658">
        <v>0.48</v>
      </c>
      <c r="G44" s="661">
        <v>0</v>
      </c>
      <c r="H44" s="661">
        <v>2.33</v>
      </c>
      <c r="I44" s="661">
        <v>0.7</v>
      </c>
      <c r="J44" s="661">
        <v>0</v>
      </c>
      <c r="K44" s="661">
        <v>2.62</v>
      </c>
      <c r="L44" s="661">
        <v>0.85</v>
      </c>
      <c r="M44" s="661">
        <v>0</v>
      </c>
      <c r="N44" s="1558" t="s">
        <v>844</v>
      </c>
      <c r="O44" s="661">
        <v>1.0900000000000001</v>
      </c>
      <c r="P44" s="658">
        <v>0.33</v>
      </c>
      <c r="Q44" s="658">
        <v>0.17</v>
      </c>
      <c r="R44" s="661">
        <v>2.15</v>
      </c>
      <c r="S44" s="661">
        <v>0.47</v>
      </c>
      <c r="T44" s="658">
        <v>0.17</v>
      </c>
      <c r="U44" s="661">
        <v>1.32</v>
      </c>
      <c r="V44" s="658">
        <v>0.54</v>
      </c>
      <c r="W44" s="658">
        <v>0.24</v>
      </c>
      <c r="X44" s="661">
        <v>1.42</v>
      </c>
      <c r="Y44" s="658">
        <v>0.63</v>
      </c>
      <c r="Z44" s="661">
        <v>0.31</v>
      </c>
      <c r="AA44" s="1558" t="s">
        <v>844</v>
      </c>
      <c r="AB44" s="661">
        <v>1.1599999999999999</v>
      </c>
      <c r="AC44" s="661">
        <v>0.54</v>
      </c>
      <c r="AD44" s="661">
        <v>0.56999999999999995</v>
      </c>
      <c r="AE44" s="661">
        <v>0.74</v>
      </c>
      <c r="AF44" s="661">
        <v>0.68</v>
      </c>
      <c r="AG44" s="661">
        <v>0.37</v>
      </c>
      <c r="AH44" s="661">
        <v>0.96</v>
      </c>
      <c r="AI44" s="661">
        <v>0.73</v>
      </c>
      <c r="AJ44" s="661">
        <v>0.53</v>
      </c>
      <c r="AK44" s="661">
        <v>1.27</v>
      </c>
      <c r="AL44" s="661">
        <v>0.83</v>
      </c>
      <c r="AM44" s="661">
        <v>0.7</v>
      </c>
    </row>
    <row r="45" spans="1:39" s="393" customFormat="1" ht="12" customHeight="1">
      <c r="A45" s="1614" t="s">
        <v>838</v>
      </c>
      <c r="B45" s="840">
        <v>1.55</v>
      </c>
      <c r="C45" s="840">
        <v>0.43</v>
      </c>
      <c r="D45" s="840">
        <v>0</v>
      </c>
      <c r="E45" s="840">
        <v>1.72</v>
      </c>
      <c r="F45" s="691">
        <v>0.49</v>
      </c>
      <c r="G45" s="840">
        <v>0</v>
      </c>
      <c r="H45" s="840">
        <v>2.36</v>
      </c>
      <c r="I45" s="840">
        <v>0.71</v>
      </c>
      <c r="J45" s="840">
        <v>0</v>
      </c>
      <c r="K45" s="840">
        <v>2.66</v>
      </c>
      <c r="L45" s="840">
        <v>0.86</v>
      </c>
      <c r="M45" s="840">
        <v>0</v>
      </c>
      <c r="N45" s="1614" t="s">
        <v>838</v>
      </c>
      <c r="O45" s="840">
        <v>1.1499999999999999</v>
      </c>
      <c r="P45" s="840">
        <v>0.3</v>
      </c>
      <c r="Q45" s="691">
        <v>0.17</v>
      </c>
      <c r="R45" s="840">
        <v>2.19</v>
      </c>
      <c r="S45" s="840">
        <v>0.45</v>
      </c>
      <c r="T45" s="691">
        <v>0.17</v>
      </c>
      <c r="U45" s="840">
        <v>1.32</v>
      </c>
      <c r="V45" s="691">
        <v>0.53</v>
      </c>
      <c r="W45" s="691">
        <v>0.24</v>
      </c>
      <c r="X45" s="840">
        <v>1.45</v>
      </c>
      <c r="Y45" s="691">
        <v>0.63</v>
      </c>
      <c r="Z45" s="840">
        <v>0.31</v>
      </c>
      <c r="AA45" s="1614" t="s">
        <v>838</v>
      </c>
      <c r="AB45" s="840">
        <v>1.08</v>
      </c>
      <c r="AC45" s="840">
        <v>0.62</v>
      </c>
      <c r="AD45" s="840">
        <v>0.5</v>
      </c>
      <c r="AE45" s="840">
        <v>0.78</v>
      </c>
      <c r="AF45" s="840">
        <v>0.67</v>
      </c>
      <c r="AG45" s="840">
        <v>0.35</v>
      </c>
      <c r="AH45" s="840">
        <v>0.94</v>
      </c>
      <c r="AI45" s="840">
        <v>0.71</v>
      </c>
      <c r="AJ45" s="840">
        <v>0.53</v>
      </c>
      <c r="AK45" s="840">
        <v>1.26</v>
      </c>
      <c r="AL45" s="840">
        <v>0.83</v>
      </c>
      <c r="AM45" s="840">
        <v>0.7</v>
      </c>
    </row>
    <row r="46" spans="1:39" s="393" customFormat="1" ht="12" customHeight="1">
      <c r="A46" s="1640" t="s">
        <v>845</v>
      </c>
      <c r="B46" s="661">
        <v>1.65</v>
      </c>
      <c r="C46" s="661">
        <v>0.43</v>
      </c>
      <c r="D46" s="661">
        <v>0</v>
      </c>
      <c r="E46" s="661">
        <v>1.78</v>
      </c>
      <c r="F46" s="661">
        <v>0.5</v>
      </c>
      <c r="G46" s="661">
        <v>0</v>
      </c>
      <c r="H46" s="661">
        <v>2.4300000000000002</v>
      </c>
      <c r="I46" s="661">
        <v>0.71</v>
      </c>
      <c r="J46" s="661">
        <v>0</v>
      </c>
      <c r="K46" s="661">
        <v>2.74</v>
      </c>
      <c r="L46" s="661">
        <v>0.88</v>
      </c>
      <c r="M46" s="661">
        <v>0</v>
      </c>
      <c r="N46" s="1640" t="s">
        <v>845</v>
      </c>
      <c r="O46" s="661">
        <v>1.22</v>
      </c>
      <c r="P46" s="661">
        <v>0.33</v>
      </c>
      <c r="Q46" s="658">
        <v>0.17</v>
      </c>
      <c r="R46" s="661">
        <v>1.26</v>
      </c>
      <c r="S46" s="661">
        <v>0.47</v>
      </c>
      <c r="T46" s="658">
        <v>0.17</v>
      </c>
      <c r="U46" s="661">
        <v>1.44</v>
      </c>
      <c r="V46" s="658">
        <v>0.53</v>
      </c>
      <c r="W46" s="658">
        <v>0.25</v>
      </c>
      <c r="X46" s="661">
        <v>1.56</v>
      </c>
      <c r="Y46" s="658">
        <v>0.64</v>
      </c>
      <c r="Z46" s="661">
        <v>0.31</v>
      </c>
      <c r="AA46" s="1640" t="s">
        <v>845</v>
      </c>
      <c r="AB46" s="661">
        <v>1.0900000000000001</v>
      </c>
      <c r="AC46" s="661">
        <v>0.64</v>
      </c>
      <c r="AD46" s="661">
        <v>0.56999999999999995</v>
      </c>
      <c r="AE46" s="661">
        <v>0.72</v>
      </c>
      <c r="AF46" s="661">
        <v>0.65</v>
      </c>
      <c r="AG46" s="661">
        <v>0.37</v>
      </c>
      <c r="AH46" s="661">
        <v>0.99</v>
      </c>
      <c r="AI46" s="661">
        <v>0.76</v>
      </c>
      <c r="AJ46" s="661">
        <v>0.53</v>
      </c>
      <c r="AK46" s="661">
        <v>1.26</v>
      </c>
      <c r="AL46" s="661">
        <v>0.83</v>
      </c>
      <c r="AM46" s="661">
        <v>0.7</v>
      </c>
    </row>
    <row r="47" spans="1:39" s="393" customFormat="1" ht="12" customHeight="1" thickBot="1">
      <c r="A47" s="692" t="s">
        <v>846</v>
      </c>
      <c r="B47" s="1651">
        <v>1.7</v>
      </c>
      <c r="C47" s="1651">
        <v>0.43</v>
      </c>
      <c r="D47" s="1651">
        <v>0</v>
      </c>
      <c r="E47" s="1651">
        <v>1.95</v>
      </c>
      <c r="F47" s="1651">
        <v>0.54</v>
      </c>
      <c r="G47" s="1651">
        <v>0</v>
      </c>
      <c r="H47" s="1651">
        <v>2.66</v>
      </c>
      <c r="I47" s="1651">
        <v>0.79</v>
      </c>
      <c r="J47" s="1651">
        <v>0</v>
      </c>
      <c r="K47" s="1651">
        <v>2.92</v>
      </c>
      <c r="L47" s="1651">
        <v>0.94</v>
      </c>
      <c r="M47" s="1651">
        <v>0</v>
      </c>
      <c r="N47" s="692" t="s">
        <v>846</v>
      </c>
      <c r="O47" s="1651">
        <v>1.33</v>
      </c>
      <c r="P47" s="1651">
        <v>0.35</v>
      </c>
      <c r="Q47" s="1652">
        <v>0.17</v>
      </c>
      <c r="R47" s="1651">
        <v>1.42</v>
      </c>
      <c r="S47" s="1651">
        <v>0.5</v>
      </c>
      <c r="T47" s="1652">
        <v>0.17</v>
      </c>
      <c r="U47" s="1651">
        <v>1.58</v>
      </c>
      <c r="V47" s="1652">
        <v>0.54</v>
      </c>
      <c r="W47" s="1652">
        <v>0.25</v>
      </c>
      <c r="X47" s="1651">
        <v>1.66</v>
      </c>
      <c r="Y47" s="1651">
        <v>0.7</v>
      </c>
      <c r="Z47" s="1651">
        <v>0.31</v>
      </c>
      <c r="AA47" s="692" t="s">
        <v>846</v>
      </c>
      <c r="AB47" s="1651">
        <v>0.72</v>
      </c>
      <c r="AC47" s="1651">
        <v>0.59</v>
      </c>
      <c r="AD47" s="1651">
        <v>0.56999999999999995</v>
      </c>
      <c r="AE47" s="1651">
        <v>0.53</v>
      </c>
      <c r="AF47" s="1651">
        <v>0.74</v>
      </c>
      <c r="AG47" s="1651">
        <v>0.37</v>
      </c>
      <c r="AH47" s="1651">
        <v>0.82</v>
      </c>
      <c r="AI47" s="1651">
        <v>0.76</v>
      </c>
      <c r="AJ47" s="1651">
        <v>0.53</v>
      </c>
      <c r="AK47" s="1651">
        <v>1.01</v>
      </c>
      <c r="AL47" s="1651">
        <v>0.9</v>
      </c>
      <c r="AM47" s="1651">
        <v>0.7</v>
      </c>
    </row>
    <row r="48" spans="1:39">
      <c r="A48" s="177" t="s">
        <v>635</v>
      </c>
      <c r="B48" s="2159" t="s">
        <v>2173</v>
      </c>
      <c r="C48" s="2159"/>
      <c r="D48" s="2159"/>
      <c r="E48" s="2159"/>
      <c r="F48" s="2159"/>
      <c r="G48" s="73"/>
      <c r="H48" s="35"/>
      <c r="I48" s="35"/>
      <c r="J48" s="35"/>
      <c r="K48" s="35"/>
      <c r="L48" s="35"/>
      <c r="M48" s="35"/>
      <c r="N48" s="177" t="s">
        <v>635</v>
      </c>
      <c r="O48" s="2159" t="s">
        <v>2173</v>
      </c>
      <c r="P48" s="2159"/>
      <c r="Q48" s="2159"/>
      <c r="R48" s="2159"/>
      <c r="S48" s="2159"/>
      <c r="T48" s="2159"/>
      <c r="AA48" s="177" t="s">
        <v>634</v>
      </c>
      <c r="AB48" s="1814" t="s">
        <v>2173</v>
      </c>
      <c r="AC48" s="1814"/>
      <c r="AD48" s="1814"/>
      <c r="AE48" s="1814"/>
      <c r="AF48" s="1814"/>
      <c r="AG48" s="38"/>
      <c r="AH48" s="38"/>
      <c r="AI48" s="38"/>
      <c r="AJ48" s="38"/>
      <c r="AK48" s="38"/>
      <c r="AL48" s="38"/>
    </row>
    <row r="49" spans="1:39" ht="9.75" customHeight="1">
      <c r="A49" s="62" t="s">
        <v>636</v>
      </c>
      <c r="B49" s="1858" t="s">
        <v>637</v>
      </c>
      <c r="C49" s="1858"/>
      <c r="D49" s="1858"/>
      <c r="E49" s="1858"/>
      <c r="F49" s="1858"/>
      <c r="G49" s="1858"/>
      <c r="H49" s="35"/>
      <c r="I49" s="35"/>
      <c r="J49" s="35"/>
      <c r="K49" s="35"/>
      <c r="L49" s="35"/>
      <c r="M49" s="35"/>
      <c r="N49" s="174" t="s">
        <v>289</v>
      </c>
      <c r="O49" s="2158" t="s">
        <v>638</v>
      </c>
      <c r="P49" s="2158"/>
      <c r="Q49" s="2158"/>
      <c r="R49" s="2158"/>
      <c r="S49" s="2158"/>
      <c r="T49" s="178"/>
      <c r="U49" s="176"/>
      <c r="V49" s="176"/>
      <c r="W49" s="176"/>
      <c r="X49" s="176"/>
      <c r="Y49" s="176"/>
      <c r="Z49" s="176"/>
      <c r="AA49" s="23" t="s">
        <v>632</v>
      </c>
      <c r="AB49" s="2155" t="s">
        <v>633</v>
      </c>
      <c r="AC49" s="2155"/>
      <c r="AD49" s="2155"/>
      <c r="AE49" s="117"/>
      <c r="AF49" s="117"/>
      <c r="AG49" s="38"/>
      <c r="AH49" s="38"/>
      <c r="AI49" s="38"/>
      <c r="AJ49" s="38"/>
      <c r="AK49" s="38"/>
      <c r="AL49" s="38"/>
    </row>
    <row r="50" spans="1:39"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</row>
    <row r="51" spans="1:39">
      <c r="O51" s="23"/>
      <c r="AC51" s="23"/>
    </row>
    <row r="52" spans="1:39" ht="9.6" customHeight="1"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O52" s="23"/>
      <c r="P52" s="23"/>
      <c r="Q52" s="23"/>
      <c r="R52" s="23"/>
      <c r="S52" s="23"/>
      <c r="T52" s="23"/>
      <c r="U52" s="23"/>
      <c r="V52" s="120"/>
      <c r="W52" s="120"/>
      <c r="X52" s="120"/>
      <c r="Y52" s="120"/>
      <c r="Z52" s="120"/>
      <c r="AB52" s="120"/>
      <c r="AC52" s="23"/>
      <c r="AD52" s="120"/>
      <c r="AE52" s="23"/>
      <c r="AF52" s="120"/>
      <c r="AG52" s="23"/>
      <c r="AH52" s="120"/>
      <c r="AI52" s="23"/>
      <c r="AJ52" s="120"/>
      <c r="AK52" s="23"/>
      <c r="AL52" s="120"/>
      <c r="AM52" s="23"/>
    </row>
    <row r="53" spans="1:39"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B53" s="23"/>
      <c r="AC53" s="23"/>
      <c r="AD53" s="23"/>
      <c r="AE53" s="23"/>
      <c r="AG53" s="23"/>
      <c r="AI53" s="23"/>
      <c r="AK53" s="23"/>
      <c r="AM53" s="23"/>
    </row>
    <row r="54" spans="1:39"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B54" s="23"/>
      <c r="AC54" s="23"/>
      <c r="AD54" s="23"/>
      <c r="AE54" s="23"/>
      <c r="AG54" s="23"/>
      <c r="AI54" s="23"/>
      <c r="AK54" s="23"/>
      <c r="AM54" s="23"/>
    </row>
    <row r="55" spans="1:39"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</row>
    <row r="56" spans="1:39"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</row>
    <row r="57" spans="1:39"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</row>
    <row r="58" spans="1:39"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</row>
    <row r="59" spans="1:39"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</row>
    <row r="60" spans="1:39"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</row>
    <row r="61" spans="1:39"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O61" s="23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B61" s="120"/>
      <c r="AC61" s="23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</row>
    <row r="62" spans="1:39"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O62" s="23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B62" s="120"/>
      <c r="AC62" s="23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</row>
    <row r="63" spans="1:39"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</row>
    <row r="64" spans="1:39"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</row>
    <row r="65" spans="2:39"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</row>
    <row r="66" spans="2:39"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</row>
    <row r="67" spans="2:39"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</row>
    <row r="68" spans="2:39"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</row>
    <row r="69" spans="2:39"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</row>
    <row r="70" spans="2:39"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</row>
    <row r="71" spans="2:39"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</row>
    <row r="72" spans="2:39"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</row>
    <row r="73" spans="2:39"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</row>
    <row r="74" spans="2:39"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</row>
    <row r="75" spans="2:39"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</row>
    <row r="76" spans="2:39"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</row>
  </sheetData>
  <mergeCells count="33">
    <mergeCell ref="B1:I1"/>
    <mergeCell ref="O1:V1"/>
    <mergeCell ref="AB1:AI1"/>
    <mergeCell ref="A3:A5"/>
    <mergeCell ref="B3:M3"/>
    <mergeCell ref="N3:N5"/>
    <mergeCell ref="O3:Z3"/>
    <mergeCell ref="B4:D4"/>
    <mergeCell ref="O4:Q4"/>
    <mergeCell ref="K4:M4"/>
    <mergeCell ref="K2:M2"/>
    <mergeCell ref="X2:Z2"/>
    <mergeCell ref="AK2:AM2"/>
    <mergeCell ref="K1:M1"/>
    <mergeCell ref="X1:Z1"/>
    <mergeCell ref="U4:W4"/>
    <mergeCell ref="X4:Z4"/>
    <mergeCell ref="AB3:AM3"/>
    <mergeCell ref="AK1:AM1"/>
    <mergeCell ref="AA3:AA5"/>
    <mergeCell ref="R4:T4"/>
    <mergeCell ref="B49:G49"/>
    <mergeCell ref="O49:S49"/>
    <mergeCell ref="O48:T48"/>
    <mergeCell ref="H4:J4"/>
    <mergeCell ref="E4:G4"/>
    <mergeCell ref="B48:F48"/>
    <mergeCell ref="AB49:AD49"/>
    <mergeCell ref="AK4:AM4"/>
    <mergeCell ref="AB4:AD4"/>
    <mergeCell ref="AB48:AF48"/>
    <mergeCell ref="AH4:AJ4"/>
    <mergeCell ref="AE4:AG4"/>
  </mergeCells>
  <phoneticPr fontId="46" type="noConversion"/>
  <pageMargins left="0.59055118110236204" right="0.511811023622047" top="0.511811023622047" bottom="0.511811023622047" header="0" footer="0.43307086614173201"/>
  <pageSetup paperSize="141" firstPageNumber="75" orientation="portrait" useFirstPageNumber="1" r:id="rId1"/>
  <headerFooter>
    <oddFooter>&amp;C&amp;"Times New Roman,Regular"&amp;8&amp;P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9"/>
  <dimension ref="A1:O43"/>
  <sheetViews>
    <sheetView showWhiteSpace="0" zoomScale="130" zoomScaleNormal="130" workbookViewId="0">
      <selection activeCell="I3" sqref="I3"/>
    </sheetView>
  </sheetViews>
  <sheetFormatPr defaultColWidth="9.140625" defaultRowHeight="11.25"/>
  <cols>
    <col min="1" max="1" width="8.5703125" style="10" customWidth="1"/>
    <col min="2" max="2" width="9.42578125" style="10" customWidth="1"/>
    <col min="3" max="4" width="11.7109375" style="10" customWidth="1"/>
    <col min="5" max="5" width="12" style="10" customWidth="1"/>
    <col min="6" max="6" width="11.85546875" style="10" customWidth="1"/>
    <col min="7" max="7" width="11.140625" style="10" customWidth="1"/>
    <col min="8" max="16384" width="9.140625" style="10"/>
  </cols>
  <sheetData>
    <row r="1" spans="1:15" s="47" customFormat="1" ht="36" customHeight="1">
      <c r="B1" s="2163" t="s">
        <v>2413</v>
      </c>
      <c r="C1" s="2163"/>
      <c r="D1" s="2163"/>
      <c r="E1" s="2163"/>
      <c r="F1" s="2164" t="s">
        <v>610</v>
      </c>
      <c r="G1" s="2164"/>
    </row>
    <row r="2" spans="1:15" ht="11.25" customHeight="1">
      <c r="A2" s="2151"/>
      <c r="B2" s="2151"/>
      <c r="C2" s="2151"/>
      <c r="D2" s="2151"/>
      <c r="E2" s="2151"/>
      <c r="F2" s="2165" t="s">
        <v>791</v>
      </c>
      <c r="G2" s="2165"/>
    </row>
    <row r="3" spans="1:15" s="54" customFormat="1" ht="15.75" customHeight="1">
      <c r="A3" s="2071" t="s">
        <v>764</v>
      </c>
      <c r="B3" s="2166" t="s">
        <v>793</v>
      </c>
      <c r="C3" s="2000"/>
      <c r="D3" s="2000"/>
      <c r="E3" s="2000" t="s">
        <v>796</v>
      </c>
      <c r="F3" s="2000"/>
      <c r="G3" s="2000"/>
    </row>
    <row r="4" spans="1:15" s="54" customFormat="1" ht="15.75" customHeight="1">
      <c r="A4" s="2071"/>
      <c r="B4" s="166" t="s">
        <v>794</v>
      </c>
      <c r="C4" s="167" t="s">
        <v>795</v>
      </c>
      <c r="D4" s="28" t="s">
        <v>763</v>
      </c>
      <c r="E4" s="27" t="s">
        <v>794</v>
      </c>
      <c r="F4" s="27" t="s">
        <v>795</v>
      </c>
      <c r="G4" s="27" t="s">
        <v>763</v>
      </c>
    </row>
    <row r="5" spans="1:15" ht="14.1" customHeight="1">
      <c r="A5" s="378">
        <v>2007</v>
      </c>
      <c r="B5" s="19">
        <v>18</v>
      </c>
      <c r="C5" s="19">
        <v>6</v>
      </c>
      <c r="D5" s="19">
        <v>7.3691666666666666</v>
      </c>
      <c r="E5" s="19">
        <v>18</v>
      </c>
      <c r="F5" s="19">
        <v>6</v>
      </c>
      <c r="G5" s="19">
        <v>7.3691666666666666</v>
      </c>
    </row>
    <row r="6" spans="1:15" ht="14.1" customHeight="1">
      <c r="A6" s="504">
        <v>2008</v>
      </c>
      <c r="B6" s="480">
        <v>22</v>
      </c>
      <c r="C6" s="480">
        <v>1</v>
      </c>
      <c r="D6" s="480">
        <v>10.24</v>
      </c>
      <c r="E6" s="480">
        <v>22</v>
      </c>
      <c r="F6" s="480">
        <v>1</v>
      </c>
      <c r="G6" s="480">
        <v>10.24</v>
      </c>
    </row>
    <row r="7" spans="1:15" ht="14.1" customHeight="1">
      <c r="A7" s="378">
        <v>2009</v>
      </c>
      <c r="B7" s="19">
        <v>19</v>
      </c>
      <c r="C7" s="19">
        <v>0.05</v>
      </c>
      <c r="D7" s="19">
        <v>4.3883333333333336</v>
      </c>
      <c r="E7" s="19">
        <v>19</v>
      </c>
      <c r="F7" s="19">
        <v>0.05</v>
      </c>
      <c r="G7" s="19">
        <v>4.3883333333333336</v>
      </c>
    </row>
    <row r="8" spans="1:15" ht="14.1" customHeight="1">
      <c r="A8" s="504">
        <v>2010</v>
      </c>
      <c r="B8" s="480">
        <v>190</v>
      </c>
      <c r="C8" s="480">
        <v>2</v>
      </c>
      <c r="D8" s="480">
        <v>8.0549999999999997</v>
      </c>
      <c r="E8" s="480">
        <v>190</v>
      </c>
      <c r="F8" s="480">
        <v>2</v>
      </c>
      <c r="G8" s="480">
        <v>8.0549999999999997</v>
      </c>
    </row>
    <row r="9" spans="1:15" s="254" customFormat="1" ht="14.1" customHeight="1">
      <c r="A9" s="715">
        <v>2011</v>
      </c>
      <c r="B9" s="20">
        <v>24</v>
      </c>
      <c r="C9" s="20">
        <v>3</v>
      </c>
      <c r="D9" s="20">
        <v>11.16</v>
      </c>
      <c r="E9" s="20">
        <v>24</v>
      </c>
      <c r="F9" s="20">
        <v>3</v>
      </c>
      <c r="G9" s="20">
        <v>11.16</v>
      </c>
    </row>
    <row r="10" spans="1:15" s="254" customFormat="1" ht="14.1" customHeight="1">
      <c r="A10" s="928">
        <v>2012</v>
      </c>
      <c r="B10" s="480">
        <v>22</v>
      </c>
      <c r="C10" s="480">
        <v>3</v>
      </c>
      <c r="D10" s="480">
        <v>12.822499999999998</v>
      </c>
      <c r="E10" s="480">
        <v>22</v>
      </c>
      <c r="F10" s="480">
        <v>3</v>
      </c>
      <c r="G10" s="480">
        <v>12.822499999999998</v>
      </c>
    </row>
    <row r="11" spans="1:15" s="252" customFormat="1" ht="14.1" customHeight="1">
      <c r="A11" s="213">
        <v>2013</v>
      </c>
      <c r="B11" s="40">
        <v>13</v>
      </c>
      <c r="C11" s="40">
        <v>5.0999999999999996</v>
      </c>
      <c r="D11" s="40">
        <v>7.775833333333332</v>
      </c>
      <c r="E11" s="40">
        <v>13</v>
      </c>
      <c r="F11" s="40">
        <v>5.0999999999999996</v>
      </c>
      <c r="G11" s="40">
        <v>7.775833333333332</v>
      </c>
    </row>
    <row r="12" spans="1:15" s="252" customFormat="1" ht="14.1" customHeight="1">
      <c r="A12" s="461">
        <v>2014</v>
      </c>
      <c r="B12" s="445">
        <v>9.9</v>
      </c>
      <c r="C12" s="445">
        <v>5</v>
      </c>
      <c r="D12" s="445">
        <v>7.1399999999999979</v>
      </c>
      <c r="E12" s="445">
        <v>9.9</v>
      </c>
      <c r="F12" s="445">
        <v>5</v>
      </c>
      <c r="G12" s="445">
        <v>7.1399999999999979</v>
      </c>
    </row>
    <row r="13" spans="1:15" s="252" customFormat="1" ht="14.1" customHeight="1">
      <c r="A13" s="213">
        <v>2015</v>
      </c>
      <c r="B13" s="40">
        <v>9.9</v>
      </c>
      <c r="C13" s="40">
        <v>1.25</v>
      </c>
      <c r="D13" s="40">
        <v>6.1983333333333333</v>
      </c>
      <c r="E13" s="40">
        <v>9.9</v>
      </c>
      <c r="F13" s="40">
        <v>1.25</v>
      </c>
      <c r="G13" s="40">
        <v>6.145833333333333</v>
      </c>
    </row>
    <row r="14" spans="1:15" s="680" customFormat="1" ht="14.1" customHeight="1">
      <c r="A14" s="823">
        <v>2016</v>
      </c>
      <c r="B14" s="450">
        <v>5</v>
      </c>
      <c r="C14" s="450">
        <v>1</v>
      </c>
      <c r="D14" s="450">
        <v>3.6691666666666669</v>
      </c>
      <c r="E14" s="450">
        <v>5</v>
      </c>
      <c r="F14" s="450">
        <v>1</v>
      </c>
      <c r="G14" s="450">
        <v>3.6691666666666669</v>
      </c>
      <c r="H14" s="252"/>
      <c r="I14" s="381"/>
      <c r="J14" s="252"/>
      <c r="K14" s="252"/>
      <c r="L14" s="252"/>
      <c r="M14" s="252"/>
      <c r="N14" s="252"/>
      <c r="O14" s="252"/>
    </row>
    <row r="15" spans="1:15" s="680" customFormat="1" ht="14.1" customHeight="1">
      <c r="A15" s="749">
        <v>2017</v>
      </c>
      <c r="B15" s="214">
        <f>MAX(B16:B27)</f>
        <v>4.5</v>
      </c>
      <c r="C15" s="214">
        <f>MIN(C16:C27)</f>
        <v>1.5</v>
      </c>
      <c r="D15" s="214">
        <f>AVERAGE(D16:D27)</f>
        <v>3.7674999999999996</v>
      </c>
      <c r="E15" s="214">
        <f>MAX(E16:E27)</f>
        <v>4.5</v>
      </c>
      <c r="F15" s="214">
        <f>MIN(F16:F27)</f>
        <v>1.5</v>
      </c>
      <c r="G15" s="214">
        <f>AVERAGE(G16:G27)</f>
        <v>3.7674999999999996</v>
      </c>
      <c r="H15" s="252"/>
      <c r="I15" s="381"/>
      <c r="J15" s="252"/>
      <c r="K15" s="252"/>
      <c r="L15" s="252"/>
      <c r="M15" s="252"/>
      <c r="N15" s="252"/>
      <c r="O15" s="252"/>
    </row>
    <row r="16" spans="1:15" s="680" customFormat="1" ht="14.1" customHeight="1">
      <c r="A16" s="602" t="s">
        <v>847</v>
      </c>
      <c r="B16" s="439">
        <v>4.5</v>
      </c>
      <c r="C16" s="438">
        <v>2.25</v>
      </c>
      <c r="D16" s="438">
        <v>3.54</v>
      </c>
      <c r="E16" s="439">
        <v>4.5</v>
      </c>
      <c r="F16" s="438">
        <v>2.25</v>
      </c>
      <c r="G16" s="438">
        <v>3.54</v>
      </c>
      <c r="H16" s="252"/>
      <c r="I16" s="381"/>
      <c r="J16" s="252"/>
      <c r="K16" s="252"/>
      <c r="L16" s="252"/>
      <c r="M16" s="252"/>
      <c r="N16" s="252"/>
      <c r="O16" s="252"/>
    </row>
    <row r="17" spans="1:15" s="680" customFormat="1" ht="14.1" customHeight="1">
      <c r="A17" s="588" t="s">
        <v>848</v>
      </c>
      <c r="B17" s="394">
        <v>4.5</v>
      </c>
      <c r="C17" s="393">
        <v>2.75</v>
      </c>
      <c r="D17" s="394">
        <v>3.5</v>
      </c>
      <c r="E17" s="394">
        <v>4.5</v>
      </c>
      <c r="F17" s="393">
        <v>2.75</v>
      </c>
      <c r="G17" s="394">
        <v>3.5</v>
      </c>
      <c r="H17" s="252"/>
      <c r="I17" s="252"/>
      <c r="J17" s="252"/>
      <c r="K17" s="252"/>
      <c r="L17" s="252"/>
      <c r="M17" s="252"/>
      <c r="N17" s="252"/>
      <c r="O17" s="252"/>
    </row>
    <row r="18" spans="1:15" s="680" customFormat="1" ht="14.1" customHeight="1">
      <c r="A18" s="602" t="s">
        <v>840</v>
      </c>
      <c r="B18" s="439">
        <v>4.5</v>
      </c>
      <c r="C18" s="438">
        <v>2.25</v>
      </c>
      <c r="D18" s="439">
        <v>3.66</v>
      </c>
      <c r="E18" s="439">
        <v>4.5</v>
      </c>
      <c r="F18" s="438">
        <v>2.25</v>
      </c>
      <c r="G18" s="439">
        <v>3.66</v>
      </c>
      <c r="H18" s="252"/>
      <c r="I18" s="252"/>
      <c r="J18" s="252"/>
      <c r="K18" s="252"/>
      <c r="L18" s="252"/>
      <c r="M18" s="252"/>
      <c r="N18" s="252"/>
      <c r="O18" s="252"/>
    </row>
    <row r="19" spans="1:15" s="680" customFormat="1" ht="14.1" customHeight="1">
      <c r="A19" s="588" t="s">
        <v>849</v>
      </c>
      <c r="B19" s="394">
        <v>4.5</v>
      </c>
      <c r="C19" s="394">
        <v>1.8</v>
      </c>
      <c r="D19" s="394">
        <v>3.76</v>
      </c>
      <c r="E19" s="394">
        <v>4.5</v>
      </c>
      <c r="F19" s="394">
        <v>1.8</v>
      </c>
      <c r="G19" s="394">
        <v>3.76</v>
      </c>
      <c r="H19" s="252"/>
      <c r="I19" s="252"/>
      <c r="J19" s="252"/>
      <c r="K19" s="252"/>
      <c r="L19" s="252"/>
      <c r="M19" s="252"/>
      <c r="N19" s="252"/>
      <c r="O19" s="252"/>
    </row>
    <row r="20" spans="1:15" s="680" customFormat="1" ht="14.1" customHeight="1">
      <c r="A20" s="602" t="s">
        <v>850</v>
      </c>
      <c r="B20" s="439">
        <v>4.5</v>
      </c>
      <c r="C20" s="439">
        <v>1.75</v>
      </c>
      <c r="D20" s="439">
        <v>3.81</v>
      </c>
      <c r="E20" s="439">
        <v>4.5</v>
      </c>
      <c r="F20" s="439">
        <v>1.75</v>
      </c>
      <c r="G20" s="439">
        <v>3.81</v>
      </c>
      <c r="H20" s="252"/>
      <c r="I20" s="252"/>
      <c r="J20" s="252"/>
      <c r="K20" s="252"/>
      <c r="L20" s="252"/>
      <c r="M20" s="252"/>
      <c r="N20" s="252"/>
      <c r="O20" s="252"/>
    </row>
    <row r="21" spans="1:15" s="680" customFormat="1" ht="14.1" customHeight="1">
      <c r="A21" s="588" t="s">
        <v>841</v>
      </c>
      <c r="B21" s="394">
        <v>4.5</v>
      </c>
      <c r="C21" s="394">
        <v>1.8</v>
      </c>
      <c r="D21" s="394">
        <v>3.93</v>
      </c>
      <c r="E21" s="394">
        <v>4.5</v>
      </c>
      <c r="F21" s="394">
        <v>1.8</v>
      </c>
      <c r="G21" s="394">
        <v>3.93</v>
      </c>
      <c r="H21" s="252"/>
      <c r="I21" s="252"/>
      <c r="J21" s="252"/>
      <c r="K21" s="252"/>
      <c r="L21" s="252"/>
      <c r="M21" s="252"/>
      <c r="N21" s="252"/>
      <c r="O21" s="252"/>
    </row>
    <row r="22" spans="1:15" s="680" customFormat="1" ht="14.1" customHeight="1">
      <c r="A22" s="602" t="s">
        <v>843</v>
      </c>
      <c r="B22" s="439">
        <v>4.5</v>
      </c>
      <c r="C22" s="439">
        <v>1.5</v>
      </c>
      <c r="D22" s="439">
        <v>3.72</v>
      </c>
      <c r="E22" s="439">
        <v>4.5</v>
      </c>
      <c r="F22" s="439">
        <v>1.5</v>
      </c>
      <c r="G22" s="439">
        <v>3.72</v>
      </c>
      <c r="H22" s="252"/>
      <c r="I22" s="252"/>
      <c r="J22" s="252"/>
      <c r="K22" s="252"/>
      <c r="L22" s="252"/>
      <c r="M22" s="252"/>
      <c r="N22" s="252"/>
      <c r="O22" s="252"/>
    </row>
    <row r="23" spans="1:15" s="252" customFormat="1" ht="14.1" customHeight="1">
      <c r="A23" s="588" t="s">
        <v>844</v>
      </c>
      <c r="B23" s="394">
        <v>4.5</v>
      </c>
      <c r="C23" s="394">
        <v>1.5</v>
      </c>
      <c r="D23" s="394">
        <v>3.77</v>
      </c>
      <c r="E23" s="394">
        <v>4.5</v>
      </c>
      <c r="F23" s="394">
        <v>1.5</v>
      </c>
      <c r="G23" s="394">
        <v>3.77</v>
      </c>
    </row>
    <row r="24" spans="1:15" s="252" customFormat="1" ht="14.1" customHeight="1">
      <c r="A24" s="602" t="s">
        <v>838</v>
      </c>
      <c r="B24" s="439">
        <v>4.5</v>
      </c>
      <c r="C24" s="439">
        <v>1.75</v>
      </c>
      <c r="D24" s="439">
        <v>3.91</v>
      </c>
      <c r="E24" s="439">
        <v>4.5</v>
      </c>
      <c r="F24" s="439">
        <v>1.75</v>
      </c>
      <c r="G24" s="439">
        <v>3.91</v>
      </c>
    </row>
    <row r="25" spans="1:15" s="252" customFormat="1" ht="14.1" customHeight="1">
      <c r="A25" s="588" t="s">
        <v>845</v>
      </c>
      <c r="B25" s="394">
        <v>4.5</v>
      </c>
      <c r="C25" s="394">
        <v>1.8</v>
      </c>
      <c r="D25" s="394">
        <v>3.87</v>
      </c>
      <c r="E25" s="394">
        <v>4.5</v>
      </c>
      <c r="F25" s="394">
        <v>1.8</v>
      </c>
      <c r="G25" s="394">
        <v>3.87</v>
      </c>
    </row>
    <row r="26" spans="1:15" s="252" customFormat="1" ht="14.1" customHeight="1">
      <c r="A26" s="602" t="s">
        <v>846</v>
      </c>
      <c r="B26" s="439">
        <v>4.5</v>
      </c>
      <c r="C26" s="439">
        <v>1.8</v>
      </c>
      <c r="D26" s="439">
        <v>3.82</v>
      </c>
      <c r="E26" s="439">
        <v>4.5</v>
      </c>
      <c r="F26" s="439">
        <v>1.8</v>
      </c>
      <c r="G26" s="439">
        <v>3.82</v>
      </c>
    </row>
    <row r="27" spans="1:15" s="252" customFormat="1" ht="14.1" customHeight="1">
      <c r="A27" s="588" t="s">
        <v>839</v>
      </c>
      <c r="B27" s="394">
        <v>4.5</v>
      </c>
      <c r="C27" s="394">
        <v>1.8</v>
      </c>
      <c r="D27" s="394">
        <v>3.92</v>
      </c>
      <c r="E27" s="394">
        <v>4.5</v>
      </c>
      <c r="F27" s="394">
        <v>1.8</v>
      </c>
      <c r="G27" s="394">
        <v>3.92</v>
      </c>
    </row>
    <row r="28" spans="1:15" s="252" customFormat="1" ht="14.1" customHeight="1">
      <c r="A28" s="823">
        <v>2018</v>
      </c>
      <c r="B28" s="439"/>
      <c r="C28" s="439"/>
      <c r="D28" s="439"/>
      <c r="E28" s="439"/>
      <c r="F28" s="439"/>
      <c r="G28" s="439"/>
    </row>
    <row r="29" spans="1:15" s="252" customFormat="1" ht="14.1" customHeight="1">
      <c r="A29" s="588" t="s">
        <v>847</v>
      </c>
      <c r="B29" s="394">
        <v>4.5</v>
      </c>
      <c r="C29" s="394">
        <v>1.8</v>
      </c>
      <c r="D29" s="394">
        <v>3.9</v>
      </c>
      <c r="E29" s="394">
        <v>4.5</v>
      </c>
      <c r="F29" s="394">
        <v>1.8</v>
      </c>
      <c r="G29" s="394">
        <v>3.9</v>
      </c>
    </row>
    <row r="30" spans="1:15" s="252" customFormat="1" ht="14.1" customHeight="1">
      <c r="A30" s="602" t="s">
        <v>848</v>
      </c>
      <c r="B30" s="439">
        <v>4.75</v>
      </c>
      <c r="C30" s="439">
        <v>1.8</v>
      </c>
      <c r="D30" s="439">
        <v>4.1100000000000003</v>
      </c>
      <c r="E30" s="439">
        <v>4.75</v>
      </c>
      <c r="F30" s="439">
        <v>1.8</v>
      </c>
      <c r="G30" s="439">
        <v>4.1100000000000003</v>
      </c>
    </row>
    <row r="31" spans="1:15" s="252" customFormat="1" ht="14.1" customHeight="1">
      <c r="A31" s="588" t="s">
        <v>840</v>
      </c>
      <c r="B31" s="394">
        <v>5</v>
      </c>
      <c r="C31" s="394">
        <v>2</v>
      </c>
      <c r="D31" s="394">
        <v>4.4000000000000004</v>
      </c>
      <c r="E31" s="394">
        <v>5</v>
      </c>
      <c r="F31" s="394">
        <v>2</v>
      </c>
      <c r="G31" s="394">
        <v>4.4000000000000004</v>
      </c>
    </row>
    <row r="32" spans="1:15" s="252" customFormat="1" ht="14.1" customHeight="1">
      <c r="A32" s="602" t="s">
        <v>849</v>
      </c>
      <c r="B32" s="439">
        <v>5</v>
      </c>
      <c r="C32" s="439">
        <v>1</v>
      </c>
      <c r="D32" s="439">
        <v>4.3099999999999996</v>
      </c>
      <c r="E32" s="439">
        <v>5</v>
      </c>
      <c r="F32" s="439">
        <v>1</v>
      </c>
      <c r="G32" s="439">
        <v>4.3099999999999996</v>
      </c>
    </row>
    <row r="33" spans="1:7" s="252" customFormat="1" ht="14.1" customHeight="1">
      <c r="A33" s="588" t="s">
        <v>850</v>
      </c>
      <c r="B33" s="394">
        <v>5</v>
      </c>
      <c r="C33" s="394">
        <v>0.25</v>
      </c>
      <c r="D33" s="394">
        <v>2.96</v>
      </c>
      <c r="E33" s="394">
        <v>5</v>
      </c>
      <c r="F33" s="394">
        <v>0.25</v>
      </c>
      <c r="G33" s="394">
        <v>2.96</v>
      </c>
    </row>
    <row r="34" spans="1:7" s="252" customFormat="1" ht="14.1" customHeight="1">
      <c r="A34" s="602" t="s">
        <v>841</v>
      </c>
      <c r="B34" s="439">
        <v>5</v>
      </c>
      <c r="C34" s="439">
        <v>0.5</v>
      </c>
      <c r="D34" s="439">
        <v>3.41</v>
      </c>
      <c r="E34" s="439">
        <v>5</v>
      </c>
      <c r="F34" s="439">
        <v>0.5</v>
      </c>
      <c r="G34" s="439">
        <v>3.41</v>
      </c>
    </row>
    <row r="35" spans="1:7" s="252" customFormat="1" ht="14.1" customHeight="1">
      <c r="A35" s="588" t="s">
        <v>843</v>
      </c>
      <c r="B35" s="394">
        <v>5</v>
      </c>
      <c r="C35" s="394">
        <v>0.1</v>
      </c>
      <c r="D35" s="394">
        <v>2.17</v>
      </c>
      <c r="E35" s="394">
        <v>5</v>
      </c>
      <c r="F35" s="394">
        <v>0.1</v>
      </c>
      <c r="G35" s="394">
        <v>2.17</v>
      </c>
    </row>
    <row r="36" spans="1:7" s="252" customFormat="1" ht="14.1" customHeight="1">
      <c r="A36" s="602" t="s">
        <v>844</v>
      </c>
      <c r="B36" s="439">
        <v>5.5</v>
      </c>
      <c r="C36" s="439">
        <v>0.1</v>
      </c>
      <c r="D36" s="439">
        <v>3.31</v>
      </c>
      <c r="E36" s="439">
        <v>5.5</v>
      </c>
      <c r="F36" s="439">
        <v>0.1</v>
      </c>
      <c r="G36" s="439">
        <v>3.31</v>
      </c>
    </row>
    <row r="37" spans="1:7" s="11" customFormat="1" ht="14.1" customHeight="1">
      <c r="A37" s="588" t="s">
        <v>838</v>
      </c>
      <c r="B37" s="394">
        <v>5</v>
      </c>
      <c r="C37" s="394">
        <v>0.5</v>
      </c>
      <c r="D37" s="394">
        <v>4.22</v>
      </c>
      <c r="E37" s="394">
        <v>5</v>
      </c>
      <c r="F37" s="394">
        <v>0.5</v>
      </c>
      <c r="G37" s="394">
        <v>4.22</v>
      </c>
    </row>
    <row r="38" spans="1:7" s="11" customFormat="1" ht="14.1" customHeight="1">
      <c r="A38" s="602" t="s">
        <v>845</v>
      </c>
      <c r="B38" s="439">
        <v>5</v>
      </c>
      <c r="C38" s="439">
        <v>1.25</v>
      </c>
      <c r="D38" s="439">
        <v>3.65</v>
      </c>
      <c r="E38" s="439">
        <v>5</v>
      </c>
      <c r="F38" s="439">
        <v>1.25</v>
      </c>
      <c r="G38" s="439">
        <v>3.65</v>
      </c>
    </row>
    <row r="39" spans="1:7" s="11" customFormat="1" ht="14.1" customHeight="1" thickBot="1">
      <c r="A39" s="1549" t="s">
        <v>846</v>
      </c>
      <c r="B39" s="1442">
        <v>5</v>
      </c>
      <c r="C39" s="1442">
        <v>1.1499999999999999</v>
      </c>
      <c r="D39" s="1442">
        <v>3.5</v>
      </c>
      <c r="E39" s="1442">
        <v>5</v>
      </c>
      <c r="F39" s="1442">
        <v>1.1499999999999999</v>
      </c>
      <c r="G39" s="1442">
        <v>3.5</v>
      </c>
    </row>
    <row r="40" spans="1:7">
      <c r="A40" s="177" t="s">
        <v>640</v>
      </c>
      <c r="B40" s="1293" t="s">
        <v>2186</v>
      </c>
      <c r="C40" s="1293"/>
      <c r="D40" s="1293"/>
      <c r="E40" s="1293"/>
      <c r="F40" s="93"/>
      <c r="G40" s="11"/>
    </row>
    <row r="43" spans="1:7">
      <c r="C43" s="120"/>
    </row>
  </sheetData>
  <mergeCells count="7">
    <mergeCell ref="B1:E1"/>
    <mergeCell ref="F1:G1"/>
    <mergeCell ref="A2:E2"/>
    <mergeCell ref="F2:G2"/>
    <mergeCell ref="A3:A4"/>
    <mergeCell ref="B3:D3"/>
    <mergeCell ref="E3:G3"/>
  </mergeCells>
  <phoneticPr fontId="46" type="noConversion"/>
  <pageMargins left="0.62992125984252001" right="0.511811023622047" top="0.39370078740157499" bottom="0.118110236220472" header="0.25" footer="0"/>
  <pageSetup paperSize="141" firstPageNumber="78" orientation="portrait" useFirstPageNumber="1" r:id="rId1"/>
  <headerFooter alignWithMargins="0">
    <oddFooter>&amp;C&amp;"Times New Roman,Regular"&amp;8 78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0"/>
  <dimension ref="A1:AB61"/>
  <sheetViews>
    <sheetView zoomScale="150" zoomScaleNormal="150" workbookViewId="0">
      <pane xSplit="1" ySplit="6" topLeftCell="R23" activePane="bottomRight" state="frozen"/>
      <selection pane="topRight" activeCell="B1" sqref="B1"/>
      <selection pane="bottomLeft" activeCell="A7" sqref="A7"/>
      <selection pane="bottomRight" activeCell="F36" sqref="F36"/>
    </sheetView>
  </sheetViews>
  <sheetFormatPr defaultColWidth="9.140625" defaultRowHeight="11.25"/>
  <cols>
    <col min="1" max="1" width="9" style="11" customWidth="1"/>
    <col min="2" max="2" width="11" style="11" customWidth="1"/>
    <col min="3" max="3" width="11.85546875" style="11" customWidth="1"/>
    <col min="4" max="4" width="11.42578125" style="11" customWidth="1"/>
    <col min="5" max="5" width="10.42578125" style="11" customWidth="1"/>
    <col min="6" max="6" width="9" style="11" customWidth="1"/>
    <col min="7" max="7" width="11.28515625" style="11" customWidth="1"/>
    <col min="8" max="8" width="10.28515625" style="11" customWidth="1"/>
    <col min="9" max="9" width="11.140625" style="11" customWidth="1"/>
    <col min="10" max="10" width="10.42578125" style="11" customWidth="1"/>
    <col min="11" max="11" width="11" style="11" customWidth="1"/>
    <col min="12" max="12" width="10.7109375" style="11" customWidth="1"/>
    <col min="13" max="13" width="10.5703125" style="11" customWidth="1"/>
    <col min="14" max="14" width="10.7109375" style="11" customWidth="1"/>
    <col min="15" max="15" width="15.85546875" style="11" customWidth="1"/>
    <col min="16" max="16" width="15" style="11" customWidth="1"/>
    <col min="17" max="17" width="12.5703125" style="11" customWidth="1"/>
    <col min="18" max="18" width="13.28515625" style="11" customWidth="1"/>
    <col min="19" max="19" width="15.7109375" style="11" customWidth="1"/>
    <col min="20" max="20" width="7.5703125" style="11" customWidth="1"/>
    <col min="21" max="21" width="8.85546875" style="11" customWidth="1"/>
    <col min="22" max="22" width="11.7109375" style="11" customWidth="1"/>
    <col min="23" max="23" width="7.5703125" style="11" customWidth="1"/>
    <col min="24" max="24" width="8.42578125" style="11" customWidth="1"/>
    <col min="25" max="25" width="7.7109375" style="11" customWidth="1"/>
    <col min="26" max="26" width="9.42578125" style="11" customWidth="1"/>
    <col min="27" max="27" width="8.140625" style="11" customWidth="1"/>
    <col min="28" max="28" width="8.7109375" style="11" customWidth="1"/>
    <col min="29" max="16384" width="9.140625" style="11"/>
  </cols>
  <sheetData>
    <row r="1" spans="1:28" ht="16.5" customHeight="1"/>
    <row r="2" spans="1:28" s="532" customFormat="1" ht="27.75" customHeight="1">
      <c r="A2" s="2167" t="s">
        <v>1728</v>
      </c>
      <c r="B2" s="2167"/>
      <c r="C2" s="2167"/>
      <c r="D2" s="2167"/>
      <c r="E2" s="2167"/>
      <c r="F2" s="2168" t="s">
        <v>1860</v>
      </c>
      <c r="G2" s="2168"/>
      <c r="H2" s="552"/>
      <c r="I2" s="2168" t="s">
        <v>1386</v>
      </c>
      <c r="J2" s="2168"/>
      <c r="K2" s="2168"/>
      <c r="L2" s="2168"/>
      <c r="M2" s="2168"/>
      <c r="N2" s="2168"/>
      <c r="O2" s="2174" t="s">
        <v>1336</v>
      </c>
      <c r="P2" s="2174"/>
      <c r="Q2" s="2174"/>
      <c r="R2" s="2168" t="s">
        <v>1860</v>
      </c>
      <c r="S2" s="2168"/>
      <c r="T2" s="2167" t="s">
        <v>1335</v>
      </c>
      <c r="U2" s="2167"/>
      <c r="V2" s="2167"/>
      <c r="W2" s="2167"/>
      <c r="X2" s="2167"/>
      <c r="Y2" s="2167"/>
      <c r="Z2" s="2168" t="s">
        <v>1861</v>
      </c>
      <c r="AA2" s="2168"/>
      <c r="AB2" s="2168"/>
    </row>
    <row r="3" spans="1:28" s="62" customFormat="1" ht="21.75" customHeight="1">
      <c r="A3" s="2170" t="s">
        <v>1336</v>
      </c>
      <c r="B3" s="2170"/>
      <c r="C3" s="2170"/>
      <c r="D3" s="2170"/>
      <c r="E3" s="2170"/>
      <c r="F3" s="2165" t="s">
        <v>78</v>
      </c>
      <c r="G3" s="2165"/>
      <c r="H3" s="100"/>
      <c r="K3" s="97"/>
      <c r="L3" s="97"/>
      <c r="M3" s="2013"/>
      <c r="N3" s="2013"/>
      <c r="O3" s="181"/>
      <c r="P3" s="181"/>
      <c r="R3" s="2013" t="s">
        <v>78</v>
      </c>
      <c r="S3" s="2013"/>
      <c r="T3" s="2169" t="s">
        <v>1729</v>
      </c>
      <c r="U3" s="2169"/>
      <c r="V3" s="2169"/>
      <c r="W3" s="2169"/>
      <c r="X3" s="2169"/>
      <c r="Y3" s="2169"/>
      <c r="Z3" s="2169"/>
      <c r="AA3" s="2013" t="s">
        <v>78</v>
      </c>
      <c r="AB3" s="2013"/>
    </row>
    <row r="4" spans="1:28" s="206" customFormat="1" ht="16.5" customHeight="1">
      <c r="A4" s="2175" t="s">
        <v>764</v>
      </c>
      <c r="B4" s="2176" t="s">
        <v>1334</v>
      </c>
      <c r="C4" s="2176"/>
      <c r="D4" s="2176"/>
      <c r="E4" s="2176"/>
      <c r="F4" s="2176"/>
      <c r="G4" s="2176"/>
      <c r="H4" s="1997" t="s">
        <v>764</v>
      </c>
      <c r="I4" s="2067" t="s">
        <v>1396</v>
      </c>
      <c r="J4" s="2068"/>
      <c r="K4" s="2068"/>
      <c r="L4" s="2068"/>
      <c r="M4" s="2068"/>
      <c r="N4" s="2068"/>
      <c r="O4" s="2068"/>
      <c r="P4" s="2068"/>
      <c r="Q4" s="2068"/>
      <c r="R4" s="2069"/>
      <c r="S4" s="1997" t="s">
        <v>764</v>
      </c>
      <c r="T4" s="2071" t="s">
        <v>764</v>
      </c>
      <c r="U4" s="2067" t="s">
        <v>104</v>
      </c>
      <c r="V4" s="2068"/>
      <c r="W4" s="2068"/>
      <c r="X4" s="2069"/>
      <c r="Y4" s="2068" t="s">
        <v>105</v>
      </c>
      <c r="Z4" s="2068"/>
      <c r="AA4" s="2068"/>
      <c r="AB4" s="2069"/>
    </row>
    <row r="5" spans="1:28" s="183" customFormat="1" ht="12.75" customHeight="1">
      <c r="A5" s="1998"/>
      <c r="B5" s="2177" t="s">
        <v>1337</v>
      </c>
      <c r="C5" s="2177"/>
      <c r="D5" s="2177"/>
      <c r="E5" s="2177"/>
      <c r="F5" s="2000" t="s">
        <v>1385</v>
      </c>
      <c r="G5" s="2000"/>
      <c r="H5" s="1998"/>
      <c r="I5" s="2171" t="s">
        <v>1385</v>
      </c>
      <c r="J5" s="2172"/>
      <c r="K5" s="2177" t="s">
        <v>196</v>
      </c>
      <c r="L5" s="2177"/>
      <c r="M5" s="2177"/>
      <c r="N5" s="2177"/>
      <c r="O5" s="2171" t="s">
        <v>760</v>
      </c>
      <c r="P5" s="2172"/>
      <c r="Q5" s="2172"/>
      <c r="R5" s="2173"/>
      <c r="S5" s="1998"/>
      <c r="T5" s="2071"/>
      <c r="U5" s="2012" t="s">
        <v>1274</v>
      </c>
      <c r="V5" s="2012" t="s">
        <v>2019</v>
      </c>
      <c r="W5" s="2012" t="s">
        <v>1243</v>
      </c>
      <c r="X5" s="2012" t="s">
        <v>106</v>
      </c>
      <c r="Y5" s="2012" t="s">
        <v>1275</v>
      </c>
      <c r="Z5" s="1971" t="s">
        <v>103</v>
      </c>
      <c r="AA5" s="2012" t="s">
        <v>49</v>
      </c>
      <c r="AB5" s="1981" t="s">
        <v>1245</v>
      </c>
    </row>
    <row r="6" spans="1:28" s="113" customFormat="1" ht="25.5" customHeight="1">
      <c r="A6" s="1999"/>
      <c r="B6" s="27" t="s">
        <v>102</v>
      </c>
      <c r="C6" s="27" t="s">
        <v>103</v>
      </c>
      <c r="D6" s="27" t="s">
        <v>49</v>
      </c>
      <c r="E6" s="27" t="s">
        <v>1240</v>
      </c>
      <c r="F6" s="27" t="s">
        <v>102</v>
      </c>
      <c r="G6" s="27" t="s">
        <v>103</v>
      </c>
      <c r="H6" s="1999"/>
      <c r="I6" s="27" t="s">
        <v>1273</v>
      </c>
      <c r="J6" s="27" t="s">
        <v>1241</v>
      </c>
      <c r="K6" s="27" t="s">
        <v>1244</v>
      </c>
      <c r="L6" s="27" t="s">
        <v>103</v>
      </c>
      <c r="M6" s="27" t="s">
        <v>49</v>
      </c>
      <c r="N6" s="27" t="s">
        <v>1272</v>
      </c>
      <c r="O6" s="27" t="s">
        <v>1338</v>
      </c>
      <c r="P6" s="27" t="s">
        <v>103</v>
      </c>
      <c r="Q6" s="27" t="s">
        <v>1242</v>
      </c>
      <c r="R6" s="27" t="s">
        <v>1397</v>
      </c>
      <c r="S6" s="1999"/>
      <c r="T6" s="2071"/>
      <c r="U6" s="2012"/>
      <c r="V6" s="2012"/>
      <c r="W6" s="2012"/>
      <c r="X6" s="2012"/>
      <c r="Y6" s="2012"/>
      <c r="Z6" s="2025"/>
      <c r="AA6" s="2012"/>
      <c r="AB6" s="1981"/>
    </row>
    <row r="7" spans="1:28" s="82" customFormat="1" ht="15" customHeight="1">
      <c r="A7" s="205">
        <v>1993</v>
      </c>
      <c r="B7" s="207">
        <v>1738.3</v>
      </c>
      <c r="C7" s="207">
        <v>1769.7</v>
      </c>
      <c r="D7" s="207">
        <v>-31.9</v>
      </c>
      <c r="E7" s="205">
        <v>64492</v>
      </c>
      <c r="F7" s="207">
        <v>195.1</v>
      </c>
      <c r="G7" s="207">
        <v>91.85</v>
      </c>
      <c r="H7" s="205">
        <v>1993</v>
      </c>
      <c r="I7" s="207">
        <v>54.36</v>
      </c>
      <c r="J7" s="205">
        <v>826</v>
      </c>
      <c r="K7" s="207">
        <v>835.92</v>
      </c>
      <c r="L7" s="207">
        <v>813.51</v>
      </c>
      <c r="M7" s="207">
        <v>3.23</v>
      </c>
      <c r="N7" s="205">
        <v>18276</v>
      </c>
      <c r="O7" s="207">
        <v>2769.32</v>
      </c>
      <c r="P7" s="207">
        <v>2675.06</v>
      </c>
      <c r="Q7" s="207">
        <v>25.69</v>
      </c>
      <c r="R7" s="205">
        <v>83594</v>
      </c>
      <c r="S7" s="205">
        <v>1993</v>
      </c>
      <c r="T7" s="112" t="s">
        <v>826</v>
      </c>
      <c r="U7" s="207">
        <v>665.13</v>
      </c>
      <c r="V7" s="207">
        <v>188.71</v>
      </c>
      <c r="W7" s="207">
        <v>476.42</v>
      </c>
      <c r="X7" s="205">
        <v>6435</v>
      </c>
      <c r="Y7" s="207">
        <v>186.68</v>
      </c>
      <c r="Z7" s="207">
        <v>511.26</v>
      </c>
      <c r="AA7" s="207">
        <v>-330.69</v>
      </c>
      <c r="AB7" s="205">
        <v>16871</v>
      </c>
    </row>
    <row r="8" spans="1:28" s="82" customFormat="1" ht="15" customHeight="1">
      <c r="A8" s="505">
        <v>1994</v>
      </c>
      <c r="B8" s="506">
        <v>1702.56</v>
      </c>
      <c r="C8" s="506">
        <v>1683.24</v>
      </c>
      <c r="D8" s="506">
        <v>18.82</v>
      </c>
      <c r="E8" s="505">
        <v>63804</v>
      </c>
      <c r="F8" s="506">
        <v>242.36</v>
      </c>
      <c r="G8" s="506">
        <v>105.74</v>
      </c>
      <c r="H8" s="505">
        <v>1994</v>
      </c>
      <c r="I8" s="506">
        <v>68.319999999999993</v>
      </c>
      <c r="J8" s="505">
        <v>888</v>
      </c>
      <c r="K8" s="506">
        <v>851.89</v>
      </c>
      <c r="L8" s="506">
        <v>801.25</v>
      </c>
      <c r="M8" s="506">
        <v>14.8</v>
      </c>
      <c r="N8" s="505">
        <v>18794</v>
      </c>
      <c r="O8" s="506">
        <v>2796.81</v>
      </c>
      <c r="P8" s="506">
        <v>2590.23</v>
      </c>
      <c r="Q8" s="506">
        <v>101.94</v>
      </c>
      <c r="R8" s="505">
        <v>83486</v>
      </c>
      <c r="S8" s="505">
        <v>1994</v>
      </c>
      <c r="T8" s="507" t="s">
        <v>827</v>
      </c>
      <c r="U8" s="506">
        <v>838.06</v>
      </c>
      <c r="V8" s="506">
        <v>239.33</v>
      </c>
      <c r="W8" s="506">
        <v>598.73</v>
      </c>
      <c r="X8" s="505">
        <v>6345</v>
      </c>
      <c r="Y8" s="506">
        <v>310.63</v>
      </c>
      <c r="Z8" s="506">
        <v>617.73</v>
      </c>
      <c r="AA8" s="506">
        <v>-307.10000000000002</v>
      </c>
      <c r="AB8" s="505">
        <v>16856</v>
      </c>
    </row>
    <row r="9" spans="1:28" s="82" customFormat="1" ht="15" customHeight="1">
      <c r="A9" s="205">
        <v>1995</v>
      </c>
      <c r="B9" s="207">
        <v>1982.08</v>
      </c>
      <c r="C9" s="207">
        <v>1869.11</v>
      </c>
      <c r="D9" s="207">
        <v>112.37</v>
      </c>
      <c r="E9" s="205">
        <v>63803</v>
      </c>
      <c r="F9" s="207">
        <v>335.65</v>
      </c>
      <c r="G9" s="207">
        <v>151.38999999999999</v>
      </c>
      <c r="H9" s="205">
        <v>1995</v>
      </c>
      <c r="I9" s="207">
        <v>90.76</v>
      </c>
      <c r="J9" s="205">
        <v>966</v>
      </c>
      <c r="K9" s="207">
        <v>943.89</v>
      </c>
      <c r="L9" s="207">
        <v>831.99</v>
      </c>
      <c r="M9" s="207">
        <v>56.56</v>
      </c>
      <c r="N9" s="205">
        <v>20083</v>
      </c>
      <c r="O9" s="207">
        <v>3261.62</v>
      </c>
      <c r="P9" s="207">
        <v>2964.39</v>
      </c>
      <c r="Q9" s="207">
        <v>259.69</v>
      </c>
      <c r="R9" s="205">
        <v>84852</v>
      </c>
      <c r="S9" s="205">
        <v>1995</v>
      </c>
      <c r="T9" s="112" t="s">
        <v>828</v>
      </c>
      <c r="U9" s="207">
        <v>840.64</v>
      </c>
      <c r="V9" s="207">
        <v>310.44</v>
      </c>
      <c r="W9" s="207">
        <v>530.20000000000005</v>
      </c>
      <c r="X9" s="205">
        <v>6281</v>
      </c>
      <c r="Y9" s="207">
        <v>235.97</v>
      </c>
      <c r="Z9" s="207">
        <v>528.04</v>
      </c>
      <c r="AA9" s="207">
        <v>-292.07</v>
      </c>
      <c r="AB9" s="205">
        <v>16459</v>
      </c>
    </row>
    <row r="10" spans="1:28" s="82" customFormat="1" ht="15" customHeight="1">
      <c r="A10" s="505">
        <v>1996</v>
      </c>
      <c r="B10" s="506">
        <v>2249.11</v>
      </c>
      <c r="C10" s="506">
        <v>2220.5</v>
      </c>
      <c r="D10" s="506">
        <v>28.11</v>
      </c>
      <c r="E10" s="505">
        <v>63731</v>
      </c>
      <c r="F10" s="506">
        <v>408.46</v>
      </c>
      <c r="G10" s="506">
        <v>221.73</v>
      </c>
      <c r="H10" s="505">
        <v>1996</v>
      </c>
      <c r="I10" s="506">
        <v>98.72</v>
      </c>
      <c r="J10" s="505">
        <v>1016</v>
      </c>
      <c r="K10" s="506">
        <v>1132.23</v>
      </c>
      <c r="L10" s="506">
        <v>939.75</v>
      </c>
      <c r="M10" s="506">
        <v>131.49</v>
      </c>
      <c r="N10" s="505">
        <v>21140</v>
      </c>
      <c r="O10" s="506">
        <v>3789.8</v>
      </c>
      <c r="P10" s="506">
        <v>3381.98</v>
      </c>
      <c r="Q10" s="506">
        <v>258.32</v>
      </c>
      <c r="R10" s="505">
        <v>85887</v>
      </c>
      <c r="S10" s="505">
        <v>1996</v>
      </c>
      <c r="T10" s="507" t="s">
        <v>829</v>
      </c>
      <c r="U10" s="506">
        <v>936.03</v>
      </c>
      <c r="V10" s="506">
        <v>301.69</v>
      </c>
      <c r="W10" s="506">
        <v>634.34</v>
      </c>
      <c r="X10" s="505">
        <v>6215</v>
      </c>
      <c r="Y10" s="506">
        <v>410.88</v>
      </c>
      <c r="Z10" s="506">
        <v>615.38</v>
      </c>
      <c r="AA10" s="506">
        <v>-204.5</v>
      </c>
      <c r="AB10" s="505">
        <v>16273</v>
      </c>
    </row>
    <row r="11" spans="1:28" s="82" customFormat="1" ht="15" customHeight="1">
      <c r="A11" s="205">
        <v>1997</v>
      </c>
      <c r="B11" s="207">
        <v>2574.08</v>
      </c>
      <c r="C11" s="207">
        <v>2556.81</v>
      </c>
      <c r="D11" s="207">
        <v>16.77</v>
      </c>
      <c r="E11" s="205">
        <v>62723</v>
      </c>
      <c r="F11" s="207">
        <v>564.1</v>
      </c>
      <c r="G11" s="207">
        <v>335.64</v>
      </c>
      <c r="H11" s="205">
        <v>1997</v>
      </c>
      <c r="I11" s="207">
        <v>134.21</v>
      </c>
      <c r="J11" s="205">
        <v>1125</v>
      </c>
      <c r="K11" s="207">
        <v>1414.22</v>
      </c>
      <c r="L11" s="207">
        <v>1180.04</v>
      </c>
      <c r="M11" s="207">
        <v>144.47999999999999</v>
      </c>
      <c r="N11" s="205">
        <v>22194</v>
      </c>
      <c r="O11" s="207">
        <v>4552.3999999999996</v>
      </c>
      <c r="P11" s="207">
        <v>4072.49</v>
      </c>
      <c r="Q11" s="207">
        <v>295.45999999999998</v>
      </c>
      <c r="R11" s="205">
        <v>86042</v>
      </c>
      <c r="S11" s="205">
        <v>1997</v>
      </c>
      <c r="T11" s="112" t="s">
        <v>830</v>
      </c>
      <c r="U11" s="207">
        <v>1059.3900000000001</v>
      </c>
      <c r="V11" s="207">
        <v>288.75</v>
      </c>
      <c r="W11" s="207">
        <v>770.64</v>
      </c>
      <c r="X11" s="205">
        <v>6129</v>
      </c>
      <c r="Y11" s="207">
        <v>440.48</v>
      </c>
      <c r="Z11" s="207">
        <v>701.5</v>
      </c>
      <c r="AA11" s="207">
        <v>-261.02</v>
      </c>
      <c r="AB11" s="205">
        <v>16342</v>
      </c>
    </row>
    <row r="12" spans="1:28" s="82" customFormat="1" ht="15" customHeight="1">
      <c r="A12" s="505">
        <v>1998</v>
      </c>
      <c r="B12" s="506">
        <v>2815.17</v>
      </c>
      <c r="C12" s="506">
        <v>2808.69</v>
      </c>
      <c r="D12" s="506">
        <v>-5.98</v>
      </c>
      <c r="E12" s="505">
        <v>63583</v>
      </c>
      <c r="F12" s="506">
        <v>585.59</v>
      </c>
      <c r="G12" s="506">
        <v>326.62</v>
      </c>
      <c r="H12" s="505">
        <v>1998</v>
      </c>
      <c r="I12" s="506">
        <v>149.43</v>
      </c>
      <c r="J12" s="505">
        <v>1262</v>
      </c>
      <c r="K12" s="506">
        <v>1696.46</v>
      </c>
      <c r="L12" s="506">
        <v>1457.83</v>
      </c>
      <c r="M12" s="506">
        <v>158.35</v>
      </c>
      <c r="N12" s="505">
        <v>22893</v>
      </c>
      <c r="O12" s="506">
        <v>5097.22</v>
      </c>
      <c r="P12" s="506">
        <v>4593.1400000000003</v>
      </c>
      <c r="Q12" s="506">
        <v>301.8</v>
      </c>
      <c r="R12" s="505">
        <v>87738</v>
      </c>
      <c r="S12" s="505">
        <v>1998</v>
      </c>
      <c r="T12" s="507" t="s">
        <v>831</v>
      </c>
      <c r="U12" s="506">
        <v>1171.56</v>
      </c>
      <c r="V12" s="506">
        <v>384.7</v>
      </c>
      <c r="W12" s="506">
        <v>786.86</v>
      </c>
      <c r="X12" s="505">
        <v>6178</v>
      </c>
      <c r="Y12" s="506">
        <v>492.91</v>
      </c>
      <c r="Z12" s="506">
        <v>766.77</v>
      </c>
      <c r="AA12" s="506">
        <v>-296.7</v>
      </c>
      <c r="AB12" s="505">
        <v>16114</v>
      </c>
    </row>
    <row r="13" spans="1:28" s="82" customFormat="1" ht="15" customHeight="1">
      <c r="A13" s="205">
        <v>1999</v>
      </c>
      <c r="B13" s="207">
        <v>3161.26</v>
      </c>
      <c r="C13" s="207">
        <v>3164.79</v>
      </c>
      <c r="D13" s="207">
        <v>-16.66</v>
      </c>
      <c r="E13" s="205">
        <v>62419</v>
      </c>
      <c r="F13" s="207">
        <v>713.65</v>
      </c>
      <c r="G13" s="207">
        <v>447.39</v>
      </c>
      <c r="H13" s="205">
        <v>1999</v>
      </c>
      <c r="I13" s="207">
        <v>149.69999999999999</v>
      </c>
      <c r="J13" s="205">
        <v>1311</v>
      </c>
      <c r="K13" s="207">
        <v>2094.5100000000002</v>
      </c>
      <c r="L13" s="207">
        <v>1760.92</v>
      </c>
      <c r="M13" s="207">
        <v>178.44</v>
      </c>
      <c r="N13" s="205">
        <v>24281</v>
      </c>
      <c r="O13" s="207">
        <v>5969.42</v>
      </c>
      <c r="P13" s="207">
        <v>5373.1</v>
      </c>
      <c r="Q13" s="207">
        <v>311.48</v>
      </c>
      <c r="R13" s="205">
        <v>88011</v>
      </c>
      <c r="S13" s="205">
        <v>1999</v>
      </c>
      <c r="T13" s="112" t="s">
        <v>832</v>
      </c>
      <c r="U13" s="207">
        <v>1159.3499999999999</v>
      </c>
      <c r="V13" s="207">
        <v>363.37</v>
      </c>
      <c r="W13" s="207">
        <v>795.98</v>
      </c>
      <c r="X13" s="205">
        <v>6061</v>
      </c>
      <c r="Y13" s="207">
        <v>598.45000000000005</v>
      </c>
      <c r="Z13" s="207">
        <v>766</v>
      </c>
      <c r="AA13" s="207">
        <v>-532.37</v>
      </c>
      <c r="AB13" s="205">
        <v>16036</v>
      </c>
    </row>
    <row r="14" spans="1:28" s="82" customFormat="1" ht="15" customHeight="1">
      <c r="A14" s="505">
        <v>2000</v>
      </c>
      <c r="B14" s="506">
        <v>3726.27</v>
      </c>
      <c r="C14" s="506">
        <v>3532.16</v>
      </c>
      <c r="D14" s="506">
        <v>24.58</v>
      </c>
      <c r="E14" s="505">
        <v>62091</v>
      </c>
      <c r="F14" s="506">
        <v>967.5</v>
      </c>
      <c r="G14" s="506">
        <v>548.08000000000004</v>
      </c>
      <c r="H14" s="505">
        <v>2000</v>
      </c>
      <c r="I14" s="506">
        <v>220.46</v>
      </c>
      <c r="J14" s="505">
        <v>1280</v>
      </c>
      <c r="K14" s="506">
        <v>3267.62</v>
      </c>
      <c r="L14" s="506">
        <v>2462.09</v>
      </c>
      <c r="M14" s="506">
        <v>309.97000000000003</v>
      </c>
      <c r="N14" s="505">
        <v>25975</v>
      </c>
      <c r="O14" s="506">
        <v>7961.39</v>
      </c>
      <c r="P14" s="506">
        <v>6542.33</v>
      </c>
      <c r="Q14" s="506">
        <v>555.01</v>
      </c>
      <c r="R14" s="505">
        <v>89346</v>
      </c>
      <c r="S14" s="505">
        <v>2000</v>
      </c>
      <c r="T14" s="507" t="s">
        <v>833</v>
      </c>
      <c r="U14" s="506">
        <v>1172.58</v>
      </c>
      <c r="V14" s="506">
        <v>456.64</v>
      </c>
      <c r="W14" s="506">
        <v>715.95</v>
      </c>
      <c r="X14" s="505">
        <v>5926</v>
      </c>
      <c r="Y14" s="506">
        <v>820.34</v>
      </c>
      <c r="Z14" s="506">
        <v>736.36</v>
      </c>
      <c r="AA14" s="506">
        <v>79.81</v>
      </c>
      <c r="AB14" s="505">
        <v>16164</v>
      </c>
    </row>
    <row r="15" spans="1:28" s="82" customFormat="1" ht="15" customHeight="1">
      <c r="A15" s="205">
        <v>2001</v>
      </c>
      <c r="B15" s="207">
        <v>3878.16</v>
      </c>
      <c r="C15" s="207">
        <v>3735.96</v>
      </c>
      <c r="D15" s="207">
        <v>38.24</v>
      </c>
      <c r="E15" s="205">
        <v>61325</v>
      </c>
      <c r="F15" s="207">
        <v>1068.9100000000001</v>
      </c>
      <c r="G15" s="207">
        <v>588.16999999999996</v>
      </c>
      <c r="H15" s="205">
        <v>2001</v>
      </c>
      <c r="I15" s="207">
        <v>259.81</v>
      </c>
      <c r="J15" s="205">
        <v>1588</v>
      </c>
      <c r="K15" s="207">
        <v>4321</v>
      </c>
      <c r="L15" s="207">
        <v>3126</v>
      </c>
      <c r="M15" s="207">
        <v>514.48</v>
      </c>
      <c r="N15" s="205">
        <v>28068</v>
      </c>
      <c r="O15" s="207">
        <v>9268.07</v>
      </c>
      <c r="P15" s="207">
        <v>7450.13</v>
      </c>
      <c r="Q15" s="207">
        <v>812.53</v>
      </c>
      <c r="R15" s="205">
        <v>90981</v>
      </c>
      <c r="S15" s="205">
        <v>2001</v>
      </c>
      <c r="T15" s="112" t="s">
        <v>834</v>
      </c>
      <c r="U15" s="207">
        <v>1133.1500000000001</v>
      </c>
      <c r="V15" s="207">
        <v>183.34</v>
      </c>
      <c r="W15" s="207">
        <v>949.41</v>
      </c>
      <c r="X15" s="205">
        <v>5769</v>
      </c>
      <c r="Y15" s="207">
        <v>636.39</v>
      </c>
      <c r="Z15" s="207">
        <v>748.34</v>
      </c>
      <c r="AA15" s="207">
        <v>-114.64</v>
      </c>
      <c r="AB15" s="205">
        <v>16475</v>
      </c>
    </row>
    <row r="16" spans="1:28" s="82" customFormat="1" ht="15" customHeight="1">
      <c r="A16" s="505">
        <v>2002</v>
      </c>
      <c r="B16" s="506">
        <v>3665.52</v>
      </c>
      <c r="C16" s="506">
        <v>3420.35</v>
      </c>
      <c r="D16" s="506">
        <v>19.88</v>
      </c>
      <c r="E16" s="505">
        <v>60169</v>
      </c>
      <c r="F16" s="506">
        <v>1061.9000000000001</v>
      </c>
      <c r="G16" s="506">
        <v>570.79</v>
      </c>
      <c r="H16" s="505">
        <v>2002</v>
      </c>
      <c r="I16" s="506">
        <v>224.08</v>
      </c>
      <c r="J16" s="505">
        <v>1305</v>
      </c>
      <c r="K16" s="506">
        <v>5021.55</v>
      </c>
      <c r="L16" s="506">
        <v>3930.87</v>
      </c>
      <c r="M16" s="506">
        <v>458.79</v>
      </c>
      <c r="N16" s="505">
        <v>28336</v>
      </c>
      <c r="O16" s="506">
        <v>9748.9699999999993</v>
      </c>
      <c r="P16" s="506">
        <v>7922.01</v>
      </c>
      <c r="Q16" s="506">
        <v>702.75</v>
      </c>
      <c r="R16" s="505">
        <v>89810</v>
      </c>
      <c r="S16" s="505">
        <v>2002</v>
      </c>
      <c r="T16" s="507" t="s">
        <v>835</v>
      </c>
      <c r="U16" s="506">
        <v>1725.62</v>
      </c>
      <c r="V16" s="506">
        <v>365.57</v>
      </c>
      <c r="W16" s="506">
        <v>760.05</v>
      </c>
      <c r="X16" s="505">
        <v>5576</v>
      </c>
      <c r="Y16" s="506">
        <v>738.53</v>
      </c>
      <c r="Z16" s="506">
        <v>768.85</v>
      </c>
      <c r="AA16" s="506">
        <v>-24.32</v>
      </c>
      <c r="AB16" s="505">
        <v>15837</v>
      </c>
    </row>
    <row r="17" spans="1:28" s="82" customFormat="1" ht="15" customHeight="1">
      <c r="A17" s="205">
        <v>2003</v>
      </c>
      <c r="B17" s="207">
        <v>4165.22</v>
      </c>
      <c r="C17" s="207">
        <v>3860.79</v>
      </c>
      <c r="D17" s="207">
        <v>68.209999999999994</v>
      </c>
      <c r="E17" s="205">
        <v>58629</v>
      </c>
      <c r="F17" s="207">
        <v>772.93</v>
      </c>
      <c r="G17" s="207">
        <v>252.27</v>
      </c>
      <c r="H17" s="205">
        <v>2003</v>
      </c>
      <c r="I17" s="207">
        <v>276.44</v>
      </c>
      <c r="J17" s="205">
        <v>1409</v>
      </c>
      <c r="K17" s="207">
        <v>5921.25</v>
      </c>
      <c r="L17" s="207">
        <v>4543.82</v>
      </c>
      <c r="M17" s="207">
        <v>475.59</v>
      </c>
      <c r="N17" s="205">
        <v>32576</v>
      </c>
      <c r="O17" s="207">
        <v>10859.4</v>
      </c>
      <c r="P17" s="207">
        <v>8656.8799999999992</v>
      </c>
      <c r="Q17" s="207">
        <v>820.24</v>
      </c>
      <c r="R17" s="205">
        <v>92614</v>
      </c>
      <c r="S17" s="205">
        <v>2003</v>
      </c>
      <c r="T17" s="112" t="s">
        <v>836</v>
      </c>
      <c r="U17" s="207">
        <v>2100.69</v>
      </c>
      <c r="V17" s="207">
        <v>1161.21</v>
      </c>
      <c r="W17" s="207">
        <v>939.48</v>
      </c>
      <c r="X17" s="205">
        <v>5461</v>
      </c>
      <c r="Y17" s="207">
        <v>693.26</v>
      </c>
      <c r="Z17" s="207">
        <v>773.15</v>
      </c>
      <c r="AA17" s="207">
        <v>-87.89</v>
      </c>
      <c r="AB17" s="205">
        <v>15300</v>
      </c>
    </row>
    <row r="18" spans="1:28" s="82" customFormat="1" ht="15" customHeight="1">
      <c r="A18" s="505">
        <v>2004</v>
      </c>
      <c r="B18" s="506">
        <v>4008.46</v>
      </c>
      <c r="C18" s="506">
        <v>3693.77</v>
      </c>
      <c r="D18" s="506">
        <v>-1904.72</v>
      </c>
      <c r="E18" s="505">
        <v>57588</v>
      </c>
      <c r="F18" s="506">
        <v>1294.25</v>
      </c>
      <c r="G18" s="506">
        <v>640.37</v>
      </c>
      <c r="H18" s="505">
        <v>2004</v>
      </c>
      <c r="I18" s="506">
        <v>392.01</v>
      </c>
      <c r="J18" s="505">
        <v>1394</v>
      </c>
      <c r="K18" s="506">
        <v>7305.97</v>
      </c>
      <c r="L18" s="506">
        <v>5293.89</v>
      </c>
      <c r="M18" s="506">
        <v>736.49</v>
      </c>
      <c r="N18" s="505">
        <v>34786</v>
      </c>
      <c r="O18" s="506">
        <v>12608.68</v>
      </c>
      <c r="P18" s="506">
        <v>9628.0300000000007</v>
      </c>
      <c r="Q18" s="506">
        <v>-776.22</v>
      </c>
      <c r="R18" s="505">
        <v>93768</v>
      </c>
      <c r="S18" s="505">
        <v>2004</v>
      </c>
      <c r="T18" s="507" t="s">
        <v>837</v>
      </c>
      <c r="U18" s="506">
        <v>2415.7800000000002</v>
      </c>
      <c r="V18" s="506">
        <v>523.91</v>
      </c>
      <c r="W18" s="506">
        <v>1891.87</v>
      </c>
      <c r="X18" s="505">
        <v>5596</v>
      </c>
      <c r="Y18" s="506">
        <v>646.38</v>
      </c>
      <c r="Z18" s="506">
        <v>854.92</v>
      </c>
      <c r="AA18" s="506">
        <v>-240.68</v>
      </c>
      <c r="AB18" s="505">
        <v>14350</v>
      </c>
    </row>
    <row r="19" spans="1:28" s="82" customFormat="1" ht="15" customHeight="1">
      <c r="A19" s="205">
        <v>2005</v>
      </c>
      <c r="B19" s="207">
        <v>4836.34</v>
      </c>
      <c r="C19" s="207">
        <v>3814.7</v>
      </c>
      <c r="D19" s="207">
        <v>-1209.4100000000001</v>
      </c>
      <c r="E19" s="205">
        <v>56417</v>
      </c>
      <c r="F19" s="207">
        <v>1367.59</v>
      </c>
      <c r="G19" s="207">
        <v>529.5</v>
      </c>
      <c r="H19" s="205">
        <v>2005</v>
      </c>
      <c r="I19" s="207">
        <v>470.18</v>
      </c>
      <c r="J19" s="205">
        <v>1713</v>
      </c>
      <c r="K19" s="207">
        <v>9140.17</v>
      </c>
      <c r="L19" s="207">
        <v>6599.97</v>
      </c>
      <c r="M19" s="207">
        <v>954.71</v>
      </c>
      <c r="N19" s="205">
        <v>36715</v>
      </c>
      <c r="O19" s="207">
        <v>15344.1</v>
      </c>
      <c r="P19" s="207">
        <v>10944.17</v>
      </c>
      <c r="Q19" s="207">
        <v>215.48</v>
      </c>
      <c r="R19" s="205">
        <v>94845</v>
      </c>
      <c r="S19" s="205">
        <v>2005</v>
      </c>
      <c r="T19" s="112" t="s">
        <v>842</v>
      </c>
      <c r="U19" s="207">
        <v>3621.5</v>
      </c>
      <c r="V19" s="207">
        <v>1217.48</v>
      </c>
      <c r="W19" s="207">
        <f>U19-V19</f>
        <v>2404.02</v>
      </c>
      <c r="X19" s="205">
        <v>5481</v>
      </c>
      <c r="Y19" s="207">
        <v>1026.0899999999999</v>
      </c>
      <c r="Z19" s="207">
        <v>1088.9000000000001</v>
      </c>
      <c r="AA19" s="207">
        <v>-123</v>
      </c>
      <c r="AB19" s="205">
        <v>15406</v>
      </c>
    </row>
    <row r="20" spans="1:28" s="82" customFormat="1" ht="15" customHeight="1">
      <c r="A20" s="505">
        <v>2006</v>
      </c>
      <c r="B20" s="505">
        <v>5657.36</v>
      </c>
      <c r="C20" s="505">
        <v>4551.7700000000004</v>
      </c>
      <c r="D20" s="505">
        <v>-4415.92</v>
      </c>
      <c r="E20" s="505">
        <v>54591</v>
      </c>
      <c r="F20" s="506">
        <v>2372</v>
      </c>
      <c r="G20" s="505">
        <v>988.01</v>
      </c>
      <c r="H20" s="505">
        <v>2006</v>
      </c>
      <c r="I20" s="505">
        <v>624.12</v>
      </c>
      <c r="J20" s="505">
        <v>2384</v>
      </c>
      <c r="K20" s="505">
        <v>12757.48</v>
      </c>
      <c r="L20" s="505">
        <v>9400.6200000000008</v>
      </c>
      <c r="M20" s="505">
        <v>931.54</v>
      </c>
      <c r="N20" s="505">
        <v>42512</v>
      </c>
      <c r="O20" s="505">
        <v>20786.84</v>
      </c>
      <c r="P20" s="506">
        <v>14940.4</v>
      </c>
      <c r="Q20" s="505">
        <v>-2860.26</v>
      </c>
      <c r="R20" s="505">
        <v>99487</v>
      </c>
      <c r="S20" s="505">
        <v>2006</v>
      </c>
      <c r="T20" s="508" t="s">
        <v>851</v>
      </c>
      <c r="U20" s="509">
        <v>4279.41</v>
      </c>
      <c r="V20" s="509">
        <v>818.83</v>
      </c>
      <c r="W20" s="509">
        <v>3460.58</v>
      </c>
      <c r="X20" s="509">
        <v>5402</v>
      </c>
      <c r="Y20" s="510">
        <v>1234.32</v>
      </c>
      <c r="Z20" s="509">
        <v>1251.53</v>
      </c>
      <c r="AA20" s="510">
        <v>-143.62</v>
      </c>
      <c r="AB20" s="509">
        <v>15515</v>
      </c>
    </row>
    <row r="21" spans="1:28" s="82" customFormat="1" ht="15" customHeight="1">
      <c r="A21" s="205">
        <v>2007</v>
      </c>
      <c r="B21" s="205">
        <v>4713.37</v>
      </c>
      <c r="C21" s="205">
        <v>3243.54</v>
      </c>
      <c r="D21" s="207">
        <v>-809.1</v>
      </c>
      <c r="E21" s="205">
        <v>52177</v>
      </c>
      <c r="F21" s="207">
        <v>2656.66</v>
      </c>
      <c r="G21" s="205">
        <v>1266.5899999999999</v>
      </c>
      <c r="H21" s="205">
        <v>2007</v>
      </c>
      <c r="I21" s="205">
        <v>723.33</v>
      </c>
      <c r="J21" s="205">
        <v>2388</v>
      </c>
      <c r="K21" s="205">
        <v>16256.55</v>
      </c>
      <c r="L21" s="205">
        <v>11380.48</v>
      </c>
      <c r="M21" s="205">
        <v>1995.75</v>
      </c>
      <c r="N21" s="205">
        <v>45074</v>
      </c>
      <c r="O21" s="207">
        <v>23392.9</v>
      </c>
      <c r="P21" s="207">
        <v>15872.78</v>
      </c>
      <c r="Q21" s="205">
        <v>1909.98</v>
      </c>
      <c r="R21" s="205">
        <v>99639</v>
      </c>
      <c r="S21" s="205">
        <v>2007</v>
      </c>
      <c r="T21" s="82" t="s">
        <v>574</v>
      </c>
      <c r="U21" s="209">
        <v>4062.03</v>
      </c>
      <c r="V21" s="208">
        <v>909.2</v>
      </c>
      <c r="W21" s="209">
        <v>3152.83</v>
      </c>
      <c r="X21" s="209">
        <f>4031+1273</f>
        <v>5304</v>
      </c>
      <c r="Y21" s="209">
        <v>1472.26</v>
      </c>
      <c r="Z21" s="209">
        <v>1497.07</v>
      </c>
      <c r="AA21" s="209">
        <v>-167.17</v>
      </c>
      <c r="AB21" s="209">
        <v>15400</v>
      </c>
    </row>
    <row r="22" spans="1:28" s="209" customFormat="1" ht="15" customHeight="1">
      <c r="A22" s="505">
        <v>2008</v>
      </c>
      <c r="B22" s="505">
        <v>6750.95</v>
      </c>
      <c r="C22" s="505">
        <v>5227.88</v>
      </c>
      <c r="D22" s="505">
        <v>897.68</v>
      </c>
      <c r="E22" s="505">
        <v>53786</v>
      </c>
      <c r="F22" s="506">
        <v>3235.57</v>
      </c>
      <c r="G22" s="506">
        <v>1620.56</v>
      </c>
      <c r="H22" s="505">
        <v>2008</v>
      </c>
      <c r="I22" s="511">
        <v>1138.42</v>
      </c>
      <c r="J22" s="512">
        <v>2384</v>
      </c>
      <c r="K22" s="506">
        <v>21172.7</v>
      </c>
      <c r="L22" s="506">
        <v>14757.53</v>
      </c>
      <c r="M22" s="511">
        <v>2818.66</v>
      </c>
      <c r="N22" s="512">
        <v>46308</v>
      </c>
      <c r="O22" s="506">
        <v>31159.22</v>
      </c>
      <c r="P22" s="506">
        <v>21605.97</v>
      </c>
      <c r="Q22" s="506">
        <v>4854.76</v>
      </c>
      <c r="R22" s="512">
        <v>102478</v>
      </c>
      <c r="S22" s="505">
        <v>2008</v>
      </c>
      <c r="T22" s="508" t="s">
        <v>114</v>
      </c>
      <c r="U22" s="509">
        <v>3088.43</v>
      </c>
      <c r="V22" s="509">
        <v>582.63</v>
      </c>
      <c r="W22" s="510">
        <v>2505.8000000000002</v>
      </c>
      <c r="X22" s="509">
        <v>5259</v>
      </c>
      <c r="Y22" s="510">
        <v>1944.9</v>
      </c>
      <c r="Z22" s="509">
        <v>1685.01</v>
      </c>
      <c r="AA22" s="509">
        <v>40.159999999999997</v>
      </c>
      <c r="AB22" s="509">
        <v>15388</v>
      </c>
    </row>
    <row r="23" spans="1:28" s="209" customFormat="1" ht="15" customHeight="1">
      <c r="A23" s="205">
        <v>2009</v>
      </c>
      <c r="B23" s="205">
        <v>8026.68</v>
      </c>
      <c r="C23" s="205">
        <v>6083.51</v>
      </c>
      <c r="D23" s="205">
        <v>931.35</v>
      </c>
      <c r="E23" s="205">
        <v>50600</v>
      </c>
      <c r="F23" s="207">
        <v>2610.9499999999998</v>
      </c>
      <c r="G23" s="207">
        <v>1401.57</v>
      </c>
      <c r="H23" s="205">
        <v>2009</v>
      </c>
      <c r="I23" s="207">
        <v>708.78</v>
      </c>
      <c r="J23" s="216">
        <v>2760</v>
      </c>
      <c r="K23" s="207">
        <v>26262.19</v>
      </c>
      <c r="L23" s="207">
        <v>17911.02</v>
      </c>
      <c r="M23" s="207">
        <v>3947.72</v>
      </c>
      <c r="N23" s="216">
        <v>59874</v>
      </c>
      <c r="O23" s="207">
        <f t="shared" ref="O23:P25" si="0">B23+F23+K23</f>
        <v>36899.82</v>
      </c>
      <c r="P23" s="207">
        <f t="shared" si="0"/>
        <v>25396.1</v>
      </c>
      <c r="Q23" s="207">
        <f t="shared" ref="Q23:R25" si="1">D23+I23+M23</f>
        <v>5587.85</v>
      </c>
      <c r="R23" s="216">
        <f t="shared" si="1"/>
        <v>113234</v>
      </c>
      <c r="S23" s="205">
        <v>2009</v>
      </c>
      <c r="T23" s="82" t="s">
        <v>110</v>
      </c>
      <c r="U23" s="209">
        <v>1926.92</v>
      </c>
      <c r="V23" s="208">
        <v>639.1</v>
      </c>
      <c r="W23" s="208">
        <v>1287.82</v>
      </c>
      <c r="X23" s="209">
        <f>3914+1157</f>
        <v>5071</v>
      </c>
      <c r="Y23" s="209">
        <v>2327.42</v>
      </c>
      <c r="Z23" s="209">
        <v>2053.65</v>
      </c>
      <c r="AA23" s="209">
        <v>105.76</v>
      </c>
      <c r="AB23" s="209">
        <v>15293</v>
      </c>
    </row>
    <row r="24" spans="1:28" s="209" customFormat="1" ht="15" customHeight="1">
      <c r="A24" s="505">
        <v>2010</v>
      </c>
      <c r="B24" s="505">
        <v>10260.459999999999</v>
      </c>
      <c r="C24" s="505">
        <v>7163.33</v>
      </c>
      <c r="D24" s="505">
        <v>1176.26</v>
      </c>
      <c r="E24" s="505">
        <v>50069</v>
      </c>
      <c r="F24" s="506">
        <v>2632.77</v>
      </c>
      <c r="G24" s="506">
        <v>1338.96</v>
      </c>
      <c r="H24" s="505">
        <v>2010</v>
      </c>
      <c r="I24" s="506">
        <v>645.62</v>
      </c>
      <c r="J24" s="512">
        <v>3143</v>
      </c>
      <c r="K24" s="506">
        <v>32873.14</v>
      </c>
      <c r="L24" s="506">
        <v>20435.560000000001</v>
      </c>
      <c r="M24" s="506">
        <v>6032.03</v>
      </c>
      <c r="N24" s="512">
        <v>68720</v>
      </c>
      <c r="O24" s="506">
        <f t="shared" si="0"/>
        <v>45766.369999999995</v>
      </c>
      <c r="P24" s="506">
        <f t="shared" si="0"/>
        <v>28937.850000000002</v>
      </c>
      <c r="Q24" s="506">
        <f t="shared" si="1"/>
        <v>7853.91</v>
      </c>
      <c r="R24" s="512">
        <f t="shared" si="1"/>
        <v>121932</v>
      </c>
      <c r="S24" s="505">
        <v>2010</v>
      </c>
      <c r="T24" s="508" t="s">
        <v>253</v>
      </c>
      <c r="U24" s="509">
        <v>9862.5400000000009</v>
      </c>
      <c r="V24" s="510">
        <v>1019.94</v>
      </c>
      <c r="W24" s="509">
        <v>8842.59</v>
      </c>
      <c r="X24" s="509">
        <f>3848+1030</f>
        <v>4878</v>
      </c>
      <c r="Y24" s="510">
        <v>2610.5</v>
      </c>
      <c r="Z24" s="510">
        <v>2494.17</v>
      </c>
      <c r="AA24" s="509">
        <v>-58.41</v>
      </c>
      <c r="AB24" s="509">
        <v>14367</v>
      </c>
    </row>
    <row r="25" spans="1:28" s="565" customFormat="1" ht="15" customHeight="1">
      <c r="A25" s="751">
        <v>2011</v>
      </c>
      <c r="B25" s="752">
        <v>13224.12</v>
      </c>
      <c r="C25" s="752">
        <v>8569.5</v>
      </c>
      <c r="D25" s="751">
        <v>1799.33</v>
      </c>
      <c r="E25" s="751">
        <v>54025</v>
      </c>
      <c r="F25" s="752">
        <v>4378.41</v>
      </c>
      <c r="G25" s="752">
        <v>1925.6</v>
      </c>
      <c r="H25" s="751">
        <v>2011</v>
      </c>
      <c r="I25" s="752">
        <v>781.04</v>
      </c>
      <c r="J25" s="753">
        <v>3137</v>
      </c>
      <c r="K25" s="752">
        <v>41050.18</v>
      </c>
      <c r="L25" s="752">
        <v>29079.7</v>
      </c>
      <c r="M25" s="752">
        <v>6999.28</v>
      </c>
      <c r="N25" s="753">
        <v>75649</v>
      </c>
      <c r="O25" s="752">
        <f t="shared" si="0"/>
        <v>58652.71</v>
      </c>
      <c r="P25" s="752">
        <f t="shared" si="0"/>
        <v>39574.800000000003</v>
      </c>
      <c r="Q25" s="207">
        <f t="shared" si="1"/>
        <v>9579.65</v>
      </c>
      <c r="R25" s="216">
        <f t="shared" si="1"/>
        <v>132811</v>
      </c>
      <c r="S25" s="751">
        <v>2011</v>
      </c>
      <c r="T25" s="262" t="s">
        <v>1779</v>
      </c>
      <c r="U25" s="565">
        <v>8522.74</v>
      </c>
      <c r="V25" s="587">
        <v>1490.9978000000001</v>
      </c>
      <c r="W25" s="565">
        <v>7031.75</v>
      </c>
      <c r="X25" s="565">
        <v>4958</v>
      </c>
      <c r="Y25" s="587">
        <v>1818.91</v>
      </c>
      <c r="Z25" s="587">
        <v>1996.95</v>
      </c>
      <c r="AA25" s="587">
        <v>-208.04</v>
      </c>
      <c r="AB25" s="565">
        <v>13879</v>
      </c>
    </row>
    <row r="26" spans="1:28" s="565" customFormat="1" ht="15" customHeight="1">
      <c r="A26" s="505">
        <v>2012</v>
      </c>
      <c r="B26" s="506">
        <v>15725.253306500001</v>
      </c>
      <c r="C26" s="506">
        <v>11794.0446276</v>
      </c>
      <c r="D26" s="506">
        <v>-6522.876828200001</v>
      </c>
      <c r="E26" s="505">
        <v>57989</v>
      </c>
      <c r="F26" s="506">
        <v>5603.3493125000005</v>
      </c>
      <c r="G26" s="506">
        <v>2796.43</v>
      </c>
      <c r="H26" s="505">
        <v>2012</v>
      </c>
      <c r="I26" s="506">
        <v>1465.1193717000001</v>
      </c>
      <c r="J26" s="512">
        <v>3140</v>
      </c>
      <c r="K26" s="506">
        <v>52221.363523699983</v>
      </c>
      <c r="L26" s="506">
        <v>38973.794740899997</v>
      </c>
      <c r="M26" s="506">
        <v>3962.6805902000001</v>
      </c>
      <c r="N26" s="512">
        <v>81944</v>
      </c>
      <c r="O26" s="506">
        <f t="shared" ref="O26:P29" si="2">B26+F26+K26</f>
        <v>73549.966142699981</v>
      </c>
      <c r="P26" s="506">
        <f t="shared" si="2"/>
        <v>53564.269368499998</v>
      </c>
      <c r="Q26" s="506">
        <f t="shared" ref="Q26:R29" si="3">D26+I26+M26</f>
        <v>-1095.0768663000013</v>
      </c>
      <c r="R26" s="512">
        <f t="shared" si="3"/>
        <v>143073</v>
      </c>
      <c r="S26" s="505">
        <v>2012</v>
      </c>
      <c r="T26" s="852" t="s">
        <v>1824</v>
      </c>
      <c r="U26" s="509" t="s">
        <v>505</v>
      </c>
      <c r="V26" s="510" t="s">
        <v>505</v>
      </c>
      <c r="W26" s="509" t="s">
        <v>505</v>
      </c>
      <c r="X26" s="509" t="s">
        <v>505</v>
      </c>
      <c r="Y26" s="509">
        <f>252.03+1340.23</f>
        <v>1592.26</v>
      </c>
      <c r="Z26" s="509">
        <f>149.23+1079.22</f>
        <v>1228.45</v>
      </c>
      <c r="AA26" s="509">
        <f>83.7+2.79</f>
        <v>86.490000000000009</v>
      </c>
      <c r="AB26" s="509">
        <f>857+1657</f>
        <v>2514</v>
      </c>
    </row>
    <row r="27" spans="1:28" s="565" customFormat="1" ht="15" customHeight="1">
      <c r="A27" s="751">
        <v>2013</v>
      </c>
      <c r="B27" s="752">
        <v>16728.024012099999</v>
      </c>
      <c r="C27" s="752">
        <v>13949.002911900001</v>
      </c>
      <c r="D27" s="752">
        <v>2258.4407385999998</v>
      </c>
      <c r="E27" s="751">
        <v>58049</v>
      </c>
      <c r="F27" s="752">
        <v>5985.9425159000011</v>
      </c>
      <c r="G27" s="752">
        <v>3007.3867308999997</v>
      </c>
      <c r="H27" s="751">
        <v>2013</v>
      </c>
      <c r="I27" s="752">
        <v>1464.6336643</v>
      </c>
      <c r="J27" s="753">
        <v>3330</v>
      </c>
      <c r="K27" s="752">
        <v>57658.748551799996</v>
      </c>
      <c r="L27" s="752">
        <v>44904.274183500005</v>
      </c>
      <c r="M27" s="752">
        <v>4644.2722049999993</v>
      </c>
      <c r="N27" s="753">
        <v>85888</v>
      </c>
      <c r="O27" s="752">
        <f t="shared" si="2"/>
        <v>80372.715079799993</v>
      </c>
      <c r="P27" s="752">
        <f t="shared" si="2"/>
        <v>61860.663826300006</v>
      </c>
      <c r="Q27" s="752">
        <f t="shared" si="3"/>
        <v>8367.3466078999991</v>
      </c>
      <c r="R27" s="753">
        <f t="shared" si="3"/>
        <v>147267</v>
      </c>
      <c r="S27" s="751">
        <v>2013</v>
      </c>
      <c r="T27" s="851" t="s">
        <v>1361</v>
      </c>
      <c r="U27" s="565">
        <v>1685.34</v>
      </c>
      <c r="V27" s="587">
        <v>1380.9365</v>
      </c>
      <c r="W27" s="565">
        <v>304.41000000000003</v>
      </c>
      <c r="X27" s="565">
        <v>5239</v>
      </c>
      <c r="Y27" s="587">
        <v>1794.8927682999999</v>
      </c>
      <c r="Z27" s="587">
        <v>2210.8702908</v>
      </c>
      <c r="AA27" s="587">
        <v>-448.5010825</v>
      </c>
      <c r="AB27" s="565">
        <v>15034</v>
      </c>
    </row>
    <row r="28" spans="1:28" s="565" customFormat="1" ht="15" customHeight="1">
      <c r="A28" s="505">
        <v>2014</v>
      </c>
      <c r="B28" s="506">
        <v>18486.490000000002</v>
      </c>
      <c r="C28" s="506">
        <v>15256.82</v>
      </c>
      <c r="D28" s="506">
        <v>1227.44</v>
      </c>
      <c r="E28" s="505">
        <v>56187</v>
      </c>
      <c r="F28" s="506">
        <v>5906.7</v>
      </c>
      <c r="G28" s="506">
        <v>2721.73</v>
      </c>
      <c r="H28" s="505">
        <v>2014</v>
      </c>
      <c r="I28" s="506">
        <v>1706.03</v>
      </c>
      <c r="J28" s="512">
        <v>3880</v>
      </c>
      <c r="K28" s="506">
        <v>61356.65</v>
      </c>
      <c r="L28" s="506">
        <v>46637.05</v>
      </c>
      <c r="M28" s="506">
        <v>5511.02</v>
      </c>
      <c r="N28" s="512">
        <v>93624</v>
      </c>
      <c r="O28" s="506">
        <f t="shared" si="2"/>
        <v>85749.84</v>
      </c>
      <c r="P28" s="506">
        <f t="shared" si="2"/>
        <v>64615.600000000006</v>
      </c>
      <c r="Q28" s="506">
        <f t="shared" si="3"/>
        <v>8444.4900000000016</v>
      </c>
      <c r="R28" s="512">
        <f t="shared" si="3"/>
        <v>153691</v>
      </c>
      <c r="S28" s="505">
        <v>2014</v>
      </c>
      <c r="T28" s="852">
        <v>2013</v>
      </c>
      <c r="U28" s="509" t="s">
        <v>505</v>
      </c>
      <c r="V28" s="510" t="s">
        <v>505</v>
      </c>
      <c r="W28" s="509" t="s">
        <v>505</v>
      </c>
      <c r="X28" s="509" t="s">
        <v>505</v>
      </c>
      <c r="Y28" s="510">
        <v>2163.7902678</v>
      </c>
      <c r="Z28" s="510">
        <v>1791.2615637000001</v>
      </c>
      <c r="AA28" s="510">
        <v>48.857708699999996</v>
      </c>
      <c r="AB28" s="509">
        <v>2971</v>
      </c>
    </row>
    <row r="29" spans="1:28" s="565" customFormat="1" ht="15" customHeight="1">
      <c r="A29" s="209">
        <v>2015</v>
      </c>
      <c r="B29" s="129">
        <v>20782.27</v>
      </c>
      <c r="C29" s="129">
        <v>17852.88</v>
      </c>
      <c r="D29" s="1196">
        <v>365.93</v>
      </c>
      <c r="E29" s="1197">
        <v>58286</v>
      </c>
      <c r="F29" s="591">
        <v>5407.47</v>
      </c>
      <c r="G29" s="591">
        <v>2514.02</v>
      </c>
      <c r="H29" s="209">
        <v>2015</v>
      </c>
      <c r="I29" s="591">
        <v>1695.81</v>
      </c>
      <c r="J29" s="1198">
        <v>3876</v>
      </c>
      <c r="K29" s="591">
        <v>64033.43</v>
      </c>
      <c r="L29" s="591">
        <v>48463.98</v>
      </c>
      <c r="M29" s="591">
        <v>6145.79</v>
      </c>
      <c r="N29" s="1198">
        <v>92742</v>
      </c>
      <c r="O29" s="752">
        <f t="shared" si="2"/>
        <v>90223.17</v>
      </c>
      <c r="P29" s="752">
        <f t="shared" si="2"/>
        <v>68830.880000000005</v>
      </c>
      <c r="Q29" s="752">
        <f t="shared" si="3"/>
        <v>8207.5299999999988</v>
      </c>
      <c r="R29" s="753">
        <f t="shared" si="3"/>
        <v>154904</v>
      </c>
      <c r="S29" s="209">
        <v>2015</v>
      </c>
      <c r="T29" s="262" t="s">
        <v>1693</v>
      </c>
      <c r="U29" s="565">
        <v>5040.63</v>
      </c>
      <c r="V29" s="587">
        <v>1688.81</v>
      </c>
      <c r="W29" s="565">
        <v>3351.83</v>
      </c>
      <c r="X29" s="565">
        <v>5470</v>
      </c>
      <c r="Y29" s="587">
        <v>2035.3</v>
      </c>
      <c r="Z29" s="565">
        <v>2539.12</v>
      </c>
      <c r="AA29" s="565">
        <v>-3504.21</v>
      </c>
      <c r="AB29" s="565">
        <v>14237</v>
      </c>
    </row>
    <row r="30" spans="1:28" s="565" customFormat="1" ht="15" customHeight="1">
      <c r="A30" s="509">
        <v>2016</v>
      </c>
      <c r="B30" s="1479">
        <v>20405.580000000002</v>
      </c>
      <c r="C30" s="1479">
        <v>18437.03</v>
      </c>
      <c r="D30" s="1480">
        <v>-363.99</v>
      </c>
      <c r="E30" s="1481">
        <v>54405</v>
      </c>
      <c r="F30" s="596">
        <v>4405.96</v>
      </c>
      <c r="G30" s="596">
        <v>2009.23</v>
      </c>
      <c r="H30" s="509">
        <v>2016</v>
      </c>
      <c r="I30" s="596">
        <v>1385.13</v>
      </c>
      <c r="J30" s="1482">
        <v>3997</v>
      </c>
      <c r="K30" s="596">
        <v>66053.23</v>
      </c>
      <c r="L30" s="596">
        <v>48304.639999999999</v>
      </c>
      <c r="M30" s="596">
        <v>7075.22</v>
      </c>
      <c r="N30" s="1482">
        <v>101622</v>
      </c>
      <c r="O30" s="506">
        <f t="shared" ref="O30" si="4">B30+F30+K30</f>
        <v>90864.76999999999</v>
      </c>
      <c r="P30" s="506">
        <f t="shared" ref="P30" si="5">C30+G30+L30</f>
        <v>68750.899999999994</v>
      </c>
      <c r="Q30" s="506">
        <f t="shared" ref="Q30" si="6">D30+I30+M30</f>
        <v>8096.3600000000006</v>
      </c>
      <c r="R30" s="512">
        <f t="shared" ref="R30" si="7">E30+J30+N30</f>
        <v>160024</v>
      </c>
      <c r="S30" s="509">
        <v>2016</v>
      </c>
      <c r="T30" s="852">
        <v>2014</v>
      </c>
      <c r="U30" s="509" t="s">
        <v>505</v>
      </c>
      <c r="V30" s="510" t="s">
        <v>505</v>
      </c>
      <c r="W30" s="509" t="s">
        <v>505</v>
      </c>
      <c r="X30" s="509" t="s">
        <v>505</v>
      </c>
      <c r="Y30" s="509">
        <v>1988.85</v>
      </c>
      <c r="Z30" s="509">
        <v>1951.38</v>
      </c>
      <c r="AA30" s="509">
        <v>2.91</v>
      </c>
      <c r="AB30" s="509">
        <v>3115</v>
      </c>
    </row>
    <row r="31" spans="1:28" ht="15" customHeight="1" thickBot="1">
      <c r="A31" s="1490">
        <v>2017</v>
      </c>
      <c r="B31" s="1490">
        <v>20829.87</v>
      </c>
      <c r="C31" s="1490">
        <v>17032.490000000002</v>
      </c>
      <c r="D31" s="1490">
        <v>1091.04</v>
      </c>
      <c r="E31" s="1490">
        <v>51483</v>
      </c>
      <c r="F31" s="1490">
        <v>4369.22</v>
      </c>
      <c r="G31" s="1490">
        <v>2027.35</v>
      </c>
      <c r="H31" s="1490">
        <v>2017</v>
      </c>
      <c r="I31" s="1490">
        <v>1324.35</v>
      </c>
      <c r="J31" s="1490">
        <v>4003</v>
      </c>
      <c r="K31" s="1483">
        <v>71888.84</v>
      </c>
      <c r="L31" s="1483">
        <v>53138.79</v>
      </c>
      <c r="M31" s="1483">
        <v>6877.83</v>
      </c>
      <c r="N31" s="1484">
        <v>107255</v>
      </c>
      <c r="O31" s="1483">
        <f t="shared" ref="O31" si="8">B31+F31+K31</f>
        <v>97087.93</v>
      </c>
      <c r="P31" s="1483">
        <f t="shared" ref="P31" si="9">C31+G31+L31</f>
        <v>72198.63</v>
      </c>
      <c r="Q31" s="1483">
        <f t="shared" ref="Q31" si="10">D31+I31+M31</f>
        <v>9293.2199999999993</v>
      </c>
      <c r="R31" s="1484">
        <f t="shared" ref="R31" si="11">E31+J31+N31</f>
        <v>162741</v>
      </c>
      <c r="S31" s="1485">
        <v>2017</v>
      </c>
      <c r="T31" s="262" t="s">
        <v>1795</v>
      </c>
      <c r="U31" s="565">
        <v>2807.48</v>
      </c>
      <c r="V31" s="587">
        <v>5430.4471999999996</v>
      </c>
      <c r="W31" s="587">
        <v>-2622.97</v>
      </c>
      <c r="X31" s="565">
        <v>6067</v>
      </c>
      <c r="Y31" s="565">
        <v>2105.12</v>
      </c>
      <c r="Z31" s="565">
        <v>2551.56</v>
      </c>
      <c r="AA31" s="587">
        <v>-247.5</v>
      </c>
      <c r="AB31" s="565">
        <v>14094</v>
      </c>
    </row>
    <row r="32" spans="1:28" ht="15" customHeight="1">
      <c r="K32" s="97"/>
      <c r="L32" s="97"/>
      <c r="M32" s="97"/>
      <c r="N32" s="97"/>
      <c r="O32" s="97"/>
      <c r="P32" s="97"/>
      <c r="Q32" s="97"/>
      <c r="R32" s="97"/>
      <c r="S32" s="97"/>
      <c r="T32" s="508" t="s">
        <v>1996</v>
      </c>
      <c r="U32" s="509">
        <v>3502.18</v>
      </c>
      <c r="V32" s="510">
        <v>3349.1619999999998</v>
      </c>
      <c r="W32" s="510">
        <v>153.02000000000001</v>
      </c>
      <c r="X32" s="509">
        <v>5726</v>
      </c>
      <c r="Y32" s="510">
        <v>2060.8000000000002</v>
      </c>
      <c r="Z32" s="510">
        <v>2816.86</v>
      </c>
      <c r="AA32" s="509">
        <v>-674.71</v>
      </c>
      <c r="AB32" s="509">
        <v>13200</v>
      </c>
    </row>
    <row r="33" spans="1:28" ht="15" customHeight="1">
      <c r="A33" s="853" t="s">
        <v>635</v>
      </c>
      <c r="B33" s="854" t="s">
        <v>2173</v>
      </c>
      <c r="C33" s="35"/>
      <c r="D33" s="752"/>
      <c r="E33" s="751"/>
      <c r="F33" s="752"/>
      <c r="G33" s="752"/>
      <c r="H33" s="751"/>
      <c r="I33" s="752"/>
      <c r="J33" s="753"/>
      <c r="K33" s="97"/>
      <c r="L33" s="97"/>
      <c r="M33" s="97"/>
      <c r="N33" s="97"/>
      <c r="O33" s="97"/>
      <c r="P33" s="97"/>
      <c r="Q33" s="97"/>
      <c r="R33" s="97"/>
      <c r="S33" s="97"/>
      <c r="T33" s="262" t="s">
        <v>2092</v>
      </c>
      <c r="U33" s="587">
        <v>10866.435799999999</v>
      </c>
      <c r="V33" s="587">
        <v>3379.3724000000002</v>
      </c>
      <c r="W33" s="587">
        <f>U33-V33</f>
        <v>7487.0633999999991</v>
      </c>
      <c r="X33" s="565">
        <v>5664</v>
      </c>
      <c r="Y33" s="587">
        <v>2155</v>
      </c>
      <c r="Z33" s="587">
        <v>2921.68</v>
      </c>
      <c r="AA33" s="565">
        <v>-555.75</v>
      </c>
      <c r="AB33" s="565">
        <v>12286</v>
      </c>
    </row>
    <row r="34" spans="1:28" ht="15" customHeight="1" thickBot="1">
      <c r="A34" s="853"/>
      <c r="B34" s="2179" t="s">
        <v>2093</v>
      </c>
      <c r="C34" s="2179"/>
      <c r="D34" s="2179"/>
      <c r="E34" s="2179"/>
      <c r="F34" s="2179"/>
      <c r="G34" s="2179"/>
      <c r="H34" s="2179"/>
      <c r="I34" s="2179"/>
      <c r="J34" s="2179"/>
      <c r="K34" s="97"/>
      <c r="L34" s="97"/>
      <c r="M34" s="97"/>
      <c r="N34" s="97"/>
      <c r="O34" s="1491"/>
      <c r="P34" s="97"/>
      <c r="Q34" s="97"/>
      <c r="R34" s="97"/>
      <c r="S34" s="97"/>
      <c r="T34" s="1486" t="s">
        <v>2320</v>
      </c>
      <c r="U34" s="1487">
        <v>14247.9123</v>
      </c>
      <c r="V34" s="1487">
        <v>4583.1831000000002</v>
      </c>
      <c r="W34" s="1487">
        <f>U34-V34</f>
        <v>9664.7291999999998</v>
      </c>
      <c r="X34" s="1051">
        <v>5757</v>
      </c>
      <c r="Y34" s="1487" t="s">
        <v>505</v>
      </c>
      <c r="Z34" s="1487" t="s">
        <v>505</v>
      </c>
      <c r="AA34" s="1051" t="s">
        <v>505</v>
      </c>
      <c r="AB34" s="1051" t="s">
        <v>505</v>
      </c>
    </row>
    <row r="35" spans="1:28" ht="19.149999999999999" customHeight="1">
      <c r="A35" s="177"/>
      <c r="K35" s="97"/>
      <c r="L35" s="97"/>
      <c r="M35" s="97"/>
      <c r="N35" s="97"/>
      <c r="O35" s="97"/>
      <c r="P35" s="97"/>
      <c r="Q35" s="97"/>
      <c r="R35" s="97"/>
      <c r="S35" s="97"/>
      <c r="T35" s="2181" t="s">
        <v>2442</v>
      </c>
      <c r="U35" s="2181"/>
      <c r="V35" s="2181"/>
      <c r="W35" s="2181"/>
      <c r="X35" s="2181"/>
      <c r="Y35" s="2181"/>
      <c r="Z35" s="2181"/>
      <c r="AA35" s="2181"/>
      <c r="AB35" s="2181"/>
    </row>
    <row r="36" spans="1:28" ht="19.5" customHeight="1">
      <c r="B36" s="307"/>
      <c r="C36" s="307"/>
      <c r="D36" s="6"/>
      <c r="K36" s="175"/>
      <c r="L36" s="175"/>
      <c r="M36" s="175"/>
      <c r="N36" s="175"/>
      <c r="O36" s="1199"/>
      <c r="P36" s="1199"/>
      <c r="Q36" s="1199"/>
      <c r="R36" s="1199"/>
      <c r="S36" s="175"/>
      <c r="T36" s="2180" t="s">
        <v>2443</v>
      </c>
      <c r="U36" s="2180"/>
      <c r="V36" s="2180"/>
      <c r="W36" s="2180"/>
      <c r="X36" s="2180"/>
      <c r="Y36" s="2180"/>
      <c r="Z36" s="2180"/>
      <c r="AA36" s="2180"/>
      <c r="AB36" s="2180"/>
    </row>
    <row r="37" spans="1:28" ht="19.5" customHeight="1">
      <c r="A37" s="179"/>
      <c r="B37" s="179"/>
      <c r="K37" s="182"/>
      <c r="L37" s="182"/>
      <c r="M37" s="182"/>
      <c r="N37" s="182"/>
      <c r="O37" s="1200"/>
      <c r="P37" s="1200"/>
      <c r="Q37" s="1200"/>
      <c r="R37" s="1200"/>
      <c r="S37" s="182"/>
      <c r="T37" s="2180" t="s">
        <v>2288</v>
      </c>
      <c r="U37" s="2180"/>
      <c r="V37" s="2180"/>
      <c r="W37" s="2180"/>
      <c r="X37" s="2180"/>
      <c r="Y37" s="2180"/>
      <c r="Z37" s="2180"/>
      <c r="AA37" s="2180"/>
      <c r="AB37" s="2180"/>
    </row>
    <row r="38" spans="1:28" ht="11.25" customHeight="1">
      <c r="A38" s="179"/>
      <c r="B38" s="179"/>
      <c r="K38" s="182"/>
      <c r="L38" s="182"/>
      <c r="M38" s="182"/>
      <c r="N38" s="182"/>
      <c r="O38" s="182"/>
      <c r="P38" s="182"/>
      <c r="Q38" s="182"/>
      <c r="R38" s="182"/>
      <c r="S38" s="182"/>
      <c r="T38" s="2178" t="s">
        <v>2187</v>
      </c>
      <c r="U38" s="2178"/>
      <c r="V38" s="2178"/>
      <c r="W38" s="2178"/>
      <c r="X38" s="2178"/>
      <c r="Y38" s="2178"/>
    </row>
    <row r="39" spans="1:28" ht="15.75">
      <c r="I39" s="252"/>
      <c r="K39" s="97"/>
      <c r="O39" s="1219"/>
      <c r="P39" s="1219"/>
      <c r="Q39" s="1219"/>
      <c r="R39" s="1219"/>
    </row>
    <row r="40" spans="1:28">
      <c r="I40" s="252"/>
      <c r="K40" s="97"/>
    </row>
    <row r="41" spans="1:28">
      <c r="I41" s="252"/>
      <c r="K41" s="97"/>
    </row>
    <row r="42" spans="1:28" ht="15">
      <c r="K42" s="97"/>
      <c r="Y42" s="1220"/>
      <c r="Z42" s="1220"/>
      <c r="AA42" s="1220"/>
      <c r="AB42" s="1220"/>
    </row>
    <row r="43" spans="1:28" ht="15">
      <c r="K43" s="97"/>
      <c r="W43" s="246"/>
      <c r="Y43" s="1220"/>
      <c r="Z43" s="1220"/>
      <c r="AA43" s="1220"/>
      <c r="AB43" s="1220"/>
    </row>
    <row r="44" spans="1:28" ht="15">
      <c r="K44" s="97"/>
      <c r="Y44" s="1218"/>
      <c r="Z44" s="1218"/>
      <c r="AA44" s="1218"/>
      <c r="AB44" s="1218"/>
    </row>
    <row r="45" spans="1:28" ht="15">
      <c r="K45" s="97"/>
      <c r="Y45" s="1220"/>
      <c r="Z45" s="1220"/>
      <c r="AA45" s="1220"/>
      <c r="AB45" s="1220"/>
    </row>
    <row r="46" spans="1:28">
      <c r="K46" s="97"/>
    </row>
    <row r="47" spans="1:28">
      <c r="K47" s="97"/>
    </row>
    <row r="48" spans="1:28">
      <c r="K48" s="97"/>
    </row>
    <row r="49" spans="1:19">
      <c r="K49" s="97"/>
    </row>
    <row r="50" spans="1:19">
      <c r="K50" s="97"/>
    </row>
    <row r="51" spans="1:19">
      <c r="K51" s="97"/>
    </row>
    <row r="52" spans="1:19">
      <c r="K52" s="97"/>
    </row>
    <row r="53" spans="1:19">
      <c r="K53" s="97"/>
    </row>
    <row r="54" spans="1:19">
      <c r="K54" s="97"/>
    </row>
    <row r="55" spans="1:19">
      <c r="K55" s="97"/>
    </row>
    <row r="56" spans="1:19">
      <c r="K56" s="97"/>
    </row>
    <row r="57" spans="1:19">
      <c r="K57" s="97"/>
    </row>
    <row r="58" spans="1:19" ht="11.25" customHeight="1">
      <c r="K58" s="97"/>
    </row>
    <row r="59" spans="1:19">
      <c r="K59" s="97"/>
    </row>
    <row r="60" spans="1:19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</row>
    <row r="61" spans="1:19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</row>
  </sheetData>
  <mergeCells count="39">
    <mergeCell ref="T38:Y38"/>
    <mergeCell ref="H4:H6"/>
    <mergeCell ref="S4:S6"/>
    <mergeCell ref="K5:N5"/>
    <mergeCell ref="Y4:AB4"/>
    <mergeCell ref="I4:R4"/>
    <mergeCell ref="B34:J34"/>
    <mergeCell ref="T37:AB37"/>
    <mergeCell ref="T35:AB35"/>
    <mergeCell ref="T36:AB36"/>
    <mergeCell ref="A2:E2"/>
    <mergeCell ref="A3:E3"/>
    <mergeCell ref="F2:G2"/>
    <mergeCell ref="I5:J5"/>
    <mergeCell ref="O5:R5"/>
    <mergeCell ref="I2:N2"/>
    <mergeCell ref="M3:N3"/>
    <mergeCell ref="F5:G5"/>
    <mergeCell ref="R2:S2"/>
    <mergeCell ref="O2:Q2"/>
    <mergeCell ref="R3:S3"/>
    <mergeCell ref="F3:G3"/>
    <mergeCell ref="A4:A6"/>
    <mergeCell ref="B4:G4"/>
    <mergeCell ref="B5:E5"/>
    <mergeCell ref="T2:Y2"/>
    <mergeCell ref="Z2:AB2"/>
    <mergeCell ref="U5:U6"/>
    <mergeCell ref="W5:W6"/>
    <mergeCell ref="AA5:AA6"/>
    <mergeCell ref="AB5:AB6"/>
    <mergeCell ref="X5:X6"/>
    <mergeCell ref="V5:V6"/>
    <mergeCell ref="T4:T6"/>
    <mergeCell ref="U4:X4"/>
    <mergeCell ref="AA3:AB3"/>
    <mergeCell ref="Y5:Y6"/>
    <mergeCell ref="Z5:Z6"/>
    <mergeCell ref="T3:Z3"/>
  </mergeCells>
  <phoneticPr fontId="0" type="noConversion"/>
  <pageMargins left="0.62992125984252001" right="0.59055118110236204" top="0.511811023622047" bottom="0.511811023622047" header="0" footer="0.74803149606299202"/>
  <pageSetup paperSize="141" firstPageNumber="79" orientation="portrait" useFirstPageNumber="1" r:id="rId1"/>
  <headerFooter alignWithMargins="0">
    <oddFooter>&amp;C&amp;"Times New Roman,Regular"&amp;8&amp;P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1"/>
  <dimension ref="A1:J105"/>
  <sheetViews>
    <sheetView zoomScale="130" zoomScaleNormal="130" workbookViewId="0">
      <pane xSplit="1" ySplit="3" topLeftCell="B36" activePane="bottomRight" state="frozen"/>
      <selection pane="topRight" activeCell="C1" sqref="C1"/>
      <selection pane="bottomLeft" activeCell="A4" sqref="A4"/>
      <selection pane="bottomRight" activeCell="C44" sqref="C44:C45"/>
    </sheetView>
  </sheetViews>
  <sheetFormatPr defaultColWidth="9.140625" defaultRowHeight="11.25"/>
  <cols>
    <col min="1" max="1" width="12.28515625" style="8" customWidth="1"/>
    <col min="2" max="2" width="19.85546875" style="50" customWidth="1"/>
    <col min="3" max="3" width="20.28515625" style="50" customWidth="1"/>
    <col min="4" max="4" width="20.85546875" style="50" customWidth="1"/>
    <col min="5" max="5" width="12.42578125" style="50" customWidth="1"/>
    <col min="6" max="6" width="10" style="50" bestFit="1" customWidth="1"/>
    <col min="7" max="10" width="9.140625" style="50"/>
    <col min="11" max="11" width="11.28515625" style="50" customWidth="1"/>
    <col min="12" max="12" width="8.7109375" style="50" customWidth="1"/>
    <col min="13" max="15" width="9.140625" style="50"/>
    <col min="16" max="16" width="11.85546875" style="50" customWidth="1"/>
    <col min="17" max="16384" width="9.140625" style="50"/>
  </cols>
  <sheetData>
    <row r="1" spans="1:7" s="184" customFormat="1" ht="47.25" customHeight="1">
      <c r="A1" s="2182" t="s">
        <v>2248</v>
      </c>
      <c r="B1" s="2182"/>
      <c r="C1" s="2182"/>
      <c r="D1" s="186" t="s">
        <v>639</v>
      </c>
      <c r="E1" s="185"/>
      <c r="F1" s="185"/>
      <c r="G1" s="185"/>
    </row>
    <row r="2" spans="1:7" s="187" customFormat="1" ht="12" customHeight="1">
      <c r="A2" s="2000" t="s">
        <v>88</v>
      </c>
      <c r="B2" s="2183" t="s">
        <v>89</v>
      </c>
      <c r="C2" s="1883" t="s">
        <v>90</v>
      </c>
      <c r="D2" s="2185"/>
    </row>
    <row r="3" spans="1:7" s="187" customFormat="1" ht="12.75" customHeight="1">
      <c r="A3" s="2000"/>
      <c r="B3" s="2184"/>
      <c r="C3" s="1286" t="s">
        <v>1935</v>
      </c>
      <c r="D3" s="1286" t="s">
        <v>79</v>
      </c>
    </row>
    <row r="4" spans="1:7" s="316" customFormat="1" ht="12.75" customHeight="1">
      <c r="A4" s="362" t="s">
        <v>851</v>
      </c>
      <c r="B4" s="1155">
        <v>563584</v>
      </c>
      <c r="C4" s="39">
        <v>5998.47</v>
      </c>
      <c r="D4" s="40">
        <v>41298.540820000009</v>
      </c>
      <c r="E4" s="1100"/>
      <c r="F4" s="1100"/>
    </row>
    <row r="5" spans="1:7" ht="12.75" customHeight="1">
      <c r="A5" s="459" t="s">
        <v>574</v>
      </c>
      <c r="B5" s="1154">
        <v>981102</v>
      </c>
      <c r="C5" s="442">
        <v>7914.78</v>
      </c>
      <c r="D5" s="445">
        <v>54295.16</v>
      </c>
      <c r="E5" s="1100"/>
      <c r="F5" s="1098"/>
    </row>
    <row r="6" spans="1:7" s="316" customFormat="1" ht="12.75" customHeight="1">
      <c r="A6" s="533" t="s">
        <v>114</v>
      </c>
      <c r="B6" s="736">
        <v>650059</v>
      </c>
      <c r="C6" s="39">
        <v>9689.26</v>
      </c>
      <c r="D6" s="40">
        <v>66676.509999999995</v>
      </c>
      <c r="E6" s="1100"/>
      <c r="F6" s="1100"/>
    </row>
    <row r="7" spans="1:7" ht="12.75" customHeight="1">
      <c r="A7" s="478" t="s">
        <v>110</v>
      </c>
      <c r="B7" s="484">
        <v>427180</v>
      </c>
      <c r="C7" s="442">
        <v>10987.4</v>
      </c>
      <c r="D7" s="445">
        <v>76010.833200000008</v>
      </c>
      <c r="E7" s="1098"/>
      <c r="F7" s="1098"/>
    </row>
    <row r="8" spans="1:7" s="316" customFormat="1" ht="12.75" customHeight="1">
      <c r="A8" s="533" t="s">
        <v>253</v>
      </c>
      <c r="B8" s="736">
        <v>439375</v>
      </c>
      <c r="C8" s="39">
        <v>11650.32</v>
      </c>
      <c r="D8" s="40">
        <v>83008.885067382464</v>
      </c>
      <c r="E8" s="1100"/>
      <c r="F8" s="1100"/>
    </row>
    <row r="9" spans="1:7" s="316" customFormat="1" ht="12.75" customHeight="1">
      <c r="A9" s="478" t="s">
        <v>1169</v>
      </c>
      <c r="B9" s="484">
        <v>691402</v>
      </c>
      <c r="C9" s="442">
        <v>12843.429999999998</v>
      </c>
      <c r="D9" s="445">
        <v>101591.53129999999</v>
      </c>
      <c r="E9" s="1100"/>
      <c r="F9" s="1098"/>
    </row>
    <row r="10" spans="1:7" s="316" customFormat="1" ht="12.75" customHeight="1">
      <c r="A10" s="533" t="s">
        <v>1361</v>
      </c>
      <c r="B10" s="736">
        <v>441301</v>
      </c>
      <c r="C10" s="39">
        <v>14461.15</v>
      </c>
      <c r="D10" s="40">
        <v>115646.15801927802</v>
      </c>
      <c r="E10" s="1100"/>
      <c r="F10" s="1100"/>
    </row>
    <row r="11" spans="1:7" s="316" customFormat="1" ht="12.75" customHeight="1">
      <c r="A11" s="478" t="s">
        <v>1693</v>
      </c>
      <c r="B11" s="446">
        <v>408870</v>
      </c>
      <c r="C11" s="445">
        <v>14228.3</v>
      </c>
      <c r="D11" s="445">
        <v>110582.38341698999</v>
      </c>
      <c r="E11" s="1100"/>
      <c r="F11" s="1098"/>
    </row>
    <row r="12" spans="1:7" s="316" customFormat="1" ht="12.75" customHeight="1">
      <c r="A12" s="533" t="s">
        <v>1795</v>
      </c>
      <c r="B12" s="1469">
        <v>461829</v>
      </c>
      <c r="C12" s="1469">
        <v>15316.91</v>
      </c>
      <c r="D12" s="1470">
        <v>118982.31547276099</v>
      </c>
      <c r="E12" s="1100"/>
      <c r="F12" s="1100"/>
    </row>
    <row r="13" spans="1:7" s="316" customFormat="1" ht="12.75" customHeight="1">
      <c r="A13" s="1040" t="s">
        <v>1996</v>
      </c>
      <c r="B13" s="1071">
        <v>684537</v>
      </c>
      <c r="C13" s="1072">
        <v>14931.18</v>
      </c>
      <c r="D13" s="1072">
        <v>116856.72088078099</v>
      </c>
      <c r="E13" s="1100"/>
      <c r="F13" s="1098"/>
    </row>
    <row r="14" spans="1:7" s="316" customFormat="1" ht="12.75" customHeight="1">
      <c r="A14" s="855" t="s">
        <v>2116</v>
      </c>
      <c r="B14" s="1021">
        <f>SUM(B15:B26)</f>
        <v>905326</v>
      </c>
      <c r="C14" s="1022">
        <f>SUM(C15:C26)</f>
        <v>12769.45</v>
      </c>
      <c r="D14" s="1022">
        <f>SUM(D15:D26)</f>
        <v>101098.96241416999</v>
      </c>
      <c r="E14" s="1100"/>
      <c r="F14" s="1100"/>
    </row>
    <row r="15" spans="1:7" s="316" customFormat="1" ht="12.75" customHeight="1">
      <c r="A15" s="892" t="s">
        <v>843</v>
      </c>
      <c r="B15" s="893">
        <v>48321</v>
      </c>
      <c r="C15" s="439">
        <v>1005.51</v>
      </c>
      <c r="D15" s="439">
        <v>7883.0415999999987</v>
      </c>
      <c r="E15" s="1100"/>
      <c r="F15" s="1098"/>
    </row>
    <row r="16" spans="1:7" s="316" customFormat="1" ht="12.75" customHeight="1">
      <c r="A16" s="811" t="s">
        <v>844</v>
      </c>
      <c r="B16" s="1064">
        <v>69190</v>
      </c>
      <c r="C16" s="394">
        <v>1183.6099999999999</v>
      </c>
      <c r="D16" s="394">
        <v>9279.4239999999991</v>
      </c>
      <c r="E16" s="1100"/>
      <c r="F16" s="1100"/>
    </row>
    <row r="17" spans="1:6" s="316" customFormat="1" ht="12.75" customHeight="1">
      <c r="A17" s="892" t="s">
        <v>838</v>
      </c>
      <c r="B17" s="1055">
        <v>55869</v>
      </c>
      <c r="C17" s="439">
        <v>1056.6400000000001</v>
      </c>
      <c r="D17" s="439">
        <v>8284.0576000000019</v>
      </c>
      <c r="E17" s="1100"/>
      <c r="F17" s="1098"/>
    </row>
    <row r="18" spans="1:6" s="316" customFormat="1" ht="12.75" customHeight="1">
      <c r="A18" s="811" t="s">
        <v>845</v>
      </c>
      <c r="B18" s="1064">
        <v>61111</v>
      </c>
      <c r="C18" s="394">
        <v>1010.99</v>
      </c>
      <c r="D18" s="394">
        <v>7926.0047999999997</v>
      </c>
      <c r="E18" s="1100"/>
      <c r="F18" s="1100"/>
    </row>
    <row r="19" spans="1:6" s="316" customFormat="1" ht="12.75" customHeight="1">
      <c r="A19" s="892" t="s">
        <v>846</v>
      </c>
      <c r="B19" s="1055">
        <v>81483</v>
      </c>
      <c r="C19" s="439">
        <v>951.37</v>
      </c>
      <c r="D19" s="439">
        <v>7472.0599800000018</v>
      </c>
      <c r="E19" s="1100"/>
      <c r="F19" s="1098"/>
    </row>
    <row r="20" spans="1:6" s="316" customFormat="1" ht="12.75" customHeight="1">
      <c r="A20" s="811" t="s">
        <v>839</v>
      </c>
      <c r="B20" s="1064">
        <v>68862</v>
      </c>
      <c r="C20" s="890">
        <v>958.73</v>
      </c>
      <c r="D20" s="394">
        <v>7555.0764716990006</v>
      </c>
      <c r="E20" s="1100"/>
      <c r="F20" s="1100"/>
    </row>
    <row r="21" spans="1:6" s="316" customFormat="1" ht="12.75" customHeight="1">
      <c r="A21" s="892" t="s">
        <v>847</v>
      </c>
      <c r="B21" s="1055">
        <v>81434</v>
      </c>
      <c r="C21" s="894">
        <v>1009.47</v>
      </c>
      <c r="D21" s="439">
        <v>7960.4086706760008</v>
      </c>
      <c r="E21" s="1100"/>
      <c r="F21" s="1098"/>
    </row>
    <row r="22" spans="1:6" s="316" customFormat="1" ht="12.75" customHeight="1">
      <c r="A22" s="811" t="s">
        <v>848</v>
      </c>
      <c r="B22" s="1064">
        <v>85038</v>
      </c>
      <c r="C22" s="890">
        <v>940.75</v>
      </c>
      <c r="D22" s="394">
        <v>7454.060847499999</v>
      </c>
      <c r="E22" s="1100"/>
      <c r="F22" s="1100"/>
    </row>
    <row r="23" spans="1:6" s="316" customFormat="1" ht="12.75" customHeight="1">
      <c r="A23" s="892" t="s">
        <v>840</v>
      </c>
      <c r="B23" s="1160">
        <v>106501</v>
      </c>
      <c r="C23" s="894">
        <v>1077.5199999999998</v>
      </c>
      <c r="D23" s="439">
        <v>8570.5741458800003</v>
      </c>
      <c r="E23" s="1100"/>
      <c r="F23" s="1098"/>
    </row>
    <row r="24" spans="1:6" s="316" customFormat="1" ht="12.75" customHeight="1">
      <c r="A24" s="811" t="s">
        <v>849</v>
      </c>
      <c r="B24" s="1064">
        <v>95485</v>
      </c>
      <c r="C24" s="890">
        <v>1092.6400000000003</v>
      </c>
      <c r="D24" s="394">
        <v>8723.3755263999992</v>
      </c>
      <c r="E24" s="1100"/>
      <c r="F24" s="1100"/>
    </row>
    <row r="25" spans="1:6" s="316" customFormat="1" ht="12.75" customHeight="1">
      <c r="A25" s="892" t="s">
        <v>850</v>
      </c>
      <c r="B25" s="1055">
        <v>83707</v>
      </c>
      <c r="C25" s="894">
        <v>1267.6099999999999</v>
      </c>
      <c r="D25" s="439">
        <v>10202.944087014999</v>
      </c>
      <c r="E25" s="1100"/>
      <c r="F25" s="1100"/>
    </row>
    <row r="26" spans="1:6" s="316" customFormat="1" ht="12.75" customHeight="1">
      <c r="A26" s="811" t="s">
        <v>841</v>
      </c>
      <c r="B26" s="1064">
        <v>68325</v>
      </c>
      <c r="C26" s="890">
        <v>1214.6099999999999</v>
      </c>
      <c r="D26" s="394">
        <v>9787.9346850000002</v>
      </c>
      <c r="E26" s="1100"/>
      <c r="F26" s="1100"/>
    </row>
    <row r="27" spans="1:6" s="316" customFormat="1" ht="12.75" customHeight="1">
      <c r="A27" s="1040" t="s">
        <v>2320</v>
      </c>
      <c r="B27" s="1071">
        <f>SUM(B28:B39)</f>
        <v>880037</v>
      </c>
      <c r="C27" s="1072">
        <f>SUM(C28:C39)</f>
        <v>14981.689999999999</v>
      </c>
      <c r="D27" s="1072">
        <f>SUM(D28:D39)</f>
        <v>123156.004940445</v>
      </c>
      <c r="E27" s="1100"/>
      <c r="F27" s="1100"/>
    </row>
    <row r="28" spans="1:6" s="316" customFormat="1" ht="12.75" customHeight="1">
      <c r="A28" s="811" t="s">
        <v>843</v>
      </c>
      <c r="B28" s="1064">
        <v>76215</v>
      </c>
      <c r="C28" s="890">
        <v>1115.5700000000002</v>
      </c>
      <c r="D28" s="394">
        <v>8994.4169934000001</v>
      </c>
      <c r="E28" s="1100"/>
      <c r="F28" s="1100"/>
    </row>
    <row r="29" spans="1:6" s="316" customFormat="1" ht="12.75" customHeight="1">
      <c r="A29" s="892" t="s">
        <v>844</v>
      </c>
      <c r="B29" s="1055">
        <v>93341</v>
      </c>
      <c r="C29" s="894">
        <v>1418.58</v>
      </c>
      <c r="D29" s="439">
        <v>11447.046894600002</v>
      </c>
      <c r="E29" s="1100"/>
      <c r="F29" s="1100"/>
    </row>
    <row r="30" spans="1:6" s="316" customFormat="1" ht="12.75" customHeight="1">
      <c r="A30" s="811" t="s">
        <v>838</v>
      </c>
      <c r="B30" s="1064">
        <v>46415</v>
      </c>
      <c r="C30" s="890">
        <v>856.87000000000012</v>
      </c>
      <c r="D30" s="394">
        <v>6917.9742197999985</v>
      </c>
      <c r="E30" s="1100"/>
      <c r="F30" s="1100"/>
    </row>
    <row r="31" spans="1:6" s="316" customFormat="1" ht="12.75" customHeight="1">
      <c r="A31" s="892" t="s">
        <v>845</v>
      </c>
      <c r="B31" s="1055">
        <v>98312</v>
      </c>
      <c r="C31" s="894">
        <v>1162.77</v>
      </c>
      <c r="D31" s="439">
        <v>9397.5286512450002</v>
      </c>
      <c r="E31" s="1100"/>
      <c r="F31" s="1100"/>
    </row>
    <row r="32" spans="1:6" s="316" customFormat="1" ht="12.75" customHeight="1">
      <c r="A32" s="811" t="s">
        <v>846</v>
      </c>
      <c r="B32" s="1064">
        <v>97059</v>
      </c>
      <c r="C32" s="890">
        <v>1214.75</v>
      </c>
      <c r="D32" s="394">
        <v>9870.4511249999996</v>
      </c>
      <c r="E32" s="1100"/>
      <c r="F32" s="1100"/>
    </row>
    <row r="33" spans="1:10" s="316" customFormat="1" ht="12.75" customHeight="1">
      <c r="A33" s="892" t="s">
        <v>839</v>
      </c>
      <c r="B33" s="1055">
        <v>76693</v>
      </c>
      <c r="C33" s="894">
        <v>1163.8200000000002</v>
      </c>
      <c r="D33" s="439">
        <v>9607.5668640000004</v>
      </c>
      <c r="E33" s="1100"/>
      <c r="F33" s="1100"/>
    </row>
    <row r="34" spans="1:10" s="316" customFormat="1" ht="12.75" customHeight="1">
      <c r="A34" s="811" t="s">
        <v>847</v>
      </c>
      <c r="B34" s="1064">
        <v>81846</v>
      </c>
      <c r="C34" s="890">
        <v>1379.7899999999997</v>
      </c>
      <c r="D34" s="394">
        <v>11426.730884999999</v>
      </c>
      <c r="E34" s="1100"/>
      <c r="F34" s="1100"/>
    </row>
    <row r="35" spans="1:10" s="316" customFormat="1" ht="12.75" customHeight="1">
      <c r="A35" s="892" t="s">
        <v>848</v>
      </c>
      <c r="B35" s="1055">
        <v>59382</v>
      </c>
      <c r="C35" s="1055">
        <v>1149.08</v>
      </c>
      <c r="D35" s="1418">
        <v>9528.1253968000001</v>
      </c>
      <c r="E35" s="1100"/>
      <c r="F35" s="1100"/>
    </row>
    <row r="36" spans="1:10" s="316" customFormat="1" ht="12.75" customHeight="1">
      <c r="A36" s="811" t="s">
        <v>840</v>
      </c>
      <c r="B36" s="1064">
        <v>62973</v>
      </c>
      <c r="C36" s="890">
        <v>1299.7699999999998</v>
      </c>
      <c r="D36" s="394">
        <v>10782.891919999996</v>
      </c>
      <c r="E36" s="1100"/>
      <c r="F36" s="1100"/>
    </row>
    <row r="37" spans="1:10" s="316" customFormat="1" ht="12.75" customHeight="1">
      <c r="A37" s="892" t="s">
        <v>849</v>
      </c>
      <c r="B37" s="1055">
        <v>69103</v>
      </c>
      <c r="C37" s="894">
        <v>1331.3299999999997</v>
      </c>
      <c r="D37" s="439">
        <v>11046.657421799997</v>
      </c>
      <c r="E37" s="1100"/>
      <c r="F37" s="1100"/>
    </row>
    <row r="38" spans="1:10" s="316" customFormat="1" ht="12.75" customHeight="1">
      <c r="A38" s="811" t="s">
        <v>850</v>
      </c>
      <c r="B38" s="1064">
        <v>73723</v>
      </c>
      <c r="C38" s="890">
        <v>1504.98</v>
      </c>
      <c r="D38" s="394">
        <v>12549.215530800002</v>
      </c>
      <c r="E38" s="1100"/>
      <c r="F38" s="1100"/>
    </row>
    <row r="39" spans="1:10" s="316" customFormat="1" ht="12.75" customHeight="1">
      <c r="A39" s="892" t="s">
        <v>841</v>
      </c>
      <c r="B39" s="1055">
        <v>44975</v>
      </c>
      <c r="C39" s="894">
        <v>1384.38</v>
      </c>
      <c r="D39" s="439">
        <v>11587.399038000001</v>
      </c>
      <c r="E39" s="1100"/>
      <c r="F39" s="1100"/>
    </row>
    <row r="40" spans="1:10" s="316" customFormat="1" ht="12.75" customHeight="1">
      <c r="A40" s="855" t="s">
        <v>2585</v>
      </c>
      <c r="B40" s="1064"/>
      <c r="C40" s="890"/>
      <c r="D40" s="394"/>
      <c r="E40" s="1100"/>
      <c r="F40" s="1100"/>
    </row>
    <row r="41" spans="1:10" s="316" customFormat="1" ht="12.75" customHeight="1">
      <c r="A41" s="892" t="s">
        <v>843</v>
      </c>
      <c r="B41" s="1055">
        <v>58627</v>
      </c>
      <c r="C41" s="894">
        <v>1318.18</v>
      </c>
      <c r="D41" s="439">
        <v>11039.3884096</v>
      </c>
      <c r="E41" s="1100"/>
      <c r="F41" s="1100"/>
      <c r="J41" s="1100"/>
    </row>
    <row r="42" spans="1:10" s="316" customFormat="1" ht="12.75" customHeight="1">
      <c r="A42" s="811" t="s">
        <v>844</v>
      </c>
      <c r="B42" s="1064">
        <v>49727</v>
      </c>
      <c r="C42" s="890">
        <v>1411.05</v>
      </c>
      <c r="D42" s="394">
        <v>11817.543750000001</v>
      </c>
      <c r="E42" s="1100"/>
      <c r="F42" s="1100"/>
    </row>
    <row r="43" spans="1:10" ht="12.75" customHeight="1">
      <c r="A43" s="892" t="s">
        <v>838</v>
      </c>
      <c r="B43" s="1160">
        <v>55037</v>
      </c>
      <c r="C43" s="894">
        <v>1139.6600000000001</v>
      </c>
      <c r="D43" s="439">
        <v>9544.6525000000001</v>
      </c>
      <c r="E43" s="316"/>
      <c r="F43" s="316"/>
    </row>
    <row r="44" spans="1:10" ht="12.75" customHeight="1">
      <c r="A44" s="811" t="s">
        <v>845</v>
      </c>
      <c r="B44" s="1653">
        <v>59192</v>
      </c>
      <c r="C44" s="890">
        <v>1239.1099999999999</v>
      </c>
      <c r="D44" s="394">
        <v>10385.811113699998</v>
      </c>
      <c r="E44" s="316"/>
      <c r="F44" s="316"/>
    </row>
    <row r="45" spans="1:10" ht="12.75" customHeight="1" thickBot="1">
      <c r="A45" s="1654" t="s">
        <v>846</v>
      </c>
      <c r="B45" s="1680" t="s">
        <v>505</v>
      </c>
      <c r="C45" s="1655">
        <v>1178.28</v>
      </c>
      <c r="D45" s="717">
        <v>9882.6467580000008</v>
      </c>
      <c r="E45" s="316"/>
      <c r="F45" s="316"/>
    </row>
    <row r="46" spans="1:10" ht="12.75" customHeight="1">
      <c r="A46" s="298" t="s">
        <v>1638</v>
      </c>
      <c r="B46" s="1987" t="s">
        <v>2289</v>
      </c>
      <c r="C46" s="1987"/>
      <c r="D46" s="302"/>
    </row>
    <row r="47" spans="1:10">
      <c r="A47" s="298" t="s">
        <v>497</v>
      </c>
      <c r="B47" s="1987" t="s">
        <v>2241</v>
      </c>
      <c r="C47" s="1987"/>
      <c r="D47" s="398" t="s">
        <v>633</v>
      </c>
    </row>
    <row r="48" spans="1:10">
      <c r="A48" s="218"/>
      <c r="B48" s="1291" t="s">
        <v>2258</v>
      </c>
      <c r="C48" s="1291"/>
      <c r="D48" s="1291"/>
    </row>
    <row r="49" spans="1:8">
      <c r="A49" s="88"/>
      <c r="B49" s="99"/>
    </row>
    <row r="50" spans="1:8">
      <c r="A50" s="88"/>
      <c r="B50" s="99"/>
    </row>
    <row r="51" spans="1:8">
      <c r="A51" s="88"/>
      <c r="B51" s="99"/>
      <c r="F51" s="1098"/>
      <c r="G51" s="1098"/>
      <c r="H51" s="1098"/>
    </row>
    <row r="52" spans="1:8">
      <c r="A52" s="88"/>
      <c r="B52" s="1084"/>
      <c r="F52" s="1098"/>
      <c r="G52" s="1098"/>
      <c r="H52" s="1098"/>
    </row>
    <row r="53" spans="1:8">
      <c r="A53" s="88"/>
      <c r="B53" s="1084"/>
      <c r="F53" s="1098"/>
      <c r="G53" s="1098"/>
      <c r="H53" s="1098"/>
    </row>
    <row r="54" spans="1:8">
      <c r="A54" s="88"/>
      <c r="B54" s="1084"/>
      <c r="F54" s="1098"/>
      <c r="G54" s="1098"/>
      <c r="H54" s="1098"/>
    </row>
    <row r="55" spans="1:8">
      <c r="A55" s="88"/>
      <c r="B55" s="99"/>
    </row>
    <row r="56" spans="1:8">
      <c r="A56" s="88"/>
      <c r="B56" s="99"/>
    </row>
    <row r="57" spans="1:8">
      <c r="A57" s="88"/>
      <c r="B57" s="99"/>
    </row>
    <row r="58" spans="1:8">
      <c r="A58" s="88"/>
      <c r="B58" s="99"/>
    </row>
    <row r="59" spans="1:8">
      <c r="A59" s="88"/>
      <c r="B59" s="99"/>
    </row>
    <row r="60" spans="1:8">
      <c r="A60" s="88"/>
      <c r="B60" s="99"/>
    </row>
    <row r="61" spans="1:8">
      <c r="A61" s="88"/>
      <c r="B61" s="99"/>
    </row>
    <row r="62" spans="1:8">
      <c r="A62" s="88"/>
      <c r="B62" s="99"/>
    </row>
    <row r="63" spans="1:8">
      <c r="A63" s="88"/>
      <c r="B63" s="99"/>
    </row>
    <row r="64" spans="1:8">
      <c r="A64" s="88"/>
      <c r="B64" s="99"/>
    </row>
    <row r="65" spans="1:2">
      <c r="A65" s="88"/>
      <c r="B65" s="99"/>
    </row>
    <row r="66" spans="1:2">
      <c r="A66" s="88"/>
      <c r="B66" s="99"/>
    </row>
    <row r="67" spans="1:2">
      <c r="A67" s="88"/>
      <c r="B67" s="99"/>
    </row>
    <row r="68" spans="1:2">
      <c r="A68" s="88"/>
      <c r="B68" s="99"/>
    </row>
    <row r="69" spans="1:2">
      <c r="A69" s="88"/>
      <c r="B69" s="99"/>
    </row>
    <row r="70" spans="1:2">
      <c r="A70" s="88"/>
      <c r="B70" s="99"/>
    </row>
    <row r="71" spans="1:2">
      <c r="A71" s="88"/>
      <c r="B71" s="99"/>
    </row>
    <row r="72" spans="1:2">
      <c r="A72" s="88"/>
      <c r="B72" s="99"/>
    </row>
    <row r="73" spans="1:2">
      <c r="A73" s="88"/>
      <c r="B73" s="99"/>
    </row>
    <row r="74" spans="1:2">
      <c r="A74" s="88"/>
      <c r="B74" s="99"/>
    </row>
    <row r="75" spans="1:2">
      <c r="A75" s="88"/>
      <c r="B75" s="99"/>
    </row>
    <row r="76" spans="1:2">
      <c r="A76" s="88"/>
      <c r="B76" s="99"/>
    </row>
    <row r="77" spans="1:2">
      <c r="A77" s="88"/>
      <c r="B77" s="99"/>
    </row>
    <row r="78" spans="1:2">
      <c r="A78" s="88"/>
      <c r="B78" s="99"/>
    </row>
    <row r="79" spans="1:2">
      <c r="A79" s="88"/>
      <c r="B79" s="99"/>
    </row>
    <row r="80" spans="1:2">
      <c r="A80" s="88"/>
      <c r="B80" s="99"/>
    </row>
    <row r="81" spans="1:2">
      <c r="A81" s="88"/>
      <c r="B81" s="99"/>
    </row>
    <row r="82" spans="1:2">
      <c r="A82" s="88"/>
      <c r="B82" s="99"/>
    </row>
    <row r="83" spans="1:2">
      <c r="A83" s="88"/>
      <c r="B83" s="99"/>
    </row>
    <row r="84" spans="1:2">
      <c r="A84" s="88"/>
      <c r="B84" s="99"/>
    </row>
    <row r="85" spans="1:2">
      <c r="A85" s="88"/>
      <c r="B85" s="99"/>
    </row>
    <row r="86" spans="1:2">
      <c r="A86" s="88"/>
      <c r="B86" s="99"/>
    </row>
    <row r="87" spans="1:2">
      <c r="A87" s="88"/>
      <c r="B87" s="99"/>
    </row>
    <row r="88" spans="1:2">
      <c r="A88" s="88"/>
      <c r="B88" s="99"/>
    </row>
    <row r="89" spans="1:2">
      <c r="A89" s="88"/>
      <c r="B89" s="99"/>
    </row>
    <row r="90" spans="1:2">
      <c r="A90" s="88"/>
      <c r="B90" s="99"/>
    </row>
    <row r="91" spans="1:2">
      <c r="A91" s="88"/>
      <c r="B91" s="99"/>
    </row>
    <row r="92" spans="1:2">
      <c r="A92" s="88"/>
      <c r="B92" s="99"/>
    </row>
    <row r="93" spans="1:2">
      <c r="A93" s="88"/>
      <c r="B93" s="99"/>
    </row>
    <row r="94" spans="1:2">
      <c r="A94" s="88"/>
      <c r="B94" s="99"/>
    </row>
    <row r="95" spans="1:2">
      <c r="A95" s="88"/>
      <c r="B95" s="99"/>
    </row>
    <row r="96" spans="1:2">
      <c r="A96" s="88"/>
      <c r="B96" s="99"/>
    </row>
    <row r="97" spans="1:2">
      <c r="A97" s="88"/>
      <c r="B97" s="99"/>
    </row>
    <row r="98" spans="1:2">
      <c r="A98" s="88"/>
      <c r="B98" s="99"/>
    </row>
    <row r="99" spans="1:2">
      <c r="A99" s="88"/>
      <c r="B99" s="99"/>
    </row>
    <row r="100" spans="1:2">
      <c r="A100" s="88"/>
      <c r="B100" s="99"/>
    </row>
    <row r="101" spans="1:2">
      <c r="A101" s="88"/>
      <c r="B101" s="99"/>
    </row>
    <row r="102" spans="1:2">
      <c r="A102" s="88"/>
      <c r="B102" s="99"/>
    </row>
    <row r="103" spans="1:2">
      <c r="A103" s="88"/>
      <c r="B103" s="99"/>
    </row>
    <row r="104" spans="1:2">
      <c r="A104" s="88"/>
      <c r="B104" s="99"/>
    </row>
    <row r="105" spans="1:2">
      <c r="A105" s="88"/>
      <c r="B105" s="99"/>
    </row>
  </sheetData>
  <mergeCells count="6">
    <mergeCell ref="A1:C1"/>
    <mergeCell ref="A2:A3"/>
    <mergeCell ref="B2:B3"/>
    <mergeCell ref="B46:C46"/>
    <mergeCell ref="B47:C47"/>
    <mergeCell ref="C2:D2"/>
  </mergeCells>
  <phoneticPr fontId="0" type="noConversion"/>
  <printOptions horizontalCentered="1"/>
  <pageMargins left="0.23622047244094499" right="0.196850393700787" top="0.511811023622047" bottom="0.511811023622047" header="0" footer="0.35433070866141703"/>
  <pageSetup paperSize="141" firstPageNumber="83" orientation="portrait" useFirstPageNumber="1" r:id="rId1"/>
  <headerFooter alignWithMargins="0">
    <oddFooter>&amp;C&amp;"Times New Roman,Regular"&amp;8&amp;P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2"/>
  <dimension ref="A1:Y356"/>
  <sheetViews>
    <sheetView zoomScale="130" zoomScaleNormal="130"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K53" sqref="K53"/>
    </sheetView>
  </sheetViews>
  <sheetFormatPr defaultColWidth="9.140625" defaultRowHeight="11.25"/>
  <cols>
    <col min="1" max="1" width="8.5703125" style="10" customWidth="1"/>
    <col min="2" max="11" width="7.5703125" style="10" customWidth="1"/>
    <col min="12" max="12" width="6.85546875" style="10" customWidth="1"/>
    <col min="13" max="13" width="6" style="10" customWidth="1"/>
    <col min="14" max="14" width="6.7109375" style="10" customWidth="1"/>
    <col min="15" max="16" width="7.5703125" style="10" customWidth="1"/>
    <col min="17" max="17" width="7.140625" style="10" customWidth="1"/>
    <col min="18" max="18" width="7.5703125" style="10" customWidth="1"/>
    <col min="19" max="19" width="6.85546875" style="10" customWidth="1"/>
    <col min="20" max="20" width="7.5703125" style="10" customWidth="1"/>
    <col min="21" max="21" width="7.85546875" style="10" customWidth="1"/>
    <col min="22" max="22" width="10.85546875" style="10" bestFit="1" customWidth="1"/>
    <col min="23" max="23" width="9.28515625" style="10" bestFit="1" customWidth="1"/>
    <col min="24" max="24" width="10" style="10" bestFit="1" customWidth="1"/>
    <col min="25" max="16384" width="9.140625" style="10"/>
  </cols>
  <sheetData>
    <row r="1" spans="1:25" s="32" customFormat="1" ht="14.25" customHeight="1">
      <c r="A1" s="1994" t="s">
        <v>642</v>
      </c>
      <c r="B1" s="1994"/>
      <c r="C1" s="1994"/>
      <c r="D1" s="1994"/>
      <c r="E1" s="1994"/>
      <c r="F1" s="1994"/>
      <c r="G1" s="1994"/>
      <c r="H1" s="1994"/>
      <c r="I1" s="1994"/>
      <c r="J1" s="1994"/>
      <c r="K1" s="294" t="s">
        <v>564</v>
      </c>
      <c r="L1" s="84"/>
      <c r="M1" s="84"/>
      <c r="N1" s="84"/>
      <c r="O1" s="72"/>
      <c r="P1" s="72"/>
      <c r="Q1" s="72"/>
      <c r="R1" s="72"/>
      <c r="S1" s="72"/>
      <c r="T1" s="1994" t="s">
        <v>1862</v>
      </c>
      <c r="U1" s="1994"/>
    </row>
    <row r="2" spans="1:25" s="54" customFormat="1" ht="12" customHeight="1">
      <c r="B2" s="15"/>
      <c r="C2" s="15"/>
      <c r="D2" s="15"/>
      <c r="E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2013" t="s">
        <v>41</v>
      </c>
      <c r="U2" s="2013"/>
    </row>
    <row r="3" spans="1:25" s="273" customFormat="1" ht="50.25" customHeight="1">
      <c r="A3" s="121" t="s">
        <v>764</v>
      </c>
      <c r="B3" s="27" t="s">
        <v>91</v>
      </c>
      <c r="C3" s="1224" t="s">
        <v>2352</v>
      </c>
      <c r="D3" s="1224" t="s">
        <v>2353</v>
      </c>
      <c r="E3" s="27" t="s">
        <v>92</v>
      </c>
      <c r="F3" s="1224" t="s">
        <v>2354</v>
      </c>
      <c r="G3" s="27" t="s">
        <v>93</v>
      </c>
      <c r="H3" s="27" t="s">
        <v>94</v>
      </c>
      <c r="I3" s="27" t="s">
        <v>95</v>
      </c>
      <c r="J3" s="27" t="s">
        <v>96</v>
      </c>
      <c r="K3" s="27" t="s">
        <v>97</v>
      </c>
      <c r="L3" s="27" t="s">
        <v>98</v>
      </c>
      <c r="M3" s="27" t="s">
        <v>99</v>
      </c>
      <c r="N3" s="27" t="s">
        <v>100</v>
      </c>
      <c r="O3" s="27" t="s">
        <v>797</v>
      </c>
      <c r="P3" s="80" t="s">
        <v>819</v>
      </c>
      <c r="Q3" s="80" t="s">
        <v>1165</v>
      </c>
      <c r="R3" s="80" t="s">
        <v>1170</v>
      </c>
      <c r="S3" s="1428" t="s">
        <v>2539</v>
      </c>
      <c r="T3" s="27" t="s">
        <v>101</v>
      </c>
      <c r="U3" s="27" t="s">
        <v>760</v>
      </c>
    </row>
    <row r="4" spans="1:25" s="254" customFormat="1" ht="13.5" customHeight="1">
      <c r="A4" s="540" t="s">
        <v>851</v>
      </c>
      <c r="B4" s="1156">
        <v>11978.880000000001</v>
      </c>
      <c r="C4" s="1156">
        <v>5560.5599999999995</v>
      </c>
      <c r="D4" s="1156">
        <v>6132.91</v>
      </c>
      <c r="E4" s="1156">
        <v>4701.4799999999996</v>
      </c>
      <c r="F4" s="1156">
        <v>6423.1699999999992</v>
      </c>
      <c r="G4" s="1156">
        <v>18.000000000000004</v>
      </c>
      <c r="H4" s="1156">
        <v>1610.4599999999998</v>
      </c>
      <c r="I4" s="1156">
        <v>1357.48</v>
      </c>
      <c r="J4" s="1156">
        <v>554.64</v>
      </c>
      <c r="K4" s="1156">
        <v>103.01</v>
      </c>
      <c r="L4" s="1156">
        <v>552.12</v>
      </c>
      <c r="M4" s="1156">
        <v>16.299999999999997</v>
      </c>
      <c r="N4" s="1156">
        <v>70.27</v>
      </c>
      <c r="O4" s="1156">
        <v>81.800000000000011</v>
      </c>
      <c r="P4" s="1156">
        <v>78.380510000000001</v>
      </c>
      <c r="Q4" s="1156">
        <v>1034.41122</v>
      </c>
      <c r="R4" s="1156">
        <v>118.11586</v>
      </c>
      <c r="S4" s="1156">
        <v>42.44323</v>
      </c>
      <c r="T4" s="1157">
        <v>864.11</v>
      </c>
      <c r="U4" s="1156">
        <f t="shared" ref="U4:U10" si="0">SUM(B4:T4)</f>
        <v>41298.540820000009</v>
      </c>
      <c r="V4" s="726"/>
      <c r="W4" s="726"/>
      <c r="X4" s="726"/>
    </row>
    <row r="5" spans="1:25" s="380" customFormat="1" ht="13.5" customHeight="1">
      <c r="A5" s="844" t="s">
        <v>574</v>
      </c>
      <c r="B5" s="808">
        <v>15943.64</v>
      </c>
      <c r="C5" s="808">
        <v>7786.82</v>
      </c>
      <c r="D5" s="808">
        <v>6148.16</v>
      </c>
      <c r="E5" s="808">
        <v>5925.33</v>
      </c>
      <c r="F5" s="808">
        <v>9467.07</v>
      </c>
      <c r="G5" s="808">
        <v>2.48</v>
      </c>
      <c r="H5" s="808">
        <v>1988.05</v>
      </c>
      <c r="I5" s="808">
        <v>1513.8</v>
      </c>
      <c r="J5" s="808">
        <v>892.49</v>
      </c>
      <c r="K5" s="808">
        <v>184.32</v>
      </c>
      <c r="L5" s="808">
        <v>948.03</v>
      </c>
      <c r="M5" s="808">
        <v>22.22</v>
      </c>
      <c r="N5" s="808">
        <v>111.74</v>
      </c>
      <c r="O5" s="808">
        <v>633.86</v>
      </c>
      <c r="P5" s="842">
        <v>89.934599999999989</v>
      </c>
      <c r="Q5" s="842">
        <v>1471.1956</v>
      </c>
      <c r="R5" s="842">
        <v>135.07339999999999</v>
      </c>
      <c r="S5" s="842">
        <v>55.565999999999995</v>
      </c>
      <c r="T5" s="808">
        <v>975.38</v>
      </c>
      <c r="U5" s="808">
        <f t="shared" si="0"/>
        <v>54295.159599999999</v>
      </c>
      <c r="V5" s="120"/>
      <c r="W5" s="120"/>
      <c r="X5" s="120"/>
    </row>
    <row r="6" spans="1:25" s="1159" customFormat="1" ht="13.5" customHeight="1">
      <c r="A6" s="1158" t="s">
        <v>114</v>
      </c>
      <c r="B6" s="807">
        <v>19673.165260000002</v>
      </c>
      <c r="C6" s="807">
        <v>12080.396579999999</v>
      </c>
      <c r="D6" s="807">
        <v>5433.3067099999989</v>
      </c>
      <c r="E6" s="807">
        <v>6678.4437600000001</v>
      </c>
      <c r="F6" s="807">
        <v>10837.676299999999</v>
      </c>
      <c r="G6" s="807">
        <v>8.6116600000000005</v>
      </c>
      <c r="H6" s="807">
        <v>2362.5123699999999</v>
      </c>
      <c r="I6" s="807">
        <v>1996.0067199999999</v>
      </c>
      <c r="J6" s="807">
        <v>1136.70847</v>
      </c>
      <c r="K6" s="807">
        <v>132.92401000000001</v>
      </c>
      <c r="L6" s="807">
        <v>1082.6939</v>
      </c>
      <c r="M6" s="807">
        <v>22.581469999999999</v>
      </c>
      <c r="N6" s="807">
        <v>97.110609999999994</v>
      </c>
      <c r="O6" s="807">
        <v>1943.98224</v>
      </c>
      <c r="P6" s="1157">
        <v>46.6464</v>
      </c>
      <c r="Q6" s="1157">
        <v>1285.8719999999998</v>
      </c>
      <c r="R6" s="1157">
        <v>126.11039999999998</v>
      </c>
      <c r="S6" s="1157">
        <v>62.539199999999994</v>
      </c>
      <c r="T6" s="807">
        <v>1669.2267999999999</v>
      </c>
      <c r="U6" s="1156">
        <f t="shared" si="0"/>
        <v>66676.514859999996</v>
      </c>
      <c r="V6" s="726"/>
      <c r="W6" s="726"/>
      <c r="X6" s="726"/>
    </row>
    <row r="7" spans="1:25" s="11" customFormat="1" ht="13.5" customHeight="1">
      <c r="A7" s="845" t="s">
        <v>110</v>
      </c>
      <c r="B7" s="808">
        <v>23709.401759999997</v>
      </c>
      <c r="C7" s="808">
        <v>13077.514040000002</v>
      </c>
      <c r="D7" s="808">
        <v>5723.8957499999997</v>
      </c>
      <c r="E7" s="808">
        <v>7050.7496800000008</v>
      </c>
      <c r="F7" s="808">
        <v>10044.25626</v>
      </c>
      <c r="G7" s="808">
        <v>10.44585</v>
      </c>
      <c r="H7" s="808">
        <v>2496.5547799999999</v>
      </c>
      <c r="I7" s="808">
        <v>2414.7833399999995</v>
      </c>
      <c r="J7" s="808">
        <v>1338.3879299999999</v>
      </c>
      <c r="K7" s="808">
        <v>114.11791000000001</v>
      </c>
      <c r="L7" s="808">
        <v>1177.0468499999997</v>
      </c>
      <c r="M7" s="808">
        <v>31.072650000000003</v>
      </c>
      <c r="N7" s="808">
        <v>101.95625</v>
      </c>
      <c r="O7" s="808">
        <v>4061.917840000001</v>
      </c>
      <c r="P7" s="808">
        <v>58.456209999999999</v>
      </c>
      <c r="Q7" s="808">
        <v>1259.92806</v>
      </c>
      <c r="R7" s="808">
        <v>143.63157000000001</v>
      </c>
      <c r="S7" s="808">
        <v>57.544499999999999</v>
      </c>
      <c r="T7" s="808">
        <v>3139.1719699999944</v>
      </c>
      <c r="U7" s="808">
        <f t="shared" si="0"/>
        <v>76010.833200000008</v>
      </c>
      <c r="V7" s="120"/>
      <c r="W7" s="120"/>
      <c r="X7" s="120"/>
      <c r="Y7" s="246"/>
    </row>
    <row r="8" spans="1:25" s="252" customFormat="1" ht="13.5" customHeight="1">
      <c r="A8" s="901" t="s">
        <v>253</v>
      </c>
      <c r="B8" s="807">
        <v>23447.611522103758</v>
      </c>
      <c r="C8" s="807">
        <v>14274.536554243999</v>
      </c>
      <c r="D8" s="807">
        <v>6329.345799345223</v>
      </c>
      <c r="E8" s="807">
        <v>7668.545797496</v>
      </c>
      <c r="F8" s="807">
        <v>13162.814794050668</v>
      </c>
      <c r="G8" s="807">
        <v>42.006690047596507</v>
      </c>
      <c r="H8" s="807">
        <v>2273.663133048</v>
      </c>
      <c r="I8" s="807">
        <v>2378.4981804742797</v>
      </c>
      <c r="J8" s="807">
        <v>1443.4474231873241</v>
      </c>
      <c r="K8" s="807">
        <v>184.06482744244911</v>
      </c>
      <c r="L8" s="807">
        <v>1326.4480618323998</v>
      </c>
      <c r="M8" s="807">
        <v>16.463787679999999</v>
      </c>
      <c r="N8" s="807">
        <v>108.62308996920061</v>
      </c>
      <c r="O8" s="807">
        <v>5011.1663160175985</v>
      </c>
      <c r="P8" s="807">
        <v>93.970096692639999</v>
      </c>
      <c r="Q8" s="807">
        <v>1538.1769608763173</v>
      </c>
      <c r="R8" s="807">
        <v>170.3696918419937</v>
      </c>
      <c r="S8" s="807">
        <v>79.384371033026895</v>
      </c>
      <c r="T8" s="807">
        <v>3459.7479699999994</v>
      </c>
      <c r="U8" s="1156">
        <f t="shared" si="0"/>
        <v>83008.885067382464</v>
      </c>
      <c r="V8" s="726"/>
      <c r="W8" s="726"/>
      <c r="X8" s="726"/>
    </row>
    <row r="9" spans="1:25" s="11" customFormat="1" ht="13.5" customHeight="1">
      <c r="A9" s="845" t="s">
        <v>1169</v>
      </c>
      <c r="B9" s="808">
        <v>29163.283242118639</v>
      </c>
      <c r="C9" s="808">
        <v>19038.108899337632</v>
      </c>
      <c r="D9" s="808">
        <v>7809.7835324582902</v>
      </c>
      <c r="E9" s="808">
        <v>9385.6420626336549</v>
      </c>
      <c r="F9" s="808">
        <v>11828.910059940725</v>
      </c>
      <c r="G9" s="808">
        <v>102.87052779546001</v>
      </c>
      <c r="H9" s="808">
        <v>2651.53684450951</v>
      </c>
      <c r="I9" s="808">
        <v>3174.0609841537071</v>
      </c>
      <c r="J9" s="808">
        <v>2481.4516458887801</v>
      </c>
      <c r="K9" s="808">
        <v>275.82418570616346</v>
      </c>
      <c r="L9" s="808">
        <v>2371.4713983471402</v>
      </c>
      <c r="M9" s="808">
        <v>8.9624438679999994</v>
      </c>
      <c r="N9" s="808">
        <v>173.68251222769157</v>
      </c>
      <c r="O9" s="808">
        <v>6712.3823075712635</v>
      </c>
      <c r="P9" s="808">
        <v>422.0270226909729</v>
      </c>
      <c r="Q9" s="808">
        <v>1914.8794293305637</v>
      </c>
      <c r="R9" s="808">
        <v>239.72250396515088</v>
      </c>
      <c r="S9" s="808">
        <v>178.82062360774498</v>
      </c>
      <c r="T9" s="808">
        <v>3658.1110738488965</v>
      </c>
      <c r="U9" s="808">
        <f t="shared" si="0"/>
        <v>101591.53129999999</v>
      </c>
      <c r="V9" s="120"/>
      <c r="W9" s="120"/>
      <c r="X9" s="120"/>
      <c r="Y9" s="246"/>
    </row>
    <row r="10" spans="1:25" s="252" customFormat="1" ht="13.5" customHeight="1">
      <c r="A10" s="901" t="s">
        <v>1361</v>
      </c>
      <c r="B10" s="807">
        <v>30645.329417797999</v>
      </c>
      <c r="C10" s="807">
        <v>22629.954310562003</v>
      </c>
      <c r="D10" s="807">
        <v>7944.261095199</v>
      </c>
      <c r="E10" s="807">
        <v>9487.7621551789998</v>
      </c>
      <c r="F10" s="807">
        <v>14854.690027008</v>
      </c>
      <c r="G10" s="807">
        <v>459.92579137900003</v>
      </c>
      <c r="H10" s="807">
        <v>2297.8989676470005</v>
      </c>
      <c r="I10" s="807">
        <v>4875.3607362970006</v>
      </c>
      <c r="J10" s="807">
        <v>3983.3948069319999</v>
      </c>
      <c r="K10" s="807">
        <v>206.712431503</v>
      </c>
      <c r="L10" s="807">
        <v>2890.2409015500002</v>
      </c>
      <c r="M10" s="807">
        <v>21.251621922999998</v>
      </c>
      <c r="N10" s="807">
        <v>169.73017864899998</v>
      </c>
      <c r="O10" s="807">
        <v>7967.163443454001</v>
      </c>
      <c r="P10" s="807">
        <v>488.01441817900002</v>
      </c>
      <c r="Q10" s="807">
        <v>1866.267097298</v>
      </c>
      <c r="R10" s="807">
        <v>494.83839057</v>
      </c>
      <c r="S10" s="807">
        <v>156.27197931100002</v>
      </c>
      <c r="T10" s="807">
        <v>4207.0907388400001</v>
      </c>
      <c r="U10" s="1156">
        <f t="shared" si="0"/>
        <v>115646.158509278</v>
      </c>
      <c r="V10" s="726"/>
      <c r="W10" s="726"/>
      <c r="X10" s="726"/>
    </row>
    <row r="11" spans="1:25" s="39" customFormat="1" ht="13.5" customHeight="1">
      <c r="A11" s="846" t="s">
        <v>1693</v>
      </c>
      <c r="B11" s="808">
        <v>24240.140711880998</v>
      </c>
      <c r="C11" s="808">
        <v>20866.964531202</v>
      </c>
      <c r="D11" s="808">
        <v>7004.6693670379991</v>
      </c>
      <c r="E11" s="808">
        <v>8602.8400845840006</v>
      </c>
      <c r="F11" s="808">
        <v>18056.862406150001</v>
      </c>
      <c r="G11" s="808">
        <v>559.41628836799998</v>
      </c>
      <c r="H11" s="808">
        <v>2001.5196785359999</v>
      </c>
      <c r="I11" s="808">
        <v>5448.4327879120001</v>
      </c>
      <c r="J11" s="808">
        <v>3335.1378381119998</v>
      </c>
      <c r="K11" s="808">
        <v>209.31088224700002</v>
      </c>
      <c r="L11" s="808">
        <v>3570.1673695179998</v>
      </c>
      <c r="M11" s="808">
        <v>3.0288693630000005</v>
      </c>
      <c r="N11" s="808">
        <v>132.67317405499998</v>
      </c>
      <c r="O11" s="808">
        <v>8274.3293595220002</v>
      </c>
      <c r="P11" s="808">
        <v>422.62113959999994</v>
      </c>
      <c r="Q11" s="808">
        <v>2095.1929835080005</v>
      </c>
      <c r="R11" s="808">
        <v>455.27028396500003</v>
      </c>
      <c r="S11" s="808">
        <v>137.56719587499998</v>
      </c>
      <c r="T11" s="808">
        <v>5166.238465553999</v>
      </c>
      <c r="U11" s="808">
        <v>110582.38341698998</v>
      </c>
      <c r="V11" s="726"/>
      <c r="W11" s="120"/>
      <c r="X11" s="120"/>
    </row>
    <row r="12" spans="1:25" s="39" customFormat="1" ht="13.5" customHeight="1">
      <c r="A12" s="841" t="s">
        <v>1795</v>
      </c>
      <c r="B12" s="807">
        <v>25987.258654580997</v>
      </c>
      <c r="C12" s="807">
        <v>21934.982243472998</v>
      </c>
      <c r="D12" s="807">
        <v>6309.8007089949997</v>
      </c>
      <c r="E12" s="807">
        <v>8371.9666337629988</v>
      </c>
      <c r="F12" s="807">
        <v>18489.105624444001</v>
      </c>
      <c r="G12" s="807">
        <v>355.14259886400004</v>
      </c>
      <c r="H12" s="807">
        <v>2409.4986989259996</v>
      </c>
      <c r="I12" s="807">
        <v>7109.6637192180006</v>
      </c>
      <c r="J12" s="807">
        <v>3444.4421886290006</v>
      </c>
      <c r="K12" s="807">
        <v>164.36111672899997</v>
      </c>
      <c r="L12" s="807">
        <v>4306.5368910809993</v>
      </c>
      <c r="M12" s="807">
        <v>1.0878520650000001</v>
      </c>
      <c r="N12" s="807">
        <v>126.68805762700001</v>
      </c>
      <c r="O12" s="807">
        <v>10732.610499937999</v>
      </c>
      <c r="P12" s="807">
        <v>480.40710343800004</v>
      </c>
      <c r="Q12" s="807">
        <v>2020.3891492669998</v>
      </c>
      <c r="R12" s="807">
        <v>469.14853845199997</v>
      </c>
      <c r="S12" s="807">
        <v>152.87326095199998</v>
      </c>
      <c r="T12" s="807">
        <v>6116.3519323189985</v>
      </c>
      <c r="U12" s="807">
        <v>118982.31547276098</v>
      </c>
      <c r="V12" s="726"/>
      <c r="W12" s="726"/>
      <c r="X12" s="726"/>
    </row>
    <row r="13" spans="1:25" s="39" customFormat="1" ht="13.5" customHeight="1">
      <c r="A13" s="847" t="s">
        <v>1996</v>
      </c>
      <c r="B13" s="828">
        <v>23165.843384732998</v>
      </c>
      <c r="C13" s="828">
        <v>21248.75908046</v>
      </c>
      <c r="D13" s="828">
        <v>6747.2028958150004</v>
      </c>
      <c r="E13" s="828">
        <v>8122.9117313530023</v>
      </c>
      <c r="F13" s="828">
        <v>18889.249921554001</v>
      </c>
      <c r="G13" s="828">
        <v>95.893180836999989</v>
      </c>
      <c r="H13" s="828">
        <v>3379.2433817339997</v>
      </c>
      <c r="I13" s="828">
        <v>7132.6719513709986</v>
      </c>
      <c r="J13" s="828">
        <v>3046.1566874470004</v>
      </c>
      <c r="K13" s="828">
        <v>204.66359045500002</v>
      </c>
      <c r="L13" s="828">
        <v>3806.9407668829999</v>
      </c>
      <c r="M13" s="828">
        <v>1.4088847410000001</v>
      </c>
      <c r="N13" s="828">
        <v>178.34404229900002</v>
      </c>
      <c r="O13" s="828">
        <v>10364.006886042</v>
      </c>
      <c r="P13" s="828">
        <v>540.57418486999995</v>
      </c>
      <c r="Q13" s="828">
        <v>2736.7067065770002</v>
      </c>
      <c r="R13" s="828">
        <v>506.556349066</v>
      </c>
      <c r="S13" s="828">
        <v>211.20321155199997</v>
      </c>
      <c r="T13" s="828">
        <v>6478.3840429919992</v>
      </c>
      <c r="U13" s="828">
        <v>116856.72088078098</v>
      </c>
      <c r="V13" s="120"/>
      <c r="W13" s="120"/>
      <c r="X13" s="120"/>
    </row>
    <row r="14" spans="1:25" s="39" customFormat="1" ht="13.5" customHeight="1">
      <c r="A14" s="848" t="s">
        <v>2092</v>
      </c>
      <c r="B14" s="843">
        <f t="shared" ref="B14:T14" si="1">SUM(B15:B26)</f>
        <v>17943.426236539002</v>
      </c>
      <c r="C14" s="843">
        <f t="shared" si="1"/>
        <v>16573.528397069</v>
      </c>
      <c r="D14" s="843">
        <f t="shared" si="1"/>
        <v>6405.7376632189998</v>
      </c>
      <c r="E14" s="843">
        <f t="shared" si="1"/>
        <v>8180.2432115789998</v>
      </c>
      <c r="F14" s="843">
        <f t="shared" si="1"/>
        <v>13373.095621944</v>
      </c>
      <c r="G14" s="843">
        <f t="shared" si="1"/>
        <v>17.628407153000001</v>
      </c>
      <c r="H14" s="843">
        <f t="shared" si="1"/>
        <v>4562.3081073049998</v>
      </c>
      <c r="I14" s="843">
        <f t="shared" si="1"/>
        <v>7107.4456062180016</v>
      </c>
      <c r="J14" s="843">
        <f t="shared" si="1"/>
        <v>2380.5595638059999</v>
      </c>
      <c r="K14" s="843">
        <f t="shared" si="1"/>
        <v>251.78556692700002</v>
      </c>
      <c r="L14" s="843">
        <f t="shared" si="1"/>
        <v>3465.3919270970009</v>
      </c>
      <c r="M14" s="843">
        <f t="shared" si="1"/>
        <v>0.15725730799999998</v>
      </c>
      <c r="N14" s="843">
        <f t="shared" si="1"/>
        <v>181.68376342400001</v>
      </c>
      <c r="O14" s="843">
        <f t="shared" si="1"/>
        <v>8729.7625331060008</v>
      </c>
      <c r="P14" s="843">
        <f t="shared" si="1"/>
        <v>411.69327297199999</v>
      </c>
      <c r="Q14" s="843">
        <f t="shared" si="1"/>
        <v>4047.0763187749994</v>
      </c>
      <c r="R14" s="843">
        <f t="shared" si="1"/>
        <v>638.67820879400006</v>
      </c>
      <c r="S14" s="843">
        <f t="shared" si="1"/>
        <v>150.208864742</v>
      </c>
      <c r="T14" s="843">
        <f t="shared" si="1"/>
        <v>6678.5518861929977</v>
      </c>
      <c r="U14" s="843">
        <f>SUM(B14:T14)</f>
        <v>101098.96241417</v>
      </c>
      <c r="V14" s="726"/>
      <c r="W14" s="726"/>
      <c r="X14" s="726"/>
    </row>
    <row r="15" spans="1:25" s="39" customFormat="1" ht="13.5" customHeight="1">
      <c r="A15" s="846" t="s">
        <v>843</v>
      </c>
      <c r="B15" s="978">
        <v>1528.3296</v>
      </c>
      <c r="C15" s="978">
        <v>1415.7472000000002</v>
      </c>
      <c r="D15" s="978">
        <v>317.91199999999998</v>
      </c>
      <c r="E15" s="978">
        <v>627.43520000000012</v>
      </c>
      <c r="F15" s="978">
        <v>1006.8128</v>
      </c>
      <c r="G15" s="978">
        <v>1.2544</v>
      </c>
      <c r="H15" s="978">
        <v>342.52960000000002</v>
      </c>
      <c r="I15" s="978">
        <v>567.22399999999993</v>
      </c>
      <c r="J15" s="978">
        <v>224.1456</v>
      </c>
      <c r="K15" s="978">
        <v>13.484800000000002</v>
      </c>
      <c r="L15" s="978">
        <v>216.93280000000004</v>
      </c>
      <c r="M15" s="978">
        <v>7.8399999999999997E-2</v>
      </c>
      <c r="N15" s="978">
        <v>12.622400000000003</v>
      </c>
      <c r="O15" s="978">
        <v>825.31679999999994</v>
      </c>
      <c r="P15" s="978">
        <v>41.316800000000001</v>
      </c>
      <c r="Q15" s="978">
        <v>251.50720000000001</v>
      </c>
      <c r="R15" s="978">
        <v>63.660799999999995</v>
      </c>
      <c r="S15" s="978">
        <v>11.838400000000002</v>
      </c>
      <c r="T15" s="978">
        <v>414.89280000000008</v>
      </c>
      <c r="U15" s="978">
        <f t="shared" ref="U15:U20" si="2">SUM(B15:T15)</f>
        <v>7883.0415999999987</v>
      </c>
      <c r="V15" s="120"/>
      <c r="W15" s="120"/>
      <c r="X15" s="120"/>
    </row>
    <row r="16" spans="1:25" s="39" customFormat="1" ht="13.5" customHeight="1">
      <c r="A16" s="841" t="s">
        <v>844</v>
      </c>
      <c r="B16" s="979">
        <v>1810.4912000000002</v>
      </c>
      <c r="C16" s="979">
        <v>1577.6432</v>
      </c>
      <c r="D16" s="979">
        <v>499.9568000000001</v>
      </c>
      <c r="E16" s="979">
        <v>687.48960000000011</v>
      </c>
      <c r="F16" s="979">
        <v>1203.1264000000001</v>
      </c>
      <c r="G16" s="979">
        <v>1.9600000000000002</v>
      </c>
      <c r="H16" s="979">
        <v>354.52480000000003</v>
      </c>
      <c r="I16" s="979">
        <v>603.28800000000001</v>
      </c>
      <c r="J16" s="979">
        <v>248.99840000000003</v>
      </c>
      <c r="K16" s="979">
        <v>17.4832</v>
      </c>
      <c r="L16" s="979">
        <v>232.45600000000002</v>
      </c>
      <c r="M16" s="979">
        <v>0</v>
      </c>
      <c r="N16" s="979">
        <v>15.288000000000002</v>
      </c>
      <c r="O16" s="979">
        <v>904.0304000000001</v>
      </c>
      <c r="P16" s="979">
        <v>39.827200000000005</v>
      </c>
      <c r="Q16" s="979">
        <v>430.25920000000008</v>
      </c>
      <c r="R16" s="979">
        <v>71.265600000000006</v>
      </c>
      <c r="S16" s="979">
        <v>14.7392</v>
      </c>
      <c r="T16" s="979">
        <v>566.59680000000003</v>
      </c>
      <c r="U16" s="979">
        <f t="shared" si="2"/>
        <v>9279.4239999999991</v>
      </c>
      <c r="V16" s="726"/>
      <c r="W16" s="726"/>
      <c r="X16" s="726"/>
    </row>
    <row r="17" spans="1:24" s="39" customFormat="1" ht="13.5" customHeight="1">
      <c r="A17" s="846" t="s">
        <v>838</v>
      </c>
      <c r="B17" s="978">
        <v>1393.4816000000003</v>
      </c>
      <c r="C17" s="978">
        <v>1355.6928</v>
      </c>
      <c r="D17" s="978">
        <v>506.30720000000002</v>
      </c>
      <c r="E17" s="978">
        <v>612.46080000000006</v>
      </c>
      <c r="F17" s="978">
        <v>1161.7312000000002</v>
      </c>
      <c r="G17" s="978">
        <v>2.0384000000000002</v>
      </c>
      <c r="H17" s="978">
        <v>356.01439999999997</v>
      </c>
      <c r="I17" s="978">
        <v>630.25760000000014</v>
      </c>
      <c r="J17" s="978">
        <v>212.6208</v>
      </c>
      <c r="K17" s="978">
        <v>18.032</v>
      </c>
      <c r="L17" s="978">
        <v>209.1712</v>
      </c>
      <c r="M17" s="978">
        <v>0</v>
      </c>
      <c r="N17" s="978">
        <v>13.955200000000001</v>
      </c>
      <c r="O17" s="978">
        <v>791.3696000000001</v>
      </c>
      <c r="P17" s="978">
        <v>37.867200000000004</v>
      </c>
      <c r="Q17" s="978">
        <v>325.51680000000005</v>
      </c>
      <c r="R17" s="978">
        <v>47.980800000000002</v>
      </c>
      <c r="S17" s="978">
        <v>11.368</v>
      </c>
      <c r="T17" s="978">
        <v>598.19200000000001</v>
      </c>
      <c r="U17" s="978">
        <f t="shared" si="2"/>
        <v>8284.0576000000019</v>
      </c>
      <c r="V17" s="120"/>
      <c r="W17" s="120"/>
      <c r="X17" s="120"/>
    </row>
    <row r="18" spans="1:24" s="39" customFormat="1" ht="13.5" customHeight="1">
      <c r="A18" s="841" t="s">
        <v>845</v>
      </c>
      <c r="B18" s="979">
        <v>1481.4464000000003</v>
      </c>
      <c r="C18" s="979">
        <v>1333.7408</v>
      </c>
      <c r="D18" s="979">
        <v>356.87680000000006</v>
      </c>
      <c r="E18" s="979">
        <v>687.80320000000006</v>
      </c>
      <c r="F18" s="979">
        <v>1019.2783999999999</v>
      </c>
      <c r="G18" s="979">
        <v>1.5680000000000001</v>
      </c>
      <c r="H18" s="979">
        <v>352.40800000000002</v>
      </c>
      <c r="I18" s="979">
        <v>548.32960000000003</v>
      </c>
      <c r="J18" s="979">
        <v>212.93440000000001</v>
      </c>
      <c r="K18" s="979">
        <v>27.910400000000003</v>
      </c>
      <c r="L18" s="979">
        <v>229.71200000000005</v>
      </c>
      <c r="M18" s="979">
        <v>0</v>
      </c>
      <c r="N18" s="979">
        <v>11.838400000000002</v>
      </c>
      <c r="O18" s="979">
        <v>784.31360000000018</v>
      </c>
      <c r="P18" s="979">
        <v>33.084800000000001</v>
      </c>
      <c r="Q18" s="979">
        <v>267.10880000000003</v>
      </c>
      <c r="R18" s="979">
        <v>40.689600000000006</v>
      </c>
      <c r="S18" s="979">
        <v>11.838400000000002</v>
      </c>
      <c r="T18" s="979">
        <v>525.12320000000011</v>
      </c>
      <c r="U18" s="979">
        <f t="shared" si="2"/>
        <v>7926.0048000000006</v>
      </c>
      <c r="V18" s="726"/>
      <c r="W18" s="726"/>
      <c r="X18" s="726"/>
    </row>
    <row r="19" spans="1:24" s="39" customFormat="1" ht="13.5" customHeight="1">
      <c r="A19" s="846" t="s">
        <v>846</v>
      </c>
      <c r="B19" s="978">
        <v>1344.9189600000002</v>
      </c>
      <c r="C19" s="978">
        <v>1172.75928</v>
      </c>
      <c r="D19" s="978">
        <v>455.61054000000001</v>
      </c>
      <c r="E19" s="978">
        <v>674.10882000000004</v>
      </c>
      <c r="F19" s="978">
        <v>969.49775999999997</v>
      </c>
      <c r="G19" s="978">
        <v>1.9635000000000002</v>
      </c>
      <c r="H19" s="978">
        <v>322.56378000000007</v>
      </c>
      <c r="I19" s="978">
        <v>528.10295999999994</v>
      </c>
      <c r="J19" s="978">
        <v>176.55792000000002</v>
      </c>
      <c r="K19" s="978">
        <v>15.62946</v>
      </c>
      <c r="L19" s="978">
        <v>264.28710000000001</v>
      </c>
      <c r="M19" s="978">
        <v>0</v>
      </c>
      <c r="N19" s="978">
        <v>11.07414</v>
      </c>
      <c r="O19" s="978">
        <v>699.63432</v>
      </c>
      <c r="P19" s="978">
        <v>29.923740000000002</v>
      </c>
      <c r="Q19" s="978">
        <v>255.41208000000006</v>
      </c>
      <c r="R19" s="978">
        <v>38.170440000000006</v>
      </c>
      <c r="S19" s="978">
        <v>11.859540000000001</v>
      </c>
      <c r="T19" s="978">
        <v>499.98564000000005</v>
      </c>
      <c r="U19" s="978">
        <f t="shared" si="2"/>
        <v>7472.0599800000018</v>
      </c>
      <c r="V19" s="120"/>
      <c r="W19" s="120"/>
      <c r="X19" s="120"/>
    </row>
    <row r="20" spans="1:24" s="39" customFormat="1" ht="13.5" customHeight="1">
      <c r="A20" s="841" t="s">
        <v>839</v>
      </c>
      <c r="B20" s="979">
        <v>1427.9096895600001</v>
      </c>
      <c r="C20" s="979">
        <v>1177.7102820349999</v>
      </c>
      <c r="D20" s="979">
        <v>442.63624317100005</v>
      </c>
      <c r="E20" s="979">
        <v>673.5289247610001</v>
      </c>
      <c r="F20" s="979">
        <v>993.70536343000003</v>
      </c>
      <c r="G20" s="979">
        <v>1.2608474080000001</v>
      </c>
      <c r="H20" s="979">
        <v>369.82230535900004</v>
      </c>
      <c r="I20" s="979">
        <v>510.24918542500001</v>
      </c>
      <c r="J20" s="979">
        <v>195.58895416600001</v>
      </c>
      <c r="K20" s="979">
        <v>14.657351118000003</v>
      </c>
      <c r="L20" s="979">
        <v>267.06324160700001</v>
      </c>
      <c r="M20" s="979">
        <v>0</v>
      </c>
      <c r="N20" s="979">
        <v>12.687277043000002</v>
      </c>
      <c r="O20" s="979">
        <v>632.78779288999999</v>
      </c>
      <c r="P20" s="979">
        <v>26.950613346000001</v>
      </c>
      <c r="Q20" s="979">
        <v>260.68020160399999</v>
      </c>
      <c r="R20" s="979">
        <v>35.934151128000003</v>
      </c>
      <c r="S20" s="979">
        <v>12.450868154000002</v>
      </c>
      <c r="T20" s="979">
        <v>499.45317949400004</v>
      </c>
      <c r="U20" s="979">
        <f t="shared" si="2"/>
        <v>7555.0764716990006</v>
      </c>
      <c r="V20" s="726"/>
      <c r="W20" s="726"/>
      <c r="X20" s="726"/>
    </row>
    <row r="21" spans="1:24" s="39" customFormat="1" ht="13.5" customHeight="1">
      <c r="A21" s="846" t="s">
        <v>847</v>
      </c>
      <c r="B21" s="978">
        <v>1369.199438804</v>
      </c>
      <c r="C21" s="978">
        <v>1198.8676535239999</v>
      </c>
      <c r="D21" s="978">
        <v>532.75997284800007</v>
      </c>
      <c r="E21" s="978">
        <v>663.66310412799999</v>
      </c>
      <c r="F21" s="978">
        <v>1050.2216279440001</v>
      </c>
      <c r="G21" s="978">
        <v>1.1828596199999999</v>
      </c>
      <c r="H21" s="978">
        <v>396.41568731600006</v>
      </c>
      <c r="I21" s="978">
        <v>544.19428250800013</v>
      </c>
      <c r="J21" s="978">
        <v>181.76609494000002</v>
      </c>
      <c r="K21" s="978">
        <v>17.585179684000003</v>
      </c>
      <c r="L21" s="978">
        <v>310.69779352</v>
      </c>
      <c r="M21" s="978">
        <v>7.8857308000000001E-2</v>
      </c>
      <c r="N21" s="978">
        <v>13.169170435999998</v>
      </c>
      <c r="O21" s="978">
        <v>644.42192097600002</v>
      </c>
      <c r="P21" s="978">
        <v>31.306351276000004</v>
      </c>
      <c r="Q21" s="978">
        <v>351.07273521600007</v>
      </c>
      <c r="R21" s="978">
        <v>36.037789756000009</v>
      </c>
      <c r="S21" s="978">
        <v>13.484599668000001</v>
      </c>
      <c r="T21" s="978">
        <v>604.28355120399999</v>
      </c>
      <c r="U21" s="978">
        <f t="shared" ref="U21:U45" si="3">SUM(B21:T21)</f>
        <v>7960.4086706760008</v>
      </c>
      <c r="V21" s="120"/>
      <c r="W21" s="120"/>
      <c r="X21" s="120"/>
    </row>
    <row r="22" spans="1:24" s="39" customFormat="1" ht="13.5" customHeight="1">
      <c r="A22" s="841" t="s">
        <v>848</v>
      </c>
      <c r="B22" s="979">
        <v>1265.9423881</v>
      </c>
      <c r="C22" s="979">
        <v>1213.4093841999997</v>
      </c>
      <c r="D22" s="979">
        <v>631.42610569999999</v>
      </c>
      <c r="E22" s="979">
        <v>596.64180899999997</v>
      </c>
      <c r="F22" s="979">
        <v>939.80989329999989</v>
      </c>
      <c r="G22" s="979">
        <v>1.1092942000000001</v>
      </c>
      <c r="H22" s="979">
        <v>333.97678949999994</v>
      </c>
      <c r="I22" s="979">
        <v>536.10603979999996</v>
      </c>
      <c r="J22" s="979">
        <v>155.53889390000001</v>
      </c>
      <c r="K22" s="979">
        <v>17.035589499999997</v>
      </c>
      <c r="L22" s="979">
        <v>279.77984430000004</v>
      </c>
      <c r="M22" s="979">
        <v>0</v>
      </c>
      <c r="N22" s="979">
        <v>13.390765699999999</v>
      </c>
      <c r="O22" s="979">
        <v>568.90945399999987</v>
      </c>
      <c r="P22" s="979">
        <v>32.9618848</v>
      </c>
      <c r="Q22" s="979">
        <v>285.32631529999998</v>
      </c>
      <c r="R22" s="979">
        <v>54.513886400000004</v>
      </c>
      <c r="S22" s="979">
        <v>10.855236100000001</v>
      </c>
      <c r="T22" s="979">
        <v>517.32727369999998</v>
      </c>
      <c r="U22" s="979">
        <f t="shared" si="3"/>
        <v>7454.060847499999</v>
      </c>
      <c r="V22" s="726"/>
      <c r="W22" s="726"/>
      <c r="X22" s="726"/>
    </row>
    <row r="23" spans="1:24" s="39" customFormat="1" ht="13.5" customHeight="1">
      <c r="A23" s="846" t="s">
        <v>840</v>
      </c>
      <c r="B23" s="978">
        <v>1445.5565978100001</v>
      </c>
      <c r="C23" s="978">
        <v>1409.9227606899999</v>
      </c>
      <c r="D23" s="978">
        <v>729.936882255</v>
      </c>
      <c r="E23" s="978">
        <v>666.54364969999995</v>
      </c>
      <c r="F23" s="978">
        <v>1092.956597915</v>
      </c>
      <c r="G23" s="978">
        <v>1.27263704</v>
      </c>
      <c r="H23" s="978">
        <v>380.91617403500004</v>
      </c>
      <c r="I23" s="978">
        <v>624.38754775000007</v>
      </c>
      <c r="J23" s="978">
        <v>182.62341524000001</v>
      </c>
      <c r="K23" s="978">
        <v>21.237130605000001</v>
      </c>
      <c r="L23" s="978">
        <v>319.03419796500003</v>
      </c>
      <c r="M23" s="978">
        <v>0</v>
      </c>
      <c r="N23" s="978">
        <v>20.123573194999999</v>
      </c>
      <c r="O23" s="978">
        <v>626.29650331000005</v>
      </c>
      <c r="P23" s="978">
        <v>29.986510255000002</v>
      </c>
      <c r="Q23" s="978">
        <v>357.45192860999998</v>
      </c>
      <c r="R23" s="978">
        <v>61.484276995000002</v>
      </c>
      <c r="S23" s="978">
        <v>11.374193545000001</v>
      </c>
      <c r="T23" s="978">
        <v>589.46956896500001</v>
      </c>
      <c r="U23" s="978">
        <f t="shared" si="3"/>
        <v>8570.5741458800003</v>
      </c>
      <c r="V23" s="120"/>
      <c r="W23" s="120"/>
      <c r="X23" s="120"/>
    </row>
    <row r="24" spans="1:24" s="39" customFormat="1" ht="13.5" customHeight="1">
      <c r="A24" s="841" t="s">
        <v>849</v>
      </c>
      <c r="B24" s="979">
        <v>1462.5449943999997</v>
      </c>
      <c r="C24" s="979">
        <v>1523.5409207999999</v>
      </c>
      <c r="D24" s="979">
        <v>560.61962719999997</v>
      </c>
      <c r="E24" s="979">
        <v>702.01201680000008</v>
      </c>
      <c r="F24" s="979">
        <v>1240.1174408000002</v>
      </c>
      <c r="G24" s="979">
        <v>0.95805119999999988</v>
      </c>
      <c r="H24" s="979">
        <v>393.99855600000001</v>
      </c>
      <c r="I24" s="979">
        <v>623.29214319999994</v>
      </c>
      <c r="J24" s="979">
        <v>172.60889119999999</v>
      </c>
      <c r="K24" s="979">
        <v>19.560212</v>
      </c>
      <c r="L24" s="979">
        <v>361.18530240000001</v>
      </c>
      <c r="M24" s="979">
        <v>0</v>
      </c>
      <c r="N24" s="979">
        <v>14.769955999999999</v>
      </c>
      <c r="O24" s="979">
        <v>658.10133680000001</v>
      </c>
      <c r="P24" s="979">
        <v>29.939099999999996</v>
      </c>
      <c r="Q24" s="979">
        <v>340.42752639999998</v>
      </c>
      <c r="R24" s="979">
        <v>62.991866399999992</v>
      </c>
      <c r="S24" s="979">
        <v>12.614340799999999</v>
      </c>
      <c r="T24" s="979">
        <v>544.09324400000003</v>
      </c>
      <c r="U24" s="979">
        <f t="shared" si="3"/>
        <v>8723.3755263999992</v>
      </c>
      <c r="V24" s="726"/>
      <c r="W24" s="726"/>
      <c r="X24" s="726"/>
    </row>
    <row r="25" spans="1:24" s="39" customFormat="1" ht="13.5" customHeight="1">
      <c r="A25" s="846" t="s">
        <v>850</v>
      </c>
      <c r="B25" s="978">
        <v>1815.1213078649998</v>
      </c>
      <c r="C25" s="978">
        <v>1679.6572858200002</v>
      </c>
      <c r="D25" s="978">
        <v>698.89132704500003</v>
      </c>
      <c r="E25" s="978">
        <v>829.52597218999995</v>
      </c>
      <c r="F25" s="978">
        <v>1268.2748635549999</v>
      </c>
      <c r="G25" s="978">
        <v>1.529302685</v>
      </c>
      <c r="H25" s="978">
        <v>463.05675509499997</v>
      </c>
      <c r="I25" s="978">
        <v>757.32678753499999</v>
      </c>
      <c r="J25" s="978">
        <v>214.42433436000002</v>
      </c>
      <c r="K25" s="978">
        <v>44.10830902</v>
      </c>
      <c r="L25" s="978">
        <v>403.01150230500002</v>
      </c>
      <c r="M25" s="978">
        <v>0</v>
      </c>
      <c r="N25" s="978">
        <v>21.732196050000002</v>
      </c>
      <c r="O25" s="978">
        <v>777.69066012999997</v>
      </c>
      <c r="P25" s="978">
        <v>34.852003295000003</v>
      </c>
      <c r="Q25" s="978">
        <v>460.642066645</v>
      </c>
      <c r="R25" s="978">
        <v>72.521143115000001</v>
      </c>
      <c r="S25" s="978">
        <v>13.280786474999999</v>
      </c>
      <c r="T25" s="978">
        <v>647.29748383000003</v>
      </c>
      <c r="U25" s="978">
        <f t="shared" si="3"/>
        <v>10202.944087014999</v>
      </c>
      <c r="V25" s="726"/>
      <c r="W25" s="726"/>
      <c r="X25" s="726"/>
    </row>
    <row r="26" spans="1:24" s="39" customFormat="1" ht="13.5" customHeight="1">
      <c r="A26" s="841" t="s">
        <v>841</v>
      </c>
      <c r="B26" s="979">
        <v>1598.48406</v>
      </c>
      <c r="C26" s="979">
        <v>1514.8368299999997</v>
      </c>
      <c r="D26" s="979">
        <v>672.8041649999999</v>
      </c>
      <c r="E26" s="979">
        <v>759.03011499999991</v>
      </c>
      <c r="F26" s="979">
        <v>1427.563275</v>
      </c>
      <c r="G26" s="979">
        <v>1.531115</v>
      </c>
      <c r="H26" s="979">
        <v>496.08126000000004</v>
      </c>
      <c r="I26" s="979">
        <v>634.68745999999999</v>
      </c>
      <c r="J26" s="979">
        <v>202.75185999999999</v>
      </c>
      <c r="K26" s="979">
        <v>25.061934999999998</v>
      </c>
      <c r="L26" s="979">
        <v>372.060945</v>
      </c>
      <c r="M26" s="979">
        <v>0</v>
      </c>
      <c r="N26" s="979">
        <v>21.032684999999997</v>
      </c>
      <c r="O26" s="979">
        <v>816.89014499999996</v>
      </c>
      <c r="P26" s="979">
        <v>43.677070000000001</v>
      </c>
      <c r="Q26" s="979">
        <v>461.67146500000001</v>
      </c>
      <c r="R26" s="979">
        <v>53.427855000000001</v>
      </c>
      <c r="S26" s="979">
        <v>14.5053</v>
      </c>
      <c r="T26" s="979">
        <v>671.83714499999905</v>
      </c>
      <c r="U26" s="979">
        <f t="shared" si="3"/>
        <v>9787.9346850000002</v>
      </c>
      <c r="V26" s="726"/>
      <c r="W26" s="726"/>
      <c r="X26" s="726"/>
    </row>
    <row r="27" spans="1:24" s="39" customFormat="1" ht="13.5" customHeight="1">
      <c r="A27" s="847" t="s">
        <v>2320</v>
      </c>
      <c r="B27" s="828">
        <f t="shared" ref="B27:T27" si="4">SUM(B28:B39)</f>
        <v>21303.057974675001</v>
      </c>
      <c r="C27" s="828">
        <f t="shared" si="4"/>
        <v>19981.775415710003</v>
      </c>
      <c r="D27" s="828">
        <f t="shared" si="4"/>
        <v>9090.1559443150018</v>
      </c>
      <c r="E27" s="828">
        <f t="shared" si="4"/>
        <v>9868.4859093200012</v>
      </c>
      <c r="F27" s="828">
        <f t="shared" si="4"/>
        <v>16410.639824310001</v>
      </c>
      <c r="G27" s="828">
        <f t="shared" si="4"/>
        <v>19.443675874999997</v>
      </c>
      <c r="H27" s="828">
        <f t="shared" si="4"/>
        <v>6950.4103529849999</v>
      </c>
      <c r="I27" s="828">
        <f t="shared" si="4"/>
        <v>7874.3254532150004</v>
      </c>
      <c r="J27" s="828">
        <f t="shared" si="4"/>
        <v>2715.2346651450002</v>
      </c>
      <c r="K27" s="828">
        <f t="shared" si="4"/>
        <v>330.55203132999998</v>
      </c>
      <c r="L27" s="828">
        <f t="shared" si="4"/>
        <v>4451.4895316450002</v>
      </c>
      <c r="M27" s="828">
        <f t="shared" si="4"/>
        <v>0.3327156</v>
      </c>
      <c r="N27" s="828">
        <f t="shared" si="4"/>
        <v>258.69044694500002</v>
      </c>
      <c r="O27" s="828">
        <f t="shared" si="4"/>
        <v>9103.3843674349991</v>
      </c>
      <c r="P27" s="828">
        <f t="shared" si="4"/>
        <v>464.68689706499993</v>
      </c>
      <c r="Q27" s="828">
        <f t="shared" si="4"/>
        <v>5434.0171208399997</v>
      </c>
      <c r="R27" s="828">
        <f t="shared" si="4"/>
        <v>791.06830617999992</v>
      </c>
      <c r="S27" s="828">
        <f t="shared" si="4"/>
        <v>174.71432794999998</v>
      </c>
      <c r="T27" s="828">
        <f t="shared" si="4"/>
        <v>7933.5399799049983</v>
      </c>
      <c r="U27" s="828">
        <f>SUM(B27:T27)</f>
        <v>123156.00494044498</v>
      </c>
      <c r="V27" s="726"/>
      <c r="W27" s="726"/>
      <c r="X27" s="726"/>
    </row>
    <row r="28" spans="1:24" s="39" customFormat="1" ht="13.5" customHeight="1">
      <c r="A28" s="841" t="s">
        <v>843</v>
      </c>
      <c r="B28" s="979">
        <v>1607.686428</v>
      </c>
      <c r="C28" s="979">
        <v>1370.2422689999999</v>
      </c>
      <c r="D28" s="979">
        <v>646.62212399999999</v>
      </c>
      <c r="E28" s="979">
        <v>712.81623419999994</v>
      </c>
      <c r="F28" s="979">
        <v>1181.8188396</v>
      </c>
      <c r="G28" s="979">
        <v>0.40313100000000002</v>
      </c>
      <c r="H28" s="979">
        <v>493.10983920000001</v>
      </c>
      <c r="I28" s="979">
        <v>610.66283879999992</v>
      </c>
      <c r="J28" s="979">
        <v>220.51265699999999</v>
      </c>
      <c r="K28" s="979">
        <v>19.269661800000002</v>
      </c>
      <c r="L28" s="979">
        <v>327.98738159999999</v>
      </c>
      <c r="M28" s="979">
        <v>0</v>
      </c>
      <c r="N28" s="979">
        <v>14.5933422</v>
      </c>
      <c r="O28" s="979">
        <v>589.21626959999992</v>
      </c>
      <c r="P28" s="979">
        <v>35.878658999999999</v>
      </c>
      <c r="Q28" s="979">
        <v>485.61160259999997</v>
      </c>
      <c r="R28" s="979">
        <v>60.953407199999994</v>
      </c>
      <c r="S28" s="979">
        <v>13.2226968</v>
      </c>
      <c r="T28" s="979">
        <v>603.80961180000077</v>
      </c>
      <c r="U28" s="979">
        <f t="shared" si="3"/>
        <v>8994.4169934000001</v>
      </c>
      <c r="V28" s="726"/>
      <c r="W28" s="726"/>
      <c r="X28" s="726"/>
    </row>
    <row r="29" spans="1:24" s="39" customFormat="1" ht="13.5" customHeight="1">
      <c r="A29" s="846" t="s">
        <v>844</v>
      </c>
      <c r="B29" s="978">
        <v>2014.2761394000001</v>
      </c>
      <c r="C29" s="978">
        <v>1701.2652771</v>
      </c>
      <c r="D29" s="978">
        <v>951.37872300000015</v>
      </c>
      <c r="E29" s="978">
        <v>804.19341420000001</v>
      </c>
      <c r="F29" s="978">
        <v>1606.4501796000002</v>
      </c>
      <c r="G29" s="978">
        <v>1.5331803000000002</v>
      </c>
      <c r="H29" s="978">
        <v>529.51205940000011</v>
      </c>
      <c r="I29" s="978">
        <v>775.54715069999997</v>
      </c>
      <c r="J29" s="978">
        <v>222.55322460000002</v>
      </c>
      <c r="K29" s="978">
        <v>26.871002100000005</v>
      </c>
      <c r="L29" s="978">
        <v>420.97903290000005</v>
      </c>
      <c r="M29" s="978">
        <v>0</v>
      </c>
      <c r="N29" s="978">
        <v>24.853659600000004</v>
      </c>
      <c r="O29" s="978">
        <v>827.59458719999998</v>
      </c>
      <c r="P29" s="978">
        <v>49.949400300000008</v>
      </c>
      <c r="Q29" s="978">
        <v>647.08278029999997</v>
      </c>
      <c r="R29" s="978">
        <v>63.102473400000008</v>
      </c>
      <c r="S29" s="978">
        <v>15.9773526</v>
      </c>
      <c r="T29" s="978">
        <v>763.92725790000009</v>
      </c>
      <c r="U29" s="978">
        <f t="shared" si="3"/>
        <v>11447.046894600002</v>
      </c>
      <c r="V29" s="726"/>
      <c r="W29" s="726"/>
      <c r="X29" s="726"/>
    </row>
    <row r="30" spans="1:24" s="39" customFormat="1" ht="13.5" customHeight="1">
      <c r="A30" s="841" t="s">
        <v>838</v>
      </c>
      <c r="B30" s="979">
        <v>1154.2740137999999</v>
      </c>
      <c r="C30" s="979">
        <v>1081.2084768</v>
      </c>
      <c r="D30" s="979">
        <v>483.44357520000005</v>
      </c>
      <c r="E30" s="979">
        <v>505.48433939999995</v>
      </c>
      <c r="F30" s="979">
        <v>1093.8031991999999</v>
      </c>
      <c r="G30" s="979">
        <v>0.80735399999999991</v>
      </c>
      <c r="H30" s="979">
        <v>301.14304199999998</v>
      </c>
      <c r="I30" s="979">
        <v>467.7001722</v>
      </c>
      <c r="J30" s="979">
        <v>147.8265174</v>
      </c>
      <c r="K30" s="979">
        <v>18.811348200000001</v>
      </c>
      <c r="L30" s="979">
        <v>249.14944439999999</v>
      </c>
      <c r="M30" s="979">
        <v>0</v>
      </c>
      <c r="N30" s="979">
        <v>11.7873684</v>
      </c>
      <c r="O30" s="979">
        <v>512.91199619999998</v>
      </c>
      <c r="P30" s="979">
        <v>31.163864400000001</v>
      </c>
      <c r="Q30" s="979">
        <v>337.55470739999998</v>
      </c>
      <c r="R30" s="979">
        <v>51.105508199999996</v>
      </c>
      <c r="S30" s="979">
        <v>9.0423647999999996</v>
      </c>
      <c r="T30" s="979">
        <v>460.75692780000082</v>
      </c>
      <c r="U30" s="979">
        <f t="shared" si="3"/>
        <v>6917.9742197999985</v>
      </c>
      <c r="V30" s="726"/>
      <c r="W30" s="726"/>
      <c r="X30" s="726"/>
    </row>
    <row r="31" spans="1:24" s="39" customFormat="1" ht="13.5" customHeight="1">
      <c r="A31" s="846" t="s">
        <v>845</v>
      </c>
      <c r="B31" s="978">
        <v>1700.0525914750001</v>
      </c>
      <c r="C31" s="978">
        <v>1544.15045461</v>
      </c>
      <c r="D31" s="978">
        <v>596.37214511500008</v>
      </c>
      <c r="E31" s="978">
        <v>729.96791091999989</v>
      </c>
      <c r="F31" s="978">
        <v>1351.7984143099998</v>
      </c>
      <c r="G31" s="978">
        <v>1.2123027749999999</v>
      </c>
      <c r="H31" s="978">
        <v>410.64735998499998</v>
      </c>
      <c r="I31" s="978">
        <v>628.70021911499998</v>
      </c>
      <c r="J31" s="978">
        <v>188.87677234500001</v>
      </c>
      <c r="K31" s="978">
        <v>25.700818829999996</v>
      </c>
      <c r="L31" s="978">
        <v>350.51714234499997</v>
      </c>
      <c r="M31" s="978">
        <v>0</v>
      </c>
      <c r="N31" s="978">
        <v>17.537980144999999</v>
      </c>
      <c r="O31" s="978">
        <v>721.80507223500001</v>
      </c>
      <c r="P31" s="978">
        <v>31.439051964999997</v>
      </c>
      <c r="Q31" s="978">
        <v>433.51947233999999</v>
      </c>
      <c r="R31" s="978">
        <v>60.453498379999999</v>
      </c>
      <c r="S31" s="978">
        <v>15.355835149999999</v>
      </c>
      <c r="T31" s="978">
        <v>589.42160920499907</v>
      </c>
      <c r="U31" s="978">
        <f t="shared" si="3"/>
        <v>9397.5286512450002</v>
      </c>
      <c r="V31" s="726"/>
      <c r="W31" s="726"/>
      <c r="X31" s="726"/>
    </row>
    <row r="32" spans="1:24" s="39" customFormat="1" ht="13.5" customHeight="1">
      <c r="A32" s="841" t="s">
        <v>846</v>
      </c>
      <c r="B32" s="979">
        <v>1582.6036349999999</v>
      </c>
      <c r="C32" s="979">
        <v>1728.2938499999996</v>
      </c>
      <c r="D32" s="979">
        <v>755.67149999999992</v>
      </c>
      <c r="E32" s="979">
        <v>738.93296999999995</v>
      </c>
      <c r="F32" s="979">
        <v>1437.4822049999998</v>
      </c>
      <c r="G32" s="979">
        <v>1.5438449999999999</v>
      </c>
      <c r="H32" s="979">
        <v>501.26209499999993</v>
      </c>
      <c r="I32" s="979">
        <v>605.26849499999992</v>
      </c>
      <c r="J32" s="979">
        <v>198.18094500000001</v>
      </c>
      <c r="K32" s="979">
        <v>33.395805000000003</v>
      </c>
      <c r="L32" s="979">
        <v>345.902535</v>
      </c>
      <c r="M32" s="979">
        <v>0</v>
      </c>
      <c r="N32" s="979">
        <v>20.395004999999998</v>
      </c>
      <c r="O32" s="979">
        <v>724.46957999999995</v>
      </c>
      <c r="P32" s="979">
        <v>34.69588499999999</v>
      </c>
      <c r="Q32" s="979">
        <v>463.15350000000001</v>
      </c>
      <c r="R32" s="979">
        <v>77.192249999999973</v>
      </c>
      <c r="S32" s="979">
        <v>9.7505999999999986</v>
      </c>
      <c r="T32" s="979">
        <v>612.25642499999924</v>
      </c>
      <c r="U32" s="979">
        <f t="shared" si="3"/>
        <v>9870.4511249999996</v>
      </c>
      <c r="V32" s="726"/>
      <c r="W32" s="726"/>
      <c r="X32" s="726"/>
    </row>
    <row r="33" spans="1:24" s="39" customFormat="1" ht="13.5" customHeight="1">
      <c r="A33" s="846" t="s">
        <v>839</v>
      </c>
      <c r="B33" s="978">
        <v>1686.5373600000003</v>
      </c>
      <c r="C33" s="978">
        <v>1813.8325440000001</v>
      </c>
      <c r="D33" s="978">
        <v>610.14183200000002</v>
      </c>
      <c r="E33" s="978">
        <v>784.16144800000006</v>
      </c>
      <c r="F33" s="978">
        <v>1129.889224</v>
      </c>
      <c r="G33" s="978">
        <v>1.5684880000000001</v>
      </c>
      <c r="H33" s="978">
        <v>513.47343999999998</v>
      </c>
      <c r="I33" s="978">
        <v>568.7832800000001</v>
      </c>
      <c r="J33" s="978">
        <v>205.30682400000001</v>
      </c>
      <c r="K33" s="978">
        <v>24.270288000000001</v>
      </c>
      <c r="L33" s="978">
        <v>339.94913600000007</v>
      </c>
      <c r="M33" s="978">
        <v>0</v>
      </c>
      <c r="N33" s="978">
        <v>21.298416000000003</v>
      </c>
      <c r="O33" s="978">
        <v>716.1386</v>
      </c>
      <c r="P33" s="978">
        <v>37.396056000000002</v>
      </c>
      <c r="Q33" s="978">
        <v>401.53292800000003</v>
      </c>
      <c r="R33" s="978">
        <v>59.767648000000008</v>
      </c>
      <c r="S33" s="978">
        <v>16.840608</v>
      </c>
      <c r="T33" s="978">
        <v>676.67874399999937</v>
      </c>
      <c r="U33" s="978">
        <f t="shared" si="3"/>
        <v>9607.5668640000004</v>
      </c>
      <c r="V33" s="726"/>
      <c r="W33" s="726"/>
      <c r="X33" s="726"/>
    </row>
    <row r="34" spans="1:24" s="39" customFormat="1" ht="13.5" customHeight="1">
      <c r="A34" s="841" t="s">
        <v>847</v>
      </c>
      <c r="B34" s="979">
        <v>1843.544715</v>
      </c>
      <c r="C34" s="979">
        <v>1650.8342099999998</v>
      </c>
      <c r="D34" s="979">
        <v>1106.0771399999999</v>
      </c>
      <c r="E34" s="979">
        <v>934.89853499999992</v>
      </c>
      <c r="F34" s="979">
        <v>1404.790845</v>
      </c>
      <c r="G34" s="979">
        <v>1.076595</v>
      </c>
      <c r="H34" s="979">
        <v>659.04177000000004</v>
      </c>
      <c r="I34" s="979">
        <v>673.36876499999994</v>
      </c>
      <c r="J34" s="979">
        <v>260.37036000000001</v>
      </c>
      <c r="K34" s="979">
        <v>29.482139999999998</v>
      </c>
      <c r="L34" s="979">
        <v>426.91132499999992</v>
      </c>
      <c r="M34" s="979">
        <v>0.16563</v>
      </c>
      <c r="N34" s="979">
        <v>23.685089999999999</v>
      </c>
      <c r="O34" s="979">
        <v>873.03572999999994</v>
      </c>
      <c r="P34" s="979">
        <v>47.204549999999998</v>
      </c>
      <c r="Q34" s="979">
        <v>578.87684999999999</v>
      </c>
      <c r="R34" s="979">
        <v>83.725965000000002</v>
      </c>
      <c r="S34" s="979">
        <v>14.741069999999999</v>
      </c>
      <c r="T34" s="979">
        <v>814.89959999999883</v>
      </c>
      <c r="U34" s="979">
        <f t="shared" si="3"/>
        <v>11426.730884999999</v>
      </c>
      <c r="V34" s="726"/>
      <c r="W34" s="726"/>
      <c r="X34" s="726"/>
    </row>
    <row r="35" spans="1:24" s="39" customFormat="1" ht="13.5" customHeight="1">
      <c r="A35" s="846" t="s">
        <v>848</v>
      </c>
      <c r="B35" s="978">
        <v>1616.6005216000001</v>
      </c>
      <c r="C35" s="978">
        <v>1431.606894</v>
      </c>
      <c r="D35" s="978">
        <v>680.76991599999997</v>
      </c>
      <c r="E35" s="978">
        <v>816.67514040000015</v>
      </c>
      <c r="F35" s="978">
        <v>1176.7120436</v>
      </c>
      <c r="G35" s="978">
        <v>4.8093367999999996</v>
      </c>
      <c r="H35" s="978">
        <v>574.3840692</v>
      </c>
      <c r="I35" s="978">
        <v>615.34635159999993</v>
      </c>
      <c r="J35" s="978">
        <v>245.85661399999998</v>
      </c>
      <c r="K35" s="978">
        <v>25.705076000000002</v>
      </c>
      <c r="L35" s="978">
        <v>373.22111959999995</v>
      </c>
      <c r="M35" s="978">
        <v>0</v>
      </c>
      <c r="N35" s="978">
        <v>23.880844799999998</v>
      </c>
      <c r="O35" s="978">
        <v>808.21734119999996</v>
      </c>
      <c r="P35" s="978">
        <v>32.172804800000002</v>
      </c>
      <c r="Q35" s="978">
        <v>396.18984880000005</v>
      </c>
      <c r="R35" s="978">
        <v>69.40370519999999</v>
      </c>
      <c r="S35" s="978">
        <v>12.852538000000001</v>
      </c>
      <c r="T35" s="978">
        <v>623.72123119999992</v>
      </c>
      <c r="U35" s="978">
        <f t="shared" si="3"/>
        <v>9528.1253968000001</v>
      </c>
      <c r="V35" s="726"/>
      <c r="W35" s="726"/>
      <c r="X35" s="726"/>
    </row>
    <row r="36" spans="1:24" s="39" customFormat="1" ht="13.5" customHeight="1">
      <c r="A36" s="841" t="s">
        <v>840</v>
      </c>
      <c r="B36" s="979">
        <v>1956.1968000000002</v>
      </c>
      <c r="C36" s="979">
        <v>1649.9084799999996</v>
      </c>
      <c r="D36" s="979">
        <v>834.07983999999976</v>
      </c>
      <c r="E36" s="979">
        <v>925.25288</v>
      </c>
      <c r="F36" s="979">
        <v>1258.5861600000001</v>
      </c>
      <c r="G36" s="979">
        <v>1.2444</v>
      </c>
      <c r="H36" s="979">
        <v>712.12864000000002</v>
      </c>
      <c r="I36" s="979">
        <v>682.84375999999997</v>
      </c>
      <c r="J36" s="979">
        <v>239.42255999999998</v>
      </c>
      <c r="K36" s="979">
        <v>29.284879999999998</v>
      </c>
      <c r="L36" s="979">
        <v>413.88743999999997</v>
      </c>
      <c r="M36" s="979">
        <v>0</v>
      </c>
      <c r="N36" s="979">
        <v>28.787119999999998</v>
      </c>
      <c r="O36" s="979">
        <v>846.02607999999987</v>
      </c>
      <c r="P36" s="979">
        <v>40.069679999999998</v>
      </c>
      <c r="Q36" s="979">
        <v>405.34255999999993</v>
      </c>
      <c r="R36" s="979">
        <v>66.036159999999995</v>
      </c>
      <c r="S36" s="979">
        <v>15.18168</v>
      </c>
      <c r="T36" s="979">
        <v>678.61279999999908</v>
      </c>
      <c r="U36" s="979">
        <f t="shared" si="3"/>
        <v>10782.891919999996</v>
      </c>
      <c r="V36" s="726"/>
      <c r="W36" s="726"/>
      <c r="X36" s="726"/>
    </row>
    <row r="37" spans="1:24" s="39" customFormat="1" ht="13.5" customHeight="1">
      <c r="A37" s="846" t="s">
        <v>849</v>
      </c>
      <c r="B37" s="978">
        <v>1974.79548</v>
      </c>
      <c r="C37" s="978">
        <v>1760.4720881999997</v>
      </c>
      <c r="D37" s="978">
        <v>894.88106099999982</v>
      </c>
      <c r="E37" s="978">
        <v>944.91474479999999</v>
      </c>
      <c r="F37" s="978">
        <v>1459.938087</v>
      </c>
      <c r="G37" s="978">
        <v>2.4892379999999998</v>
      </c>
      <c r="H37" s="978">
        <v>681.63633900000002</v>
      </c>
      <c r="I37" s="978">
        <v>679.47899940000002</v>
      </c>
      <c r="J37" s="978">
        <v>258.63182820000003</v>
      </c>
      <c r="K37" s="978">
        <v>32.609017799999997</v>
      </c>
      <c r="L37" s="978">
        <v>405.99471779999999</v>
      </c>
      <c r="M37" s="978">
        <v>0</v>
      </c>
      <c r="N37" s="978">
        <v>20.660675399999999</v>
      </c>
      <c r="O37" s="978">
        <v>767.51504999999997</v>
      </c>
      <c r="P37" s="978">
        <v>38.002366799999997</v>
      </c>
      <c r="Q37" s="978">
        <v>401.01624179999993</v>
      </c>
      <c r="R37" s="978">
        <v>71.358155999999994</v>
      </c>
      <c r="S37" s="978">
        <v>17.092767599999998</v>
      </c>
      <c r="T37" s="978">
        <v>635.17056299999956</v>
      </c>
      <c r="U37" s="978">
        <f t="shared" si="3"/>
        <v>11046.657421799997</v>
      </c>
      <c r="V37" s="726"/>
      <c r="W37" s="726"/>
      <c r="X37" s="726"/>
    </row>
    <row r="38" spans="1:24" s="39" customFormat="1" ht="13.5" customHeight="1">
      <c r="A38" s="841" t="s">
        <v>850</v>
      </c>
      <c r="B38" s="979">
        <v>2244.2131244000002</v>
      </c>
      <c r="C38" s="979">
        <v>2172.5857530000003</v>
      </c>
      <c r="D38" s="979">
        <v>883.8767600000001</v>
      </c>
      <c r="E38" s="979">
        <v>1050.9794984000002</v>
      </c>
      <c r="F38" s="979">
        <v>1610.1566260000002</v>
      </c>
      <c r="G38" s="979">
        <v>1.6676920000000002</v>
      </c>
      <c r="H38" s="979">
        <v>840.68353719999993</v>
      </c>
      <c r="I38" s="979">
        <v>751.62878440000009</v>
      </c>
      <c r="J38" s="979">
        <v>274.83564160000003</v>
      </c>
      <c r="K38" s="979">
        <v>35.5218396</v>
      </c>
      <c r="L38" s="979">
        <v>421.92607600000002</v>
      </c>
      <c r="M38" s="979">
        <v>8.3384600000000003E-2</v>
      </c>
      <c r="N38" s="979">
        <v>25.765841399999999</v>
      </c>
      <c r="O38" s="979">
        <v>838.84907600000008</v>
      </c>
      <c r="P38" s="979">
        <v>44.027068800000009</v>
      </c>
      <c r="Q38" s="979">
        <v>462.45099160000001</v>
      </c>
      <c r="R38" s="979">
        <v>68.62552580000002</v>
      </c>
      <c r="S38" s="979">
        <v>20.846150000000002</v>
      </c>
      <c r="T38" s="979">
        <v>800.49216000000047</v>
      </c>
      <c r="U38" s="979">
        <f t="shared" si="3"/>
        <v>12549.215530800002</v>
      </c>
      <c r="V38" s="726"/>
      <c r="W38" s="726"/>
      <c r="X38" s="726"/>
    </row>
    <row r="39" spans="1:24" s="39" customFormat="1" ht="13.5" customHeight="1">
      <c r="A39" s="846" t="s">
        <v>841</v>
      </c>
      <c r="B39" s="978">
        <v>1922.2771659999999</v>
      </c>
      <c r="C39" s="978">
        <v>2077.3751189999998</v>
      </c>
      <c r="D39" s="978">
        <v>646.84132799999998</v>
      </c>
      <c r="E39" s="978">
        <v>920.2087939999999</v>
      </c>
      <c r="F39" s="978">
        <v>1699.2140009999998</v>
      </c>
      <c r="G39" s="978">
        <v>1.0881129999999999</v>
      </c>
      <c r="H39" s="978">
        <v>733.38816199999997</v>
      </c>
      <c r="I39" s="978">
        <v>814.99663699999996</v>
      </c>
      <c r="J39" s="978">
        <v>252.86072099999996</v>
      </c>
      <c r="K39" s="978">
        <v>29.630153999999997</v>
      </c>
      <c r="L39" s="978">
        <v>375.06418100000002</v>
      </c>
      <c r="M39" s="978">
        <v>8.3700999999999998E-2</v>
      </c>
      <c r="N39" s="978">
        <v>25.445103999999997</v>
      </c>
      <c r="O39" s="978">
        <v>877.60498499999994</v>
      </c>
      <c r="P39" s="978">
        <v>42.687509999999989</v>
      </c>
      <c r="Q39" s="978">
        <v>421.68563800000004</v>
      </c>
      <c r="R39" s="978">
        <v>59.344008999999993</v>
      </c>
      <c r="S39" s="978">
        <v>13.810664999999997</v>
      </c>
      <c r="T39" s="978">
        <v>673.79305000000136</v>
      </c>
      <c r="U39" s="978">
        <f t="shared" si="3"/>
        <v>11587.399038000001</v>
      </c>
      <c r="V39" s="726"/>
      <c r="W39" s="726"/>
      <c r="X39" s="726"/>
    </row>
    <row r="40" spans="1:24" s="39" customFormat="1" ht="13.5" customHeight="1">
      <c r="A40" s="848" t="s">
        <v>2585</v>
      </c>
      <c r="B40" s="979"/>
      <c r="C40" s="979"/>
      <c r="D40" s="979"/>
      <c r="E40" s="979"/>
      <c r="F40" s="979"/>
      <c r="G40" s="979"/>
      <c r="H40" s="979"/>
      <c r="I40" s="979"/>
      <c r="J40" s="979"/>
      <c r="K40" s="979"/>
      <c r="L40" s="979"/>
      <c r="M40" s="979"/>
      <c r="N40" s="979"/>
      <c r="O40" s="979"/>
      <c r="P40" s="979"/>
      <c r="Q40" s="979"/>
      <c r="R40" s="979"/>
      <c r="S40" s="979"/>
      <c r="T40" s="979"/>
      <c r="U40" s="979"/>
      <c r="V40" s="726"/>
      <c r="W40" s="726"/>
      <c r="X40" s="726"/>
    </row>
    <row r="41" spans="1:24" s="39" customFormat="1" ht="13.5" customHeight="1">
      <c r="A41" s="846" t="s">
        <v>843</v>
      </c>
      <c r="B41" s="978">
        <v>2033.6332576000004</v>
      </c>
      <c r="C41" s="978">
        <v>1940.0038880000004</v>
      </c>
      <c r="D41" s="978">
        <v>651.80445759999998</v>
      </c>
      <c r="E41" s="978">
        <v>898.27246720000005</v>
      </c>
      <c r="F41" s="978">
        <v>1316.5897312000002</v>
      </c>
      <c r="G41" s="978">
        <v>37.1000096</v>
      </c>
      <c r="H41" s="978">
        <v>732.11802240000009</v>
      </c>
      <c r="I41" s="978">
        <v>638.2374112</v>
      </c>
      <c r="J41" s="978">
        <v>249.81789760000001</v>
      </c>
      <c r="K41" s="978">
        <v>29.730256000000004</v>
      </c>
      <c r="L41" s="978">
        <v>376.10867519999999</v>
      </c>
      <c r="M41" s="978">
        <v>0</v>
      </c>
      <c r="N41" s="978">
        <v>22.360502400000001</v>
      </c>
      <c r="O41" s="978">
        <v>783.53880320000007</v>
      </c>
      <c r="P41" s="978">
        <v>35.927548800000004</v>
      </c>
      <c r="Q41" s="978">
        <v>501.56198080000001</v>
      </c>
      <c r="R41" s="978">
        <v>61.97292800000001</v>
      </c>
      <c r="S41" s="978">
        <v>14.7395072</v>
      </c>
      <c r="T41" s="978">
        <v>715.87106560000007</v>
      </c>
      <c r="U41" s="978">
        <f t="shared" si="3"/>
        <v>11039.3884096</v>
      </c>
      <c r="V41" s="726"/>
      <c r="W41" s="726"/>
      <c r="X41" s="726"/>
    </row>
    <row r="42" spans="1:24" s="39" customFormat="1" ht="13.5" customHeight="1">
      <c r="A42" s="841" t="s">
        <v>844</v>
      </c>
      <c r="B42" s="979">
        <v>2250.44625</v>
      </c>
      <c r="C42" s="979">
        <v>1780.3575000000001</v>
      </c>
      <c r="D42" s="979">
        <v>814.55250000000001</v>
      </c>
      <c r="E42" s="979">
        <v>950.7299999999999</v>
      </c>
      <c r="F42" s="979">
        <v>1376.4312500000001</v>
      </c>
      <c r="G42" s="979">
        <v>1.92625</v>
      </c>
      <c r="H42" s="979">
        <v>726.61500000000001</v>
      </c>
      <c r="I42" s="979">
        <v>936.57625000000007</v>
      </c>
      <c r="J42" s="979">
        <v>261.80250000000001</v>
      </c>
      <c r="K42" s="979">
        <v>34.17</v>
      </c>
      <c r="L42" s="979">
        <v>375.45124999999996</v>
      </c>
      <c r="M42" s="979">
        <v>0</v>
      </c>
      <c r="N42" s="979">
        <v>26.967500000000001</v>
      </c>
      <c r="O42" s="979">
        <v>927.86625000000004</v>
      </c>
      <c r="P42" s="979">
        <v>44.303750000000001</v>
      </c>
      <c r="Q42" s="979">
        <v>515.39750000000004</v>
      </c>
      <c r="R42" s="979">
        <v>61.388750000000002</v>
      </c>
      <c r="S42" s="979">
        <v>15.242500000000001</v>
      </c>
      <c r="T42" s="979">
        <v>717.3187499999998</v>
      </c>
      <c r="U42" s="979">
        <f t="shared" si="3"/>
        <v>11817.543750000001</v>
      </c>
      <c r="V42" s="726"/>
      <c r="W42" s="726"/>
      <c r="X42" s="726"/>
    </row>
    <row r="43" spans="1:24" s="203" customFormat="1" ht="11.25" customHeight="1">
      <c r="A43" s="846" t="s">
        <v>838</v>
      </c>
      <c r="B43" s="978">
        <v>1802.97</v>
      </c>
      <c r="C43" s="978">
        <v>1362.5287499999999</v>
      </c>
      <c r="D43" s="978">
        <v>668.57624999999996</v>
      </c>
      <c r="E43" s="978">
        <v>806.93124999999986</v>
      </c>
      <c r="F43" s="978">
        <v>1044.865</v>
      </c>
      <c r="G43" s="978">
        <v>1.2562500000000001</v>
      </c>
      <c r="H43" s="978">
        <v>646.63374999999996</v>
      </c>
      <c r="I43" s="978">
        <v>615.05999999999995</v>
      </c>
      <c r="J43" s="978">
        <v>235.33750000000001</v>
      </c>
      <c r="K43" s="978">
        <v>28.72625</v>
      </c>
      <c r="L43" s="978">
        <v>278.13375000000002</v>
      </c>
      <c r="M43" s="978">
        <v>0</v>
      </c>
      <c r="N43" s="978">
        <v>22.026249999999997</v>
      </c>
      <c r="O43" s="978">
        <v>750.48374999999999</v>
      </c>
      <c r="P43" s="978">
        <v>27.05125</v>
      </c>
      <c r="Q43" s="978">
        <v>564.3075</v>
      </c>
      <c r="R43" s="978">
        <v>63.482500000000002</v>
      </c>
      <c r="S43" s="978">
        <v>12.981249999999999</v>
      </c>
      <c r="T43" s="978">
        <v>613.30125000000066</v>
      </c>
      <c r="U43" s="978">
        <f t="shared" si="3"/>
        <v>9544.6525000000001</v>
      </c>
      <c r="V43" s="21"/>
      <c r="W43" s="21"/>
      <c r="X43" s="21"/>
    </row>
    <row r="44" spans="1:24" s="203" customFormat="1" ht="11.25" customHeight="1">
      <c r="A44" s="841" t="s">
        <v>2846</v>
      </c>
      <c r="B44" s="979">
        <v>2046.8876306999998</v>
      </c>
      <c r="C44" s="979">
        <v>1622.1045951000001</v>
      </c>
      <c r="D44" s="979">
        <v>692.32594199999994</v>
      </c>
      <c r="E44" s="979">
        <v>869.17917899999998</v>
      </c>
      <c r="F44" s="979">
        <v>1176.6188345999999</v>
      </c>
      <c r="G44" s="979">
        <v>2.5145010000000001</v>
      </c>
      <c r="H44" s="979">
        <v>676.14931890000003</v>
      </c>
      <c r="I44" s="979">
        <v>634.07333549999998</v>
      </c>
      <c r="J44" s="979">
        <v>212.39151779999997</v>
      </c>
      <c r="K44" s="979">
        <v>45.093384599999993</v>
      </c>
      <c r="L44" s="979">
        <v>296.3758512</v>
      </c>
      <c r="M44" s="979">
        <v>0</v>
      </c>
      <c r="N44" s="979">
        <v>23.887759500000001</v>
      </c>
      <c r="O44" s="979">
        <v>780.3334769999999</v>
      </c>
      <c r="P44" s="979">
        <v>30.928362299999996</v>
      </c>
      <c r="Q44" s="979">
        <v>524.94399210000006</v>
      </c>
      <c r="R44" s="979">
        <v>63.030158399999991</v>
      </c>
      <c r="S44" s="979">
        <v>13.5783054</v>
      </c>
      <c r="T44" s="979">
        <v>675.3949685999994</v>
      </c>
      <c r="U44" s="979">
        <f t="shared" si="3"/>
        <v>10385.811113699998</v>
      </c>
      <c r="V44" s="21"/>
      <c r="W44" s="21"/>
      <c r="X44" s="21"/>
    </row>
    <row r="45" spans="1:24" s="203" customFormat="1" ht="11.25" customHeight="1" thickBot="1">
      <c r="A45" s="1440" t="s">
        <v>846</v>
      </c>
      <c r="B45" s="1656">
        <v>1851.8430065</v>
      </c>
      <c r="C45" s="1656">
        <v>1539.3303455</v>
      </c>
      <c r="D45" s="1656">
        <v>687.00783850000005</v>
      </c>
      <c r="E45" s="1656">
        <v>909.52423400000009</v>
      </c>
      <c r="F45" s="1656">
        <v>1053.8705275000002</v>
      </c>
      <c r="G45" s="1656">
        <v>2.2645845000000007</v>
      </c>
      <c r="H45" s="1656">
        <v>625.02532200000007</v>
      </c>
      <c r="I45" s="1656">
        <v>613.53465250000011</v>
      </c>
      <c r="J45" s="1656">
        <v>214.71616000000003</v>
      </c>
      <c r="K45" s="1656">
        <v>31.117068500000006</v>
      </c>
      <c r="L45" s="1656">
        <v>284.91827950000004</v>
      </c>
      <c r="M45" s="1656">
        <v>0</v>
      </c>
      <c r="N45" s="1656">
        <v>29.020231000000003</v>
      </c>
      <c r="O45" s="1656">
        <v>742.61596900000018</v>
      </c>
      <c r="P45" s="1656">
        <v>35.059123</v>
      </c>
      <c r="Q45" s="1656">
        <v>506.84756050000004</v>
      </c>
      <c r="R45" s="1656">
        <v>69.447258000000005</v>
      </c>
      <c r="S45" s="1656">
        <v>11.406796000000002</v>
      </c>
      <c r="T45" s="1656">
        <v>675.09780150000108</v>
      </c>
      <c r="U45" s="1656">
        <f t="shared" si="3"/>
        <v>9882.6467580000026</v>
      </c>
      <c r="V45" s="21"/>
      <c r="W45" s="21"/>
      <c r="X45" s="21"/>
    </row>
    <row r="46" spans="1:24" s="11" customFormat="1" ht="11.1" customHeight="1">
      <c r="A46" s="77" t="s">
        <v>1171</v>
      </c>
      <c r="B46" s="11" t="s">
        <v>2290</v>
      </c>
      <c r="C46" s="272"/>
      <c r="D46" s="272"/>
      <c r="E46" s="272"/>
      <c r="F46" s="272"/>
      <c r="G46" s="272"/>
      <c r="H46" s="272"/>
      <c r="I46" s="272"/>
      <c r="J46" s="272"/>
      <c r="K46" s="1171"/>
      <c r="L46" s="242"/>
      <c r="M46" s="1383"/>
      <c r="N46" s="145" t="s">
        <v>2806</v>
      </c>
      <c r="O46" s="274"/>
      <c r="P46" s="272"/>
      <c r="Q46" s="272"/>
      <c r="R46" s="274"/>
      <c r="S46" s="274"/>
      <c r="T46" s="21"/>
      <c r="U46" s="200"/>
    </row>
    <row r="47" spans="1:24" s="11" customFormat="1">
      <c r="C47" s="7"/>
      <c r="D47" s="7"/>
      <c r="E47" s="7"/>
      <c r="F47" s="7"/>
      <c r="G47" s="7"/>
      <c r="H47" s="7"/>
      <c r="I47" s="7"/>
      <c r="J47" s="7"/>
      <c r="M47" s="35"/>
      <c r="N47" s="35"/>
      <c r="O47" s="35"/>
      <c r="P47" s="35"/>
      <c r="Q47" s="35"/>
      <c r="R47" s="35"/>
      <c r="S47" s="35"/>
      <c r="T47" s="35"/>
      <c r="U47" s="35"/>
    </row>
    <row r="48" spans="1:24" s="11" customFormat="1" ht="11.25" customHeight="1">
      <c r="U48" s="246"/>
      <c r="W48" s="246"/>
    </row>
    <row r="49" spans="1:25" s="252" customFormat="1">
      <c r="U49" s="979"/>
      <c r="W49" s="381"/>
    </row>
    <row r="50" spans="1:25" s="252" customFormat="1">
      <c r="U50" s="979"/>
      <c r="V50" s="381"/>
    </row>
    <row r="51" spans="1:25" s="252" customFormat="1">
      <c r="U51" s="979"/>
      <c r="V51" s="1554"/>
    </row>
    <row r="52" spans="1:25" s="252" customFormat="1" ht="12">
      <c r="B52" s="1685"/>
      <c r="C52" s="1685"/>
      <c r="D52" s="1685"/>
      <c r="E52" s="1685"/>
      <c r="F52" s="1685"/>
      <c r="G52" s="1685"/>
      <c r="H52" s="1685"/>
      <c r="I52" s="1685"/>
      <c r="J52" s="1685"/>
      <c r="K52" s="1685"/>
      <c r="L52" s="1685"/>
      <c r="M52" s="1685"/>
      <c r="N52" s="1685"/>
      <c r="O52" s="1685"/>
      <c r="P52" s="1685"/>
      <c r="Q52" s="1685"/>
      <c r="R52" s="1685"/>
      <c r="S52" s="1685"/>
      <c r="T52" s="1685"/>
      <c r="U52" s="979"/>
      <c r="V52" s="1554"/>
    </row>
    <row r="53" spans="1:25" s="252" customFormat="1" ht="12">
      <c r="B53" s="1685"/>
      <c r="C53" s="1685"/>
      <c r="D53" s="1685"/>
      <c r="E53" s="1685"/>
      <c r="F53" s="1685"/>
      <c r="G53" s="1685"/>
      <c r="H53" s="1685"/>
      <c r="I53" s="1685"/>
      <c r="J53" s="1685"/>
      <c r="K53" s="1685"/>
      <c r="L53" s="1685"/>
      <c r="M53" s="1685"/>
      <c r="N53" s="1685"/>
      <c r="O53" s="1685"/>
      <c r="P53" s="1685"/>
      <c r="Q53" s="1685"/>
      <c r="R53" s="1685"/>
      <c r="S53" s="1685"/>
      <c r="T53" s="1685"/>
      <c r="U53" s="979"/>
    </row>
    <row r="54" spans="1:25" s="11" customFormat="1" ht="12">
      <c r="B54" s="1562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</row>
    <row r="55" spans="1:25" s="252" customFormat="1">
      <c r="A55" s="11"/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</row>
    <row r="56" spans="1:25" s="11" customFormat="1">
      <c r="A56" s="252"/>
      <c r="B56" s="246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</row>
    <row r="57" spans="1:25" s="11" customFormat="1"/>
    <row r="58" spans="1:25" s="11" customFormat="1"/>
    <row r="59" spans="1:25" s="11" customFormat="1"/>
    <row r="60" spans="1:25" s="11" customFormat="1"/>
    <row r="61" spans="1:25" s="11" customFormat="1"/>
    <row r="62" spans="1:25" s="11" customFormat="1"/>
    <row r="63" spans="1:25" s="11" customFormat="1"/>
    <row r="64" spans="1:25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pans="1:21" s="11" customFormat="1"/>
    <row r="354" spans="1:21" s="11" customFormat="1"/>
    <row r="355" spans="1:21" s="11" customFormat="1"/>
    <row r="356" spans="1:2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</sheetData>
  <mergeCells count="3">
    <mergeCell ref="T1:U1"/>
    <mergeCell ref="T2:U2"/>
    <mergeCell ref="A1:J1"/>
  </mergeCells>
  <phoneticPr fontId="46" type="noConversion"/>
  <pageMargins left="0.55118110236220497" right="0.511811023622047" top="0.511811023622047" bottom="0.27559055118110198" header="0" footer="0.143700787"/>
  <pageSetup paperSize="141" firstPageNumber="84" orientation="portrait" useFirstPageNumber="1" r:id="rId1"/>
  <headerFooter>
    <oddFooter>&amp;C&amp;"Times New Roman,Regular"&amp;8&amp;P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3"/>
  <dimension ref="A1:BW79"/>
  <sheetViews>
    <sheetView zoomScale="130" zoomScaleNormal="13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53" sqref="G53"/>
    </sheetView>
  </sheetViews>
  <sheetFormatPr defaultColWidth="9.140625" defaultRowHeight="11.25"/>
  <cols>
    <col min="1" max="1" width="9.28515625" style="62" customWidth="1"/>
    <col min="2" max="2" width="9.85546875" style="11" customWidth="1"/>
    <col min="3" max="3" width="9.7109375" style="11" customWidth="1"/>
    <col min="4" max="4" width="10.140625" style="11" customWidth="1"/>
    <col min="5" max="5" width="11" style="11" customWidth="1"/>
    <col min="6" max="6" width="11.28515625" style="11" customWidth="1"/>
    <col min="7" max="7" width="11.85546875" style="11" customWidth="1"/>
    <col min="8" max="8" width="9.85546875" style="11" customWidth="1"/>
    <col min="9" max="9" width="9.5703125" style="11" customWidth="1"/>
    <col min="10" max="10" width="9.28515625" style="11" customWidth="1"/>
    <col min="11" max="11" width="9.7109375" style="11" customWidth="1"/>
    <col min="12" max="12" width="9.42578125" style="11" customWidth="1"/>
    <col min="13" max="13" width="8" style="11" customWidth="1"/>
    <col min="14" max="14" width="8.7109375" style="11" customWidth="1"/>
    <col min="15" max="15" width="7.5703125" style="11" customWidth="1"/>
    <col min="16" max="16" width="11.42578125" style="62" customWidth="1"/>
    <col min="17" max="17" width="10.7109375" style="11" customWidth="1"/>
    <col min="18" max="18" width="10.5703125" style="11" customWidth="1"/>
    <col min="19" max="19" width="10.7109375" style="11" customWidth="1"/>
    <col min="20" max="20" width="10.85546875" style="11" customWidth="1"/>
    <col min="21" max="21" width="10.5703125" style="11" customWidth="1"/>
    <col min="22" max="22" width="10.7109375" style="11" customWidth="1"/>
    <col min="23" max="23" width="9.85546875" style="11" customWidth="1"/>
    <col min="24" max="24" width="9.140625" style="11" customWidth="1"/>
    <col min="25" max="25" width="9.42578125" style="11" customWidth="1"/>
    <col min="26" max="26" width="9" style="11" customWidth="1"/>
    <col min="27" max="27" width="9.42578125" style="11" customWidth="1"/>
    <col min="28" max="29" width="9.7109375" style="11" customWidth="1"/>
    <col min="30" max="30" width="9.42578125" style="11" customWidth="1"/>
    <col min="31" max="31" width="10.42578125" style="62" customWidth="1"/>
    <col min="32" max="32" width="10.7109375" style="11" customWidth="1"/>
    <col min="33" max="34" width="10.85546875" style="11" customWidth="1"/>
    <col min="35" max="35" width="11.140625" style="11" customWidth="1"/>
    <col min="36" max="36" width="11.42578125" style="11" customWidth="1"/>
    <col min="37" max="37" width="9" style="11" customWidth="1"/>
    <col min="38" max="38" width="9.7109375" style="11" customWidth="1"/>
    <col min="39" max="39" width="9.5703125" style="11" customWidth="1"/>
    <col min="40" max="40" width="9.28515625" style="11" customWidth="1"/>
    <col min="41" max="41" width="9.42578125" style="11" customWidth="1"/>
    <col min="42" max="42" width="9.140625" style="11" customWidth="1"/>
    <col min="43" max="43" width="9.28515625" style="11" customWidth="1"/>
    <col min="44" max="44" width="10" style="11" customWidth="1"/>
    <col min="45" max="45" width="9.140625" style="11" customWidth="1"/>
    <col min="46" max="46" width="10.7109375" style="62" customWidth="1"/>
    <col min="47" max="47" width="10.85546875" style="11" customWidth="1"/>
    <col min="48" max="48" width="10.5703125" style="11" customWidth="1"/>
    <col min="49" max="49" width="10.28515625" style="11" customWidth="1"/>
    <col min="50" max="50" width="10.5703125" style="11" customWidth="1"/>
    <col min="51" max="51" width="11" style="11" customWidth="1"/>
    <col min="52" max="52" width="11.42578125" style="11" customWidth="1"/>
    <col min="53" max="53" width="9.85546875" style="11" customWidth="1"/>
    <col min="54" max="54" width="9.28515625" style="11" customWidth="1"/>
    <col min="55" max="55" width="9.85546875" style="11" customWidth="1"/>
    <col min="56" max="56" width="9.140625" style="11" customWidth="1"/>
    <col min="57" max="57" width="9.7109375" style="11" customWidth="1"/>
    <col min="58" max="58" width="8.7109375" style="11" customWidth="1"/>
    <col min="59" max="59" width="9" style="11" customWidth="1"/>
    <col min="60" max="60" width="9.28515625" style="11" customWidth="1"/>
    <col min="61" max="61" width="10" style="62" customWidth="1"/>
    <col min="62" max="62" width="10.28515625" style="11" customWidth="1"/>
    <col min="63" max="63" width="10.42578125" style="11" customWidth="1"/>
    <col min="64" max="64" width="10.140625" style="11" customWidth="1"/>
    <col min="65" max="65" width="11" style="11" customWidth="1"/>
    <col min="66" max="66" width="10.7109375" style="11" customWidth="1"/>
    <col min="67" max="67" width="11.42578125" style="11" customWidth="1"/>
    <col min="68" max="68" width="10" style="11" customWidth="1"/>
    <col min="69" max="69" width="9.42578125" style="11" customWidth="1"/>
    <col min="70" max="70" width="9" style="11" customWidth="1"/>
    <col min="71" max="71" width="9.7109375" style="11" customWidth="1"/>
    <col min="72" max="72" width="9.28515625" style="11" customWidth="1"/>
    <col min="73" max="73" width="9.42578125" style="11" customWidth="1"/>
    <col min="74" max="74" width="9.5703125" style="11" customWidth="1"/>
    <col min="75" max="75" width="9.140625" style="11" customWidth="1"/>
    <col min="76" max="16384" width="9.140625" style="11"/>
  </cols>
  <sheetData>
    <row r="1" spans="1:75" s="180" customFormat="1" ht="14.25" customHeight="1">
      <c r="C1" s="72"/>
      <c r="D1" s="72"/>
      <c r="F1" s="1994" t="s">
        <v>563</v>
      </c>
      <c r="G1" s="1994"/>
      <c r="H1" s="194" t="s">
        <v>561</v>
      </c>
      <c r="M1" s="1994" t="s">
        <v>1863</v>
      </c>
      <c r="N1" s="1994"/>
      <c r="O1" s="1994"/>
      <c r="U1" s="1994" t="s">
        <v>563</v>
      </c>
      <c r="V1" s="1994"/>
      <c r="W1" s="194" t="s">
        <v>561</v>
      </c>
      <c r="AB1" s="1994" t="s">
        <v>1863</v>
      </c>
      <c r="AC1" s="1994"/>
      <c r="AD1" s="1994"/>
      <c r="AJ1" s="1994" t="s">
        <v>563</v>
      </c>
      <c r="AK1" s="1994"/>
      <c r="AL1" s="194" t="s">
        <v>561</v>
      </c>
      <c r="AQ1" s="1994" t="s">
        <v>1863</v>
      </c>
      <c r="AR1" s="1994"/>
      <c r="AS1" s="1994"/>
      <c r="AY1" s="1994" t="s">
        <v>563</v>
      </c>
      <c r="AZ1" s="1994"/>
      <c r="BA1" s="194" t="s">
        <v>561</v>
      </c>
      <c r="BF1" s="1994" t="s">
        <v>1863</v>
      </c>
      <c r="BG1" s="1994"/>
      <c r="BH1" s="1994"/>
      <c r="BN1" s="1994" t="s">
        <v>563</v>
      </c>
      <c r="BO1" s="1994"/>
      <c r="BP1" s="194" t="s">
        <v>561</v>
      </c>
      <c r="BU1" s="1994" t="s">
        <v>1864</v>
      </c>
      <c r="BV1" s="1994"/>
      <c r="BW1" s="1994"/>
    </row>
    <row r="2" spans="1:75" s="87" customFormat="1" ht="12.75" customHeight="1">
      <c r="G2" s="192" t="s">
        <v>560</v>
      </c>
      <c r="H2" s="15" t="s">
        <v>562</v>
      </c>
      <c r="I2" s="105"/>
      <c r="J2" s="105"/>
      <c r="K2" s="105"/>
      <c r="L2" s="105"/>
      <c r="M2" s="105"/>
      <c r="P2" s="105"/>
      <c r="Q2" s="105"/>
      <c r="R2" s="105"/>
      <c r="S2" s="105"/>
      <c r="T2" s="105"/>
      <c r="V2" s="192" t="s">
        <v>560</v>
      </c>
      <c r="W2" s="15" t="s">
        <v>562</v>
      </c>
      <c r="AC2" s="2186"/>
      <c r="AD2" s="2186"/>
      <c r="AK2" s="192" t="s">
        <v>560</v>
      </c>
      <c r="AL2" s="15" t="s">
        <v>562</v>
      </c>
      <c r="AZ2" s="192" t="s">
        <v>560</v>
      </c>
      <c r="BA2" s="15" t="s">
        <v>562</v>
      </c>
      <c r="BO2" s="192" t="s">
        <v>560</v>
      </c>
      <c r="BP2" s="15" t="s">
        <v>562</v>
      </c>
    </row>
    <row r="3" spans="1:75" s="113" customFormat="1" ht="11.25" customHeight="1">
      <c r="A3" s="2012" t="s">
        <v>764</v>
      </c>
      <c r="B3" s="2012" t="s">
        <v>919</v>
      </c>
      <c r="C3" s="2012"/>
      <c r="D3" s="2012" t="s">
        <v>798</v>
      </c>
      <c r="E3" s="2012"/>
      <c r="F3" s="2012" t="s">
        <v>799</v>
      </c>
      <c r="G3" s="2012"/>
      <c r="H3" s="2012" t="s">
        <v>800</v>
      </c>
      <c r="I3" s="2012"/>
      <c r="J3" s="2012" t="s">
        <v>84</v>
      </c>
      <c r="K3" s="2012"/>
      <c r="L3" s="2012" t="s">
        <v>801</v>
      </c>
      <c r="M3" s="2012"/>
      <c r="N3" s="2012" t="s">
        <v>2364</v>
      </c>
      <c r="O3" s="2012"/>
      <c r="P3" s="2012" t="s">
        <v>764</v>
      </c>
      <c r="Q3" s="1870" t="s">
        <v>86</v>
      </c>
      <c r="R3" s="1870"/>
      <c r="S3" s="2012" t="s">
        <v>802</v>
      </c>
      <c r="T3" s="2012"/>
      <c r="U3" s="2012" t="s">
        <v>803</v>
      </c>
      <c r="V3" s="2012"/>
      <c r="W3" s="2012" t="s">
        <v>306</v>
      </c>
      <c r="X3" s="2012"/>
      <c r="Y3" s="2012" t="s">
        <v>87</v>
      </c>
      <c r="Z3" s="2012"/>
      <c r="AA3" s="2012" t="s">
        <v>804</v>
      </c>
      <c r="AB3" s="2012"/>
      <c r="AC3" s="2012" t="s">
        <v>920</v>
      </c>
      <c r="AD3" s="2012"/>
      <c r="AE3" s="2012" t="s">
        <v>764</v>
      </c>
      <c r="AF3" s="2012" t="s">
        <v>307</v>
      </c>
      <c r="AG3" s="2012"/>
      <c r="AH3" s="2012" t="s">
        <v>805</v>
      </c>
      <c r="AI3" s="2012"/>
      <c r="AJ3" s="2012" t="s">
        <v>806</v>
      </c>
      <c r="AK3" s="2012"/>
      <c r="AL3" s="2012" t="s">
        <v>807</v>
      </c>
      <c r="AM3" s="2012"/>
      <c r="AN3" s="2012" t="s">
        <v>808</v>
      </c>
      <c r="AO3" s="2012"/>
      <c r="AP3" s="2012" t="s">
        <v>809</v>
      </c>
      <c r="AQ3" s="2012"/>
      <c r="AR3" s="2012" t="s">
        <v>810</v>
      </c>
      <c r="AS3" s="2012"/>
      <c r="AT3" s="2012" t="s">
        <v>764</v>
      </c>
      <c r="AU3" s="2012" t="s">
        <v>811</v>
      </c>
      <c r="AV3" s="2012"/>
      <c r="AW3" s="2012" t="s">
        <v>812</v>
      </c>
      <c r="AX3" s="2012"/>
      <c r="AY3" s="2012" t="s">
        <v>813</v>
      </c>
      <c r="AZ3" s="2012"/>
      <c r="BA3" s="2012" t="s">
        <v>308</v>
      </c>
      <c r="BB3" s="2012"/>
      <c r="BC3" s="2012" t="s">
        <v>814</v>
      </c>
      <c r="BD3" s="2012"/>
      <c r="BE3" s="2012" t="s">
        <v>815</v>
      </c>
      <c r="BF3" s="2012"/>
      <c r="BG3" s="2012" t="s">
        <v>645</v>
      </c>
      <c r="BH3" s="2012"/>
      <c r="BI3" s="2012" t="s">
        <v>764</v>
      </c>
      <c r="BJ3" s="2012" t="s">
        <v>989</v>
      </c>
      <c r="BK3" s="2012"/>
      <c r="BL3" s="2012" t="s">
        <v>921</v>
      </c>
      <c r="BM3" s="2012"/>
      <c r="BN3" s="2012" t="s">
        <v>816</v>
      </c>
      <c r="BO3" s="2012"/>
      <c r="BP3" s="2012" t="s">
        <v>309</v>
      </c>
      <c r="BQ3" s="2012"/>
      <c r="BR3" s="2012" t="s">
        <v>817</v>
      </c>
      <c r="BS3" s="2012"/>
      <c r="BT3" s="2012" t="s">
        <v>818</v>
      </c>
      <c r="BU3" s="2012"/>
      <c r="BV3" s="2012" t="s">
        <v>1936</v>
      </c>
      <c r="BW3" s="2012"/>
    </row>
    <row r="4" spans="1:75" s="1195" customFormat="1" ht="20.25" customHeight="1">
      <c r="A4" s="2012"/>
      <c r="B4" s="1873" t="s">
        <v>1715</v>
      </c>
      <c r="C4" s="1873" t="s">
        <v>1716</v>
      </c>
      <c r="D4" s="1873" t="s">
        <v>1715</v>
      </c>
      <c r="E4" s="1873" t="s">
        <v>1716</v>
      </c>
      <c r="F4" s="1873" t="s">
        <v>1715</v>
      </c>
      <c r="G4" s="1873" t="s">
        <v>1717</v>
      </c>
      <c r="H4" s="1873" t="s">
        <v>1715</v>
      </c>
      <c r="I4" s="1873" t="s">
        <v>1716</v>
      </c>
      <c r="J4" s="1873" t="s">
        <v>1715</v>
      </c>
      <c r="K4" s="1873" t="s">
        <v>1716</v>
      </c>
      <c r="L4" s="1873" t="s">
        <v>1715</v>
      </c>
      <c r="M4" s="1873" t="s">
        <v>1716</v>
      </c>
      <c r="N4" s="1873" t="s">
        <v>1715</v>
      </c>
      <c r="O4" s="1873" t="s">
        <v>1716</v>
      </c>
      <c r="P4" s="2012"/>
      <c r="Q4" s="1873" t="s">
        <v>1715</v>
      </c>
      <c r="R4" s="1873" t="s">
        <v>1716</v>
      </c>
      <c r="S4" s="1873" t="s">
        <v>1715</v>
      </c>
      <c r="T4" s="1873" t="s">
        <v>1716</v>
      </c>
      <c r="U4" s="1873" t="s">
        <v>1715</v>
      </c>
      <c r="V4" s="1873" t="s">
        <v>1717</v>
      </c>
      <c r="W4" s="1873" t="s">
        <v>1715</v>
      </c>
      <c r="X4" s="1873" t="s">
        <v>1716</v>
      </c>
      <c r="Y4" s="1873" t="s">
        <v>1715</v>
      </c>
      <c r="Z4" s="1873" t="s">
        <v>1716</v>
      </c>
      <c r="AA4" s="1873" t="s">
        <v>1715</v>
      </c>
      <c r="AB4" s="1873" t="s">
        <v>1716</v>
      </c>
      <c r="AC4" s="1873" t="s">
        <v>1715</v>
      </c>
      <c r="AD4" s="1873" t="s">
        <v>1716</v>
      </c>
      <c r="AE4" s="2012"/>
      <c r="AF4" s="1873" t="s">
        <v>1715</v>
      </c>
      <c r="AG4" s="1873" t="s">
        <v>1716</v>
      </c>
      <c r="AH4" s="1873" t="s">
        <v>1715</v>
      </c>
      <c r="AI4" s="1873" t="s">
        <v>1716</v>
      </c>
      <c r="AJ4" s="1873" t="s">
        <v>1715</v>
      </c>
      <c r="AK4" s="1873" t="s">
        <v>1717</v>
      </c>
      <c r="AL4" s="1873" t="s">
        <v>1715</v>
      </c>
      <c r="AM4" s="1873" t="s">
        <v>1716</v>
      </c>
      <c r="AN4" s="1873" t="s">
        <v>1715</v>
      </c>
      <c r="AO4" s="1873" t="s">
        <v>1716</v>
      </c>
      <c r="AP4" s="1873" t="s">
        <v>1715</v>
      </c>
      <c r="AQ4" s="1873" t="s">
        <v>1716</v>
      </c>
      <c r="AR4" s="1873" t="s">
        <v>1715</v>
      </c>
      <c r="AS4" s="1873" t="s">
        <v>1716</v>
      </c>
      <c r="AT4" s="2012"/>
      <c r="AU4" s="1873" t="s">
        <v>1715</v>
      </c>
      <c r="AV4" s="1873" t="s">
        <v>1716</v>
      </c>
      <c r="AW4" s="1873" t="s">
        <v>1715</v>
      </c>
      <c r="AX4" s="1873" t="s">
        <v>1716</v>
      </c>
      <c r="AY4" s="1873" t="s">
        <v>1715</v>
      </c>
      <c r="AZ4" s="1873" t="s">
        <v>1717</v>
      </c>
      <c r="BA4" s="1873" t="s">
        <v>1715</v>
      </c>
      <c r="BB4" s="1873" t="s">
        <v>1716</v>
      </c>
      <c r="BC4" s="1873" t="s">
        <v>1715</v>
      </c>
      <c r="BD4" s="1873" t="s">
        <v>1716</v>
      </c>
      <c r="BE4" s="1873" t="s">
        <v>1715</v>
      </c>
      <c r="BF4" s="1873" t="s">
        <v>1716</v>
      </c>
      <c r="BG4" s="1873" t="s">
        <v>1715</v>
      </c>
      <c r="BH4" s="1873" t="s">
        <v>1716</v>
      </c>
      <c r="BI4" s="2012"/>
      <c r="BJ4" s="1873" t="s">
        <v>1715</v>
      </c>
      <c r="BK4" s="1873" t="s">
        <v>1716</v>
      </c>
      <c r="BL4" s="1873" t="s">
        <v>1715</v>
      </c>
      <c r="BM4" s="1873" t="s">
        <v>1716</v>
      </c>
      <c r="BN4" s="1873" t="s">
        <v>1715</v>
      </c>
      <c r="BO4" s="1873" t="s">
        <v>1717</v>
      </c>
      <c r="BP4" s="1873" t="s">
        <v>1715</v>
      </c>
      <c r="BQ4" s="1873" t="s">
        <v>1716</v>
      </c>
      <c r="BR4" s="1873" t="s">
        <v>1715</v>
      </c>
      <c r="BS4" s="1873" t="s">
        <v>1716</v>
      </c>
      <c r="BT4" s="1873" t="s">
        <v>1715</v>
      </c>
      <c r="BU4" s="1873" t="s">
        <v>1716</v>
      </c>
      <c r="BV4" s="1873" t="s">
        <v>1715</v>
      </c>
      <c r="BW4" s="1873" t="s">
        <v>1716</v>
      </c>
    </row>
    <row r="5" spans="1:75" s="1195" customFormat="1" ht="15.75" customHeight="1">
      <c r="A5" s="2012"/>
      <c r="B5" s="1874"/>
      <c r="C5" s="1874"/>
      <c r="D5" s="1874"/>
      <c r="E5" s="1874"/>
      <c r="F5" s="1874"/>
      <c r="G5" s="1874"/>
      <c r="H5" s="1874"/>
      <c r="I5" s="1874"/>
      <c r="J5" s="1874"/>
      <c r="K5" s="1874"/>
      <c r="L5" s="1874"/>
      <c r="M5" s="1874"/>
      <c r="N5" s="1874"/>
      <c r="O5" s="1874"/>
      <c r="P5" s="2012"/>
      <c r="Q5" s="1874"/>
      <c r="R5" s="1874"/>
      <c r="S5" s="1874"/>
      <c r="T5" s="1874"/>
      <c r="U5" s="1874"/>
      <c r="V5" s="1874"/>
      <c r="W5" s="1874"/>
      <c r="X5" s="1874"/>
      <c r="Y5" s="1874"/>
      <c r="Z5" s="1874"/>
      <c r="AA5" s="1874"/>
      <c r="AB5" s="1874"/>
      <c r="AC5" s="1874"/>
      <c r="AD5" s="1874"/>
      <c r="AE5" s="2012"/>
      <c r="AF5" s="1874"/>
      <c r="AG5" s="1874"/>
      <c r="AH5" s="1874"/>
      <c r="AI5" s="1874"/>
      <c r="AJ5" s="1874"/>
      <c r="AK5" s="1874"/>
      <c r="AL5" s="1874"/>
      <c r="AM5" s="1874"/>
      <c r="AN5" s="1874"/>
      <c r="AO5" s="1874"/>
      <c r="AP5" s="1874"/>
      <c r="AQ5" s="1874"/>
      <c r="AR5" s="1874"/>
      <c r="AS5" s="1874"/>
      <c r="AT5" s="2012"/>
      <c r="AU5" s="1874"/>
      <c r="AV5" s="1874"/>
      <c r="AW5" s="1874"/>
      <c r="AX5" s="1874"/>
      <c r="AY5" s="1874"/>
      <c r="AZ5" s="1874"/>
      <c r="BA5" s="1874"/>
      <c r="BB5" s="1874"/>
      <c r="BC5" s="1874"/>
      <c r="BD5" s="1874"/>
      <c r="BE5" s="1874"/>
      <c r="BF5" s="1874"/>
      <c r="BG5" s="1874"/>
      <c r="BH5" s="1874"/>
      <c r="BI5" s="2012"/>
      <c r="BJ5" s="1874"/>
      <c r="BK5" s="1874"/>
      <c r="BL5" s="1874"/>
      <c r="BM5" s="1874"/>
      <c r="BN5" s="1874"/>
      <c r="BO5" s="1874"/>
      <c r="BP5" s="1874"/>
      <c r="BQ5" s="1874"/>
      <c r="BR5" s="1874"/>
      <c r="BS5" s="1874"/>
      <c r="BT5" s="1874"/>
      <c r="BU5" s="1874"/>
      <c r="BV5" s="1874"/>
      <c r="BW5" s="1874"/>
    </row>
    <row r="6" spans="1:75" s="195" customFormat="1" ht="12">
      <c r="A6" s="2012"/>
      <c r="B6" s="191">
        <v>1</v>
      </c>
      <c r="C6" s="191">
        <v>2</v>
      </c>
      <c r="D6" s="191">
        <v>3</v>
      </c>
      <c r="E6" s="191">
        <v>4</v>
      </c>
      <c r="F6" s="191">
        <v>5</v>
      </c>
      <c r="G6" s="191">
        <v>6</v>
      </c>
      <c r="H6" s="191">
        <v>7</v>
      </c>
      <c r="I6" s="191">
        <v>8</v>
      </c>
      <c r="J6" s="191">
        <v>9</v>
      </c>
      <c r="K6" s="191">
        <v>10</v>
      </c>
      <c r="L6" s="191">
        <v>11</v>
      </c>
      <c r="M6" s="191">
        <v>12</v>
      </c>
      <c r="N6" s="191">
        <v>13</v>
      </c>
      <c r="O6" s="191">
        <v>14</v>
      </c>
      <c r="P6" s="2012"/>
      <c r="Q6" s="191">
        <v>15</v>
      </c>
      <c r="R6" s="191">
        <v>16</v>
      </c>
      <c r="S6" s="191">
        <v>17</v>
      </c>
      <c r="T6" s="191">
        <v>18</v>
      </c>
      <c r="U6" s="191">
        <v>19</v>
      </c>
      <c r="V6" s="191">
        <v>20</v>
      </c>
      <c r="W6" s="191">
        <v>21</v>
      </c>
      <c r="X6" s="191">
        <v>22</v>
      </c>
      <c r="Y6" s="191">
        <v>23</v>
      </c>
      <c r="Z6" s="191">
        <v>24</v>
      </c>
      <c r="AA6" s="191">
        <v>25</v>
      </c>
      <c r="AB6" s="191">
        <v>26</v>
      </c>
      <c r="AC6" s="191">
        <v>27</v>
      </c>
      <c r="AD6" s="191">
        <v>28</v>
      </c>
      <c r="AE6" s="2012"/>
      <c r="AF6" s="191">
        <v>29</v>
      </c>
      <c r="AG6" s="191">
        <v>30</v>
      </c>
      <c r="AH6" s="191">
        <v>31</v>
      </c>
      <c r="AI6" s="191">
        <v>32</v>
      </c>
      <c r="AJ6" s="191">
        <v>33</v>
      </c>
      <c r="AK6" s="191">
        <v>34</v>
      </c>
      <c r="AL6" s="191">
        <v>35</v>
      </c>
      <c r="AM6" s="191">
        <v>36</v>
      </c>
      <c r="AN6" s="191">
        <v>37</v>
      </c>
      <c r="AO6" s="191">
        <v>38</v>
      </c>
      <c r="AP6" s="191">
        <v>39</v>
      </c>
      <c r="AQ6" s="191">
        <v>40</v>
      </c>
      <c r="AR6" s="191">
        <v>41</v>
      </c>
      <c r="AS6" s="191">
        <v>42</v>
      </c>
      <c r="AT6" s="2012"/>
      <c r="AU6" s="191">
        <v>43</v>
      </c>
      <c r="AV6" s="191">
        <v>44</v>
      </c>
      <c r="AW6" s="191">
        <v>45</v>
      </c>
      <c r="AX6" s="191">
        <v>46</v>
      </c>
      <c r="AY6" s="191">
        <v>47</v>
      </c>
      <c r="AZ6" s="191">
        <v>48</v>
      </c>
      <c r="BA6" s="191">
        <v>49</v>
      </c>
      <c r="BB6" s="191">
        <v>50</v>
      </c>
      <c r="BC6" s="191">
        <v>51</v>
      </c>
      <c r="BD6" s="191">
        <v>52</v>
      </c>
      <c r="BE6" s="191">
        <v>53</v>
      </c>
      <c r="BF6" s="191">
        <v>54</v>
      </c>
      <c r="BG6" s="191">
        <v>55</v>
      </c>
      <c r="BH6" s="191">
        <v>56</v>
      </c>
      <c r="BI6" s="2012"/>
      <c r="BJ6" s="191">
        <v>57</v>
      </c>
      <c r="BK6" s="191">
        <v>58</v>
      </c>
      <c r="BL6" s="191">
        <v>59</v>
      </c>
      <c r="BM6" s="191">
        <v>60</v>
      </c>
      <c r="BN6" s="191">
        <v>61</v>
      </c>
      <c r="BO6" s="191">
        <v>62</v>
      </c>
      <c r="BP6" s="191">
        <v>63</v>
      </c>
      <c r="BQ6" s="191">
        <v>64</v>
      </c>
      <c r="BR6" s="191">
        <v>65</v>
      </c>
      <c r="BS6" s="191">
        <v>66</v>
      </c>
      <c r="BT6" s="191">
        <v>67</v>
      </c>
      <c r="BU6" s="191">
        <v>68</v>
      </c>
      <c r="BV6" s="191">
        <v>69</v>
      </c>
      <c r="BW6" s="191">
        <v>70</v>
      </c>
    </row>
    <row r="7" spans="1:75" ht="11.1" customHeight="1">
      <c r="A7" s="513" t="s">
        <v>851</v>
      </c>
      <c r="B7" s="480">
        <v>54.28</v>
      </c>
      <c r="C7" s="445">
        <v>58.35</v>
      </c>
      <c r="D7" s="480">
        <v>69.03</v>
      </c>
      <c r="E7" s="445">
        <v>68.8</v>
      </c>
      <c r="F7" s="480">
        <v>182.61</v>
      </c>
      <c r="G7" s="445">
        <v>181.82</v>
      </c>
      <c r="H7" s="480">
        <v>61.01</v>
      </c>
      <c r="I7" s="445">
        <v>64.59</v>
      </c>
      <c r="J7" s="480">
        <v>8.83</v>
      </c>
      <c r="K7" s="480">
        <v>9.0299999999999994</v>
      </c>
      <c r="L7" s="480">
        <v>12.09</v>
      </c>
      <c r="M7" s="480">
        <v>12.51</v>
      </c>
      <c r="N7" s="480">
        <v>90.17</v>
      </c>
      <c r="O7" s="480">
        <v>93.11</v>
      </c>
      <c r="P7" s="459" t="s">
        <v>851</v>
      </c>
      <c r="Q7" s="480">
        <v>8.86</v>
      </c>
      <c r="R7" s="480">
        <v>8.8000000000000007</v>
      </c>
      <c r="S7" s="480">
        <v>1.57</v>
      </c>
      <c r="T7" s="480">
        <v>1.7</v>
      </c>
      <c r="U7" s="480">
        <v>0.01</v>
      </c>
      <c r="V7" s="480">
        <v>0.01</v>
      </c>
      <c r="W7" s="480">
        <v>0.01</v>
      </c>
      <c r="X7" s="480">
        <v>0.01</v>
      </c>
      <c r="Y7" s="480">
        <v>0.57999999999999996</v>
      </c>
      <c r="Z7" s="480">
        <v>0.56000000000000005</v>
      </c>
      <c r="AA7" s="480">
        <v>238.76</v>
      </c>
      <c r="AB7" s="480">
        <v>237.98</v>
      </c>
      <c r="AC7" s="480">
        <v>19.43</v>
      </c>
      <c r="AD7" s="480">
        <v>19.93</v>
      </c>
      <c r="AE7" s="513" t="s">
        <v>851</v>
      </c>
      <c r="AF7" s="480">
        <v>12.2</v>
      </c>
      <c r="AG7" s="480">
        <v>10.72</v>
      </c>
      <c r="AH7" s="480">
        <v>0.98</v>
      </c>
      <c r="AI7" s="480">
        <v>1.05</v>
      </c>
      <c r="AJ7" s="480">
        <v>47.4</v>
      </c>
      <c r="AK7" s="480">
        <v>53.08</v>
      </c>
      <c r="AL7" s="480">
        <v>11.07</v>
      </c>
      <c r="AM7" s="480">
        <v>11.66</v>
      </c>
      <c r="AN7" s="480">
        <v>179.29</v>
      </c>
      <c r="AO7" s="480">
        <v>178.7</v>
      </c>
      <c r="AP7" s="480">
        <v>1.1399999999999999</v>
      </c>
      <c r="AQ7" s="480">
        <v>1.1399999999999999</v>
      </c>
      <c r="AR7" s="480">
        <v>1.41</v>
      </c>
      <c r="AS7" s="480">
        <v>1.49</v>
      </c>
      <c r="AT7" s="513" t="s">
        <v>851</v>
      </c>
      <c r="AU7" s="480">
        <v>18.96</v>
      </c>
      <c r="AV7" s="480">
        <v>18.899999999999999</v>
      </c>
      <c r="AW7" s="480">
        <v>2.62</v>
      </c>
      <c r="AX7" s="480">
        <v>2.68</v>
      </c>
      <c r="AY7" s="480">
        <v>18.41</v>
      </c>
      <c r="AZ7" s="480">
        <v>18.34</v>
      </c>
      <c r="BA7" s="480">
        <v>7.0000000000000007E-2</v>
      </c>
      <c r="BB7" s="480">
        <v>7.0000000000000007E-2</v>
      </c>
      <c r="BC7" s="480">
        <v>44.59</v>
      </c>
      <c r="BD7" s="480">
        <v>44.93</v>
      </c>
      <c r="BE7" s="480">
        <v>9.8000000000000007</v>
      </c>
      <c r="BF7" s="480">
        <v>10.08</v>
      </c>
      <c r="BG7" s="480">
        <v>0.64</v>
      </c>
      <c r="BH7" s="480">
        <v>0.62</v>
      </c>
      <c r="BI7" s="459" t="s">
        <v>851</v>
      </c>
      <c r="BJ7" s="480">
        <v>56.06</v>
      </c>
      <c r="BK7" s="480">
        <v>56.28</v>
      </c>
      <c r="BL7" s="480">
        <v>1.32</v>
      </c>
      <c r="BM7" s="480">
        <v>1.31</v>
      </c>
      <c r="BN7" s="480">
        <v>103.35</v>
      </c>
      <c r="BO7" s="480">
        <v>104.27</v>
      </c>
      <c r="BP7" s="480">
        <v>1.97</v>
      </c>
      <c r="BQ7" s="480">
        <v>2.17</v>
      </c>
      <c r="BR7" s="480">
        <v>18.84</v>
      </c>
      <c r="BS7" s="480">
        <v>18.899999999999999</v>
      </c>
      <c r="BT7" s="480">
        <v>69.03</v>
      </c>
      <c r="BU7" s="480">
        <v>68.8</v>
      </c>
      <c r="BV7" s="480">
        <v>133.44</v>
      </c>
      <c r="BW7" s="480">
        <v>138.15</v>
      </c>
    </row>
    <row r="8" spans="1:75" ht="11.1" customHeight="1">
      <c r="A8" s="379" t="s">
        <v>574</v>
      </c>
      <c r="B8" s="20">
        <v>61.53</v>
      </c>
      <c r="C8" s="20">
        <v>65.78</v>
      </c>
      <c r="D8" s="20">
        <v>68.599999999999994</v>
      </c>
      <c r="E8" s="20">
        <v>68.52</v>
      </c>
      <c r="F8" s="20">
        <v>183.95</v>
      </c>
      <c r="G8" s="20">
        <v>181.81</v>
      </c>
      <c r="H8" s="20">
        <v>67.819999999999993</v>
      </c>
      <c r="I8" s="20">
        <v>67.78</v>
      </c>
      <c r="J8" s="20">
        <v>9.44</v>
      </c>
      <c r="K8" s="20">
        <v>9.99</v>
      </c>
      <c r="L8" s="20">
        <v>13.54</v>
      </c>
      <c r="M8" s="20">
        <v>14.5</v>
      </c>
      <c r="N8" s="20">
        <v>100.96</v>
      </c>
      <c r="O8" s="20">
        <v>108.18</v>
      </c>
      <c r="P8" s="12" t="s">
        <v>574</v>
      </c>
      <c r="Q8" s="20">
        <v>8.8000000000000007</v>
      </c>
      <c r="R8" s="20">
        <v>8.7799999999999994</v>
      </c>
      <c r="S8" s="20">
        <v>1.71</v>
      </c>
      <c r="T8" s="20">
        <v>1.6</v>
      </c>
      <c r="U8" s="20">
        <v>0.01</v>
      </c>
      <c r="V8" s="20">
        <v>0.01</v>
      </c>
      <c r="W8" s="20">
        <v>0.01</v>
      </c>
      <c r="X8" s="20">
        <v>0.01</v>
      </c>
      <c r="Y8" s="20">
        <v>0.62</v>
      </c>
      <c r="Z8" s="20">
        <v>0.65</v>
      </c>
      <c r="AA8" s="20">
        <v>245.83</v>
      </c>
      <c r="AB8" s="20">
        <v>257.67</v>
      </c>
      <c r="AC8" s="20">
        <v>20.72</v>
      </c>
      <c r="AD8" s="20">
        <v>20.98</v>
      </c>
      <c r="AE8" s="379" t="s">
        <v>574</v>
      </c>
      <c r="AF8" s="20">
        <v>10.69</v>
      </c>
      <c r="AG8" s="20">
        <v>10.67</v>
      </c>
      <c r="AH8" s="20">
        <v>1.06</v>
      </c>
      <c r="AI8" s="20">
        <v>1</v>
      </c>
      <c r="AJ8" s="20">
        <v>52.75</v>
      </c>
      <c r="AK8" s="20">
        <v>52.1</v>
      </c>
      <c r="AL8" s="20">
        <v>12.74</v>
      </c>
      <c r="AM8" s="20">
        <v>13.53</v>
      </c>
      <c r="AN8" s="354">
        <v>178.24</v>
      </c>
      <c r="AO8" s="354">
        <v>177.94</v>
      </c>
      <c r="AP8" s="354">
        <v>1.1000000000000001</v>
      </c>
      <c r="AQ8" s="354">
        <v>1</v>
      </c>
      <c r="AR8" s="354">
        <v>1.6</v>
      </c>
      <c r="AS8" s="354">
        <v>1.53</v>
      </c>
      <c r="AT8" s="379" t="s">
        <v>574</v>
      </c>
      <c r="AU8" s="354">
        <v>18.850000000000001</v>
      </c>
      <c r="AV8" s="354">
        <v>18.84</v>
      </c>
      <c r="AW8" s="354">
        <v>2.8</v>
      </c>
      <c r="AX8" s="354">
        <v>2.93</v>
      </c>
      <c r="AY8" s="354">
        <v>18.32</v>
      </c>
      <c r="AZ8" s="354">
        <v>18.27</v>
      </c>
      <c r="BA8" s="354">
        <v>7.0000000000000007E-2</v>
      </c>
      <c r="BB8" s="354">
        <v>7.0000000000000007E-2</v>
      </c>
      <c r="BC8" s="354">
        <v>47.84</v>
      </c>
      <c r="BD8" s="354">
        <v>50.26</v>
      </c>
      <c r="BE8" s="354">
        <v>10.82</v>
      </c>
      <c r="BF8" s="354">
        <v>11.46</v>
      </c>
      <c r="BG8" s="20">
        <v>0.63</v>
      </c>
      <c r="BH8" s="20">
        <v>0.64</v>
      </c>
      <c r="BI8" s="379" t="s">
        <v>574</v>
      </c>
      <c r="BJ8" s="20">
        <v>62</v>
      </c>
      <c r="BK8" s="21">
        <v>67.290000000000006</v>
      </c>
      <c r="BL8" s="20">
        <v>1.34</v>
      </c>
      <c r="BM8" s="20">
        <v>1.34</v>
      </c>
      <c r="BN8" s="20">
        <v>108.64</v>
      </c>
      <c r="BO8" s="20">
        <v>111.68</v>
      </c>
      <c r="BP8" s="20">
        <v>2.1800000000000002</v>
      </c>
      <c r="BQ8" s="20">
        <v>2.04</v>
      </c>
      <c r="BR8" s="20">
        <v>18.68</v>
      </c>
      <c r="BS8" s="20">
        <v>18.66</v>
      </c>
      <c r="BT8" s="20">
        <v>68.599999999999994</v>
      </c>
      <c r="BU8" s="20">
        <v>68.52</v>
      </c>
      <c r="BV8" s="20">
        <v>137.47999999999999</v>
      </c>
      <c r="BW8" s="20">
        <v>136.66</v>
      </c>
    </row>
    <row r="9" spans="1:75" ht="11.1" customHeight="1">
      <c r="A9" s="513" t="s">
        <v>114</v>
      </c>
      <c r="B9" s="480">
        <v>51.44</v>
      </c>
      <c r="C9" s="480">
        <v>55.81</v>
      </c>
      <c r="D9" s="480">
        <v>68.803333333333327</v>
      </c>
      <c r="E9" s="480">
        <v>69.06</v>
      </c>
      <c r="F9" s="480">
        <v>182.53</v>
      </c>
      <c r="G9" s="480">
        <v>183.21</v>
      </c>
      <c r="H9" s="480">
        <v>59.38</v>
      </c>
      <c r="I9" s="480">
        <v>59.71</v>
      </c>
      <c r="J9" s="480">
        <v>10.065</v>
      </c>
      <c r="K9" s="480">
        <v>10.11</v>
      </c>
      <c r="L9" s="480">
        <v>12.68</v>
      </c>
      <c r="M9" s="480">
        <v>13.06</v>
      </c>
      <c r="N9" s="480">
        <v>94.52</v>
      </c>
      <c r="O9" s="480">
        <v>97.26</v>
      </c>
      <c r="P9" s="459" t="s">
        <v>114</v>
      </c>
      <c r="Q9" s="480">
        <v>8.8633333333333315</v>
      </c>
      <c r="R9" s="480">
        <v>8.91</v>
      </c>
      <c r="S9" s="480">
        <v>1.4483333333333335</v>
      </c>
      <c r="T9" s="480">
        <v>1.44</v>
      </c>
      <c r="U9" s="480">
        <v>9.9999999999999985E-3</v>
      </c>
      <c r="V9" s="480">
        <v>0.01</v>
      </c>
      <c r="W9" s="480">
        <v>9.9999999999999985E-3</v>
      </c>
      <c r="X9" s="480">
        <v>0.01</v>
      </c>
      <c r="Y9" s="480">
        <v>0.69916666666666671</v>
      </c>
      <c r="Z9" s="480">
        <v>0.72</v>
      </c>
      <c r="AA9" s="480">
        <v>254.38416666666663</v>
      </c>
      <c r="AB9" s="480">
        <v>238.3</v>
      </c>
      <c r="AC9" s="480">
        <v>19.582499999999996</v>
      </c>
      <c r="AD9" s="480">
        <v>19.600000000000001</v>
      </c>
      <c r="AE9" s="513" t="s">
        <v>114</v>
      </c>
      <c r="AF9" s="480">
        <v>10.715833333333334</v>
      </c>
      <c r="AG9" s="480">
        <v>10.76</v>
      </c>
      <c r="AH9" s="480">
        <v>0.9</v>
      </c>
      <c r="AI9" s="480">
        <v>0.89</v>
      </c>
      <c r="AJ9" s="480">
        <v>41.83</v>
      </c>
      <c r="AK9" s="480">
        <v>44.93</v>
      </c>
      <c r="AL9" s="480">
        <v>10.91</v>
      </c>
      <c r="AM9" s="480">
        <v>10.62</v>
      </c>
      <c r="AN9" s="444">
        <v>178.72833333333332</v>
      </c>
      <c r="AO9" s="444">
        <v>179.35</v>
      </c>
      <c r="AP9" s="444">
        <v>0.8783333333333333</v>
      </c>
      <c r="AQ9" s="444">
        <v>0.85</v>
      </c>
      <c r="AR9" s="444">
        <v>1.4591666666666665</v>
      </c>
      <c r="AS9" s="444">
        <v>1.43</v>
      </c>
      <c r="AT9" s="513" t="s">
        <v>114</v>
      </c>
      <c r="AU9" s="444">
        <v>18.907499999999999</v>
      </c>
      <c r="AV9" s="444">
        <v>18.98</v>
      </c>
      <c r="AW9" s="444">
        <v>2.39</v>
      </c>
      <c r="AX9" s="444">
        <v>2.2200000000000002</v>
      </c>
      <c r="AY9" s="444">
        <v>18.336666666666666</v>
      </c>
      <c r="AZ9" s="444">
        <v>18.41</v>
      </c>
      <c r="BA9" s="444">
        <v>0.06</v>
      </c>
      <c r="BB9" s="444">
        <v>0.05</v>
      </c>
      <c r="BC9" s="444">
        <v>46.96</v>
      </c>
      <c r="BD9" s="444">
        <v>47.59</v>
      </c>
      <c r="BE9" s="444">
        <v>9.19</v>
      </c>
      <c r="BF9" s="444">
        <v>9.0299999999999994</v>
      </c>
      <c r="BG9" s="480">
        <v>0.61666666666666659</v>
      </c>
      <c r="BH9" s="480">
        <v>0.6</v>
      </c>
      <c r="BI9" s="513" t="s">
        <v>114</v>
      </c>
      <c r="BJ9" s="480">
        <v>61.44</v>
      </c>
      <c r="BK9" s="445">
        <v>63.78</v>
      </c>
      <c r="BL9" s="480">
        <v>1.4400000000000002</v>
      </c>
      <c r="BM9" s="480">
        <v>1.5</v>
      </c>
      <c r="BN9" s="480">
        <v>105.15</v>
      </c>
      <c r="BO9" s="480">
        <v>107.07</v>
      </c>
      <c r="BP9" s="480">
        <v>1.9883333333333333</v>
      </c>
      <c r="BQ9" s="480">
        <v>2.0299999999999998</v>
      </c>
      <c r="BR9" s="480">
        <v>18.736666666666668</v>
      </c>
      <c r="BS9" s="480">
        <v>18.8</v>
      </c>
      <c r="BT9" s="480">
        <v>68.8</v>
      </c>
      <c r="BU9" s="480">
        <v>69.06</v>
      </c>
      <c r="BV9" s="480">
        <v>111.17</v>
      </c>
      <c r="BW9" s="480">
        <v>114.42</v>
      </c>
    </row>
    <row r="10" spans="1:75" ht="11.1" customHeight="1">
      <c r="A10" s="379" t="s">
        <v>110</v>
      </c>
      <c r="B10" s="21">
        <v>61.05</v>
      </c>
      <c r="C10" s="21">
        <v>58.93</v>
      </c>
      <c r="D10" s="21">
        <v>69.180000000000007</v>
      </c>
      <c r="E10" s="21">
        <v>69.45</v>
      </c>
      <c r="F10" s="21">
        <v>183.54</v>
      </c>
      <c r="G10" s="21">
        <v>184.2</v>
      </c>
      <c r="H10" s="21">
        <v>65.569999999999993</v>
      </c>
      <c r="I10" s="21">
        <v>65.67</v>
      </c>
      <c r="J10" s="21">
        <v>10.130000000000001</v>
      </c>
      <c r="K10" s="21">
        <v>10.23</v>
      </c>
      <c r="L10" s="21">
        <v>12.93</v>
      </c>
      <c r="M10" s="21">
        <v>11.37</v>
      </c>
      <c r="N10" s="21">
        <v>96.24</v>
      </c>
      <c r="O10" s="21">
        <v>84.66</v>
      </c>
      <c r="P10" s="379" t="s">
        <v>110</v>
      </c>
      <c r="Q10" s="21">
        <v>8.92</v>
      </c>
      <c r="R10" s="21">
        <v>8.92</v>
      </c>
      <c r="S10" s="21">
        <v>1.49</v>
      </c>
      <c r="T10" s="21">
        <v>1.5</v>
      </c>
      <c r="U10" s="21">
        <v>0.01</v>
      </c>
      <c r="V10" s="21">
        <v>0.01</v>
      </c>
      <c r="W10" s="21">
        <v>0.01</v>
      </c>
      <c r="X10" s="21">
        <v>0.01</v>
      </c>
      <c r="Y10" s="21">
        <v>0.76</v>
      </c>
      <c r="Z10" s="21">
        <v>0.78</v>
      </c>
      <c r="AA10" s="21">
        <v>253.28</v>
      </c>
      <c r="AB10" s="21">
        <v>238.89</v>
      </c>
      <c r="AC10" s="21">
        <v>20.47</v>
      </c>
      <c r="AD10" s="21">
        <v>21.33</v>
      </c>
      <c r="AE10" s="379" t="s">
        <v>110</v>
      </c>
      <c r="AF10" s="21">
        <v>10.78</v>
      </c>
      <c r="AG10" s="21">
        <v>10.82</v>
      </c>
      <c r="AH10" s="21">
        <v>0.93</v>
      </c>
      <c r="AI10" s="21">
        <v>0.93</v>
      </c>
      <c r="AJ10" s="21">
        <v>48.64</v>
      </c>
      <c r="AK10" s="21">
        <v>48.06</v>
      </c>
      <c r="AL10" s="21">
        <v>11.61</v>
      </c>
      <c r="AM10" s="21">
        <v>10.67</v>
      </c>
      <c r="AN10" s="21">
        <v>179.7</v>
      </c>
      <c r="AO10" s="21">
        <v>180.38</v>
      </c>
      <c r="AP10" s="21">
        <v>0.83</v>
      </c>
      <c r="AQ10" s="21">
        <v>0.81</v>
      </c>
      <c r="AR10" s="21">
        <v>1.49</v>
      </c>
      <c r="AS10" s="21">
        <v>1.5</v>
      </c>
      <c r="AT10" s="379" t="s">
        <v>110</v>
      </c>
      <c r="AU10" s="21">
        <v>19.010000000000002</v>
      </c>
      <c r="AV10" s="21">
        <v>19.079999999999998</v>
      </c>
      <c r="AW10" s="21">
        <v>2.29</v>
      </c>
      <c r="AX10" s="21">
        <v>2.2200000000000002</v>
      </c>
      <c r="AY10" s="21">
        <v>18.63</v>
      </c>
      <c r="AZ10" s="21">
        <v>18.52</v>
      </c>
      <c r="BA10" s="21">
        <v>0.06</v>
      </c>
      <c r="BB10" s="21">
        <v>0.06</v>
      </c>
      <c r="BC10" s="21">
        <v>49.19</v>
      </c>
      <c r="BD10" s="21">
        <v>49.51</v>
      </c>
      <c r="BE10" s="21">
        <v>9.5399999999999991</v>
      </c>
      <c r="BF10" s="21">
        <v>8.94</v>
      </c>
      <c r="BG10" s="21">
        <v>0.61</v>
      </c>
      <c r="BH10" s="21">
        <v>0.61</v>
      </c>
      <c r="BI10" s="379" t="s">
        <v>110</v>
      </c>
      <c r="BJ10" s="21">
        <v>65.19</v>
      </c>
      <c r="BK10" s="21">
        <v>64.180000000000007</v>
      </c>
      <c r="BL10" s="21">
        <v>1.5</v>
      </c>
      <c r="BM10" s="21">
        <v>1.48</v>
      </c>
      <c r="BN10" s="21">
        <v>106.99</v>
      </c>
      <c r="BO10" s="21">
        <v>184.2</v>
      </c>
      <c r="BP10" s="21">
        <v>2.09</v>
      </c>
      <c r="BQ10" s="21">
        <v>2.14</v>
      </c>
      <c r="BR10" s="21">
        <v>18.84</v>
      </c>
      <c r="BS10" s="21">
        <v>18.91</v>
      </c>
      <c r="BT10" s="21">
        <v>69.180000000000007</v>
      </c>
      <c r="BU10" s="21">
        <v>69.45</v>
      </c>
      <c r="BV10" s="21">
        <v>109.42</v>
      </c>
      <c r="BW10" s="21">
        <v>104.62</v>
      </c>
    </row>
    <row r="11" spans="1:75" ht="11.1" customHeight="1">
      <c r="A11" s="513" t="s">
        <v>253</v>
      </c>
      <c r="B11" s="445">
        <v>70.510000000000005</v>
      </c>
      <c r="C11" s="445">
        <v>79.22</v>
      </c>
      <c r="D11" s="445">
        <v>71.17</v>
      </c>
      <c r="E11" s="445">
        <v>74.150000000000006</v>
      </c>
      <c r="F11" s="445">
        <v>188.78</v>
      </c>
      <c r="G11" s="445">
        <v>196.65</v>
      </c>
      <c r="H11" s="445">
        <v>71.12</v>
      </c>
      <c r="I11" s="445">
        <v>76.41</v>
      </c>
      <c r="J11" s="445">
        <v>10.74</v>
      </c>
      <c r="K11" s="445">
        <v>11.46</v>
      </c>
      <c r="L11" s="445">
        <v>13.03</v>
      </c>
      <c r="M11" s="445">
        <v>14.35</v>
      </c>
      <c r="N11" s="445">
        <v>97.14</v>
      </c>
      <c r="O11" s="445">
        <v>107.02</v>
      </c>
      <c r="P11" s="513" t="s">
        <v>253</v>
      </c>
      <c r="Q11" s="445">
        <v>9.15</v>
      </c>
      <c r="R11" s="445">
        <v>9.5299999999999994</v>
      </c>
      <c r="S11" s="445">
        <v>1.57</v>
      </c>
      <c r="T11" s="445">
        <v>1.66</v>
      </c>
      <c r="U11" s="445">
        <v>0.01</v>
      </c>
      <c r="V11" s="445">
        <v>0.01</v>
      </c>
      <c r="W11" s="445">
        <v>0.01</v>
      </c>
      <c r="X11" s="445">
        <v>0.01</v>
      </c>
      <c r="Y11" s="445">
        <v>0.86</v>
      </c>
      <c r="Z11" s="445">
        <v>0.92</v>
      </c>
      <c r="AA11" s="445">
        <v>253.51</v>
      </c>
      <c r="AB11" s="445">
        <v>270.16000000000003</v>
      </c>
      <c r="AC11" s="445">
        <v>23.09</v>
      </c>
      <c r="AD11" s="445">
        <v>24.56</v>
      </c>
      <c r="AE11" s="513" t="s">
        <v>253</v>
      </c>
      <c r="AF11" s="445">
        <v>11.09</v>
      </c>
      <c r="AG11" s="445">
        <v>11.55</v>
      </c>
      <c r="AH11" s="445">
        <v>0.98</v>
      </c>
      <c r="AI11" s="445">
        <v>1.03</v>
      </c>
      <c r="AJ11" s="445">
        <v>53.99</v>
      </c>
      <c r="AK11" s="445">
        <v>61.19</v>
      </c>
      <c r="AL11" s="445">
        <v>12.28</v>
      </c>
      <c r="AM11" s="445">
        <v>13.78</v>
      </c>
      <c r="AN11" s="445">
        <v>184.85</v>
      </c>
      <c r="AO11" s="445">
        <v>192.58</v>
      </c>
      <c r="AP11" s="445">
        <v>0.83</v>
      </c>
      <c r="AQ11" s="445">
        <v>0.86</v>
      </c>
      <c r="AR11" s="445">
        <v>1.62</v>
      </c>
      <c r="AS11" s="445">
        <v>1.71</v>
      </c>
      <c r="AT11" s="513" t="s">
        <v>253</v>
      </c>
      <c r="AU11" s="445">
        <v>19.55</v>
      </c>
      <c r="AV11" s="445">
        <v>20.36</v>
      </c>
      <c r="AW11" s="445">
        <v>2.41</v>
      </c>
      <c r="AX11" s="445">
        <v>2.65</v>
      </c>
      <c r="AY11" s="445">
        <v>18.98</v>
      </c>
      <c r="AZ11" s="445">
        <v>19.77</v>
      </c>
      <c r="BA11" s="445">
        <v>0.06</v>
      </c>
      <c r="BB11" s="445">
        <v>7.0000000000000007E-2</v>
      </c>
      <c r="BC11" s="445">
        <v>55.09</v>
      </c>
      <c r="BD11" s="445">
        <v>60.14</v>
      </c>
      <c r="BE11" s="445">
        <v>10.67</v>
      </c>
      <c r="BF11" s="445">
        <v>11.75</v>
      </c>
      <c r="BG11" s="445">
        <v>0.64</v>
      </c>
      <c r="BH11" s="445">
        <v>0.68</v>
      </c>
      <c r="BI11" s="513" t="s">
        <v>253</v>
      </c>
      <c r="BJ11" s="445">
        <v>74.92</v>
      </c>
      <c r="BK11" s="445">
        <v>88.84</v>
      </c>
      <c r="BL11" s="445">
        <v>1.52</v>
      </c>
      <c r="BM11" s="445">
        <v>1.56</v>
      </c>
      <c r="BN11" s="445">
        <v>110.89</v>
      </c>
      <c r="BO11" s="445">
        <v>118.42</v>
      </c>
      <c r="BP11" s="445">
        <v>2.33</v>
      </c>
      <c r="BQ11" s="445">
        <v>2.41</v>
      </c>
      <c r="BR11" s="445">
        <v>19.38</v>
      </c>
      <c r="BS11" s="445">
        <v>20.190000000000001</v>
      </c>
      <c r="BT11" s="445">
        <v>71.17</v>
      </c>
      <c r="BU11" s="445">
        <v>74.150000000000006</v>
      </c>
      <c r="BV11" s="445">
        <v>113.26</v>
      </c>
      <c r="BW11" s="445">
        <v>119.13</v>
      </c>
    </row>
    <row r="12" spans="1:75" ht="11.1" customHeight="1">
      <c r="A12" s="379" t="s">
        <v>1169</v>
      </c>
      <c r="B12" s="21">
        <v>81.650000000000006</v>
      </c>
      <c r="C12" s="21">
        <v>83.78</v>
      </c>
      <c r="D12" s="21">
        <v>79.099999999999994</v>
      </c>
      <c r="E12" s="21">
        <v>81.819999999999993</v>
      </c>
      <c r="F12" s="21">
        <v>209.8</v>
      </c>
      <c r="G12" s="21">
        <v>217.03</v>
      </c>
      <c r="H12" s="21">
        <v>78.84</v>
      </c>
      <c r="I12" s="21">
        <v>80.45</v>
      </c>
      <c r="J12" s="21">
        <v>12.47</v>
      </c>
      <c r="K12" s="21">
        <v>12.94</v>
      </c>
      <c r="L12" s="21">
        <v>14.22</v>
      </c>
      <c r="M12" s="21">
        <v>13.91</v>
      </c>
      <c r="N12" s="21">
        <v>105.78</v>
      </c>
      <c r="O12" s="21">
        <v>103.45</v>
      </c>
      <c r="P12" s="379" t="s">
        <v>1169</v>
      </c>
      <c r="Q12" s="21">
        <v>10.18</v>
      </c>
      <c r="R12" s="21">
        <v>10.55</v>
      </c>
      <c r="S12" s="21">
        <v>1.58</v>
      </c>
      <c r="T12" s="21">
        <v>1.47</v>
      </c>
      <c r="U12" s="21">
        <v>0.01</v>
      </c>
      <c r="V12" s="21">
        <v>0.01</v>
      </c>
      <c r="W12" s="21">
        <v>0.01</v>
      </c>
      <c r="X12" s="21">
        <v>0.01</v>
      </c>
      <c r="Y12" s="21">
        <v>1.01</v>
      </c>
      <c r="Z12" s="21">
        <v>1.02</v>
      </c>
      <c r="AA12" s="21">
        <v>285.58</v>
      </c>
      <c r="AB12" s="21">
        <v>292.27</v>
      </c>
      <c r="AC12" s="21">
        <v>25.63</v>
      </c>
      <c r="AD12" s="21">
        <v>25.81</v>
      </c>
      <c r="AE12" s="379" t="s">
        <v>1169</v>
      </c>
      <c r="AF12" s="21">
        <v>12.32</v>
      </c>
      <c r="AG12" s="21">
        <v>12.74</v>
      </c>
      <c r="AH12" s="21">
        <v>0.99</v>
      </c>
      <c r="AI12" s="21">
        <v>0.9</v>
      </c>
      <c r="AJ12" s="21">
        <v>63.62</v>
      </c>
      <c r="AK12" s="21">
        <v>65.52</v>
      </c>
      <c r="AL12" s="21">
        <v>13.79</v>
      </c>
      <c r="AM12" s="21">
        <v>13.72</v>
      </c>
      <c r="AN12" s="21">
        <v>205.3</v>
      </c>
      <c r="AO12" s="21">
        <v>212.52</v>
      </c>
      <c r="AP12" s="21">
        <v>0.89</v>
      </c>
      <c r="AQ12" s="21">
        <v>0.87</v>
      </c>
      <c r="AR12" s="21">
        <v>1.84</v>
      </c>
      <c r="AS12" s="21">
        <v>1.94</v>
      </c>
      <c r="AT12" s="379" t="s">
        <v>1169</v>
      </c>
      <c r="AU12" s="21">
        <v>21.72</v>
      </c>
      <c r="AV12" s="21">
        <v>22.47</v>
      </c>
      <c r="AW12" s="21">
        <v>2.61</v>
      </c>
      <c r="AX12" s="21">
        <v>2.4900000000000002</v>
      </c>
      <c r="AY12" s="21">
        <v>21.09</v>
      </c>
      <c r="AZ12" s="21">
        <v>21.82</v>
      </c>
      <c r="BA12" s="21">
        <v>7.0000000000000007E-2</v>
      </c>
      <c r="BB12" s="21">
        <v>7.0000000000000007E-2</v>
      </c>
      <c r="BC12" s="21">
        <v>62.78</v>
      </c>
      <c r="BD12" s="21">
        <v>64.650000000000006</v>
      </c>
      <c r="BE12" s="21">
        <v>11.76</v>
      </c>
      <c r="BF12" s="21">
        <v>11.82</v>
      </c>
      <c r="BG12" s="21">
        <v>0.68</v>
      </c>
      <c r="BH12" s="21">
        <v>0.61</v>
      </c>
      <c r="BI12" s="379" t="s">
        <v>1169</v>
      </c>
      <c r="BJ12" s="21">
        <v>88.18</v>
      </c>
      <c r="BK12" s="21">
        <v>86.11</v>
      </c>
      <c r="BL12" s="21">
        <v>1.47</v>
      </c>
      <c r="BM12" s="21">
        <v>1.28</v>
      </c>
      <c r="BN12" s="21">
        <v>123.03</v>
      </c>
      <c r="BO12" s="21">
        <v>124.16</v>
      </c>
      <c r="BP12" s="21">
        <v>2.56</v>
      </c>
      <c r="BQ12" s="21">
        <v>2.59</v>
      </c>
      <c r="BR12" s="21">
        <v>21.53</v>
      </c>
      <c r="BS12" s="21">
        <v>22.28</v>
      </c>
      <c r="BT12" s="21">
        <v>79.099999999999994</v>
      </c>
      <c r="BU12" s="21">
        <v>81.819999999999993</v>
      </c>
      <c r="BV12" s="21">
        <v>125.28</v>
      </c>
      <c r="BW12" s="21">
        <v>128.19999999999999</v>
      </c>
    </row>
    <row r="13" spans="1:75" ht="11.1" customHeight="1">
      <c r="A13" s="513" t="s">
        <v>1361</v>
      </c>
      <c r="B13" s="445">
        <v>82.13</v>
      </c>
      <c r="C13" s="445">
        <v>71.099999999999994</v>
      </c>
      <c r="D13" s="445">
        <v>79.930000000000007</v>
      </c>
      <c r="E13" s="445">
        <v>77.77</v>
      </c>
      <c r="F13" s="445">
        <v>212.02</v>
      </c>
      <c r="G13" s="445">
        <v>206.27</v>
      </c>
      <c r="H13" s="445">
        <v>79.62</v>
      </c>
      <c r="I13" s="445">
        <v>73.900000000000006</v>
      </c>
      <c r="J13" s="445">
        <v>12.72</v>
      </c>
      <c r="K13" s="445">
        <v>12.59</v>
      </c>
      <c r="L13" s="445">
        <v>13.87</v>
      </c>
      <c r="M13" s="445">
        <v>13.57</v>
      </c>
      <c r="N13" s="445">
        <v>103.37</v>
      </c>
      <c r="O13" s="445">
        <v>101.19</v>
      </c>
      <c r="P13" s="513" t="s">
        <v>1361</v>
      </c>
      <c r="Q13" s="445">
        <v>10.31</v>
      </c>
      <c r="R13" s="445">
        <v>10.029999999999999</v>
      </c>
      <c r="S13" s="445">
        <v>1.46</v>
      </c>
      <c r="T13" s="445">
        <v>1.31</v>
      </c>
      <c r="U13" s="445">
        <v>0.01</v>
      </c>
      <c r="V13" s="445">
        <v>0.01</v>
      </c>
      <c r="W13" s="445">
        <v>0.01</v>
      </c>
      <c r="X13" s="445">
        <v>0.01</v>
      </c>
      <c r="Y13" s="445">
        <v>0.92</v>
      </c>
      <c r="Z13" s="445">
        <v>0.78</v>
      </c>
      <c r="AA13" s="445">
        <v>282.77999999999997</v>
      </c>
      <c r="AB13" s="445">
        <v>272.62</v>
      </c>
      <c r="AC13" s="445">
        <v>25.93</v>
      </c>
      <c r="AD13" s="445">
        <v>24.61</v>
      </c>
      <c r="AE13" s="513" t="s">
        <v>1361</v>
      </c>
      <c r="AF13" s="445">
        <v>12.45</v>
      </c>
      <c r="AG13" s="445">
        <v>12.11</v>
      </c>
      <c r="AH13" s="445">
        <v>0.91</v>
      </c>
      <c r="AI13" s="445">
        <v>0.81</v>
      </c>
      <c r="AJ13" s="445">
        <v>65.7</v>
      </c>
      <c r="AK13" s="445">
        <v>60.24</v>
      </c>
      <c r="AL13" s="445">
        <v>13.88</v>
      </c>
      <c r="AM13" s="445">
        <v>12.81</v>
      </c>
      <c r="AN13" s="445">
        <v>207.59</v>
      </c>
      <c r="AO13" s="445">
        <v>201.99</v>
      </c>
      <c r="AP13" s="445">
        <v>0.83</v>
      </c>
      <c r="AQ13" s="445">
        <v>0.78</v>
      </c>
      <c r="AR13" s="445">
        <v>1.93</v>
      </c>
      <c r="AS13" s="445">
        <v>1.8</v>
      </c>
      <c r="AT13" s="513" t="s">
        <v>1361</v>
      </c>
      <c r="AU13" s="445">
        <v>21.95</v>
      </c>
      <c r="AV13" s="445">
        <v>21.36</v>
      </c>
      <c r="AW13" s="445">
        <v>2.56</v>
      </c>
      <c r="AX13" s="445">
        <v>2.36</v>
      </c>
      <c r="AY13" s="445">
        <v>21.31</v>
      </c>
      <c r="AZ13" s="445">
        <v>20.74</v>
      </c>
      <c r="BA13" s="445">
        <v>7.0000000000000007E-2</v>
      </c>
      <c r="BB13" s="445">
        <v>7.0000000000000007E-2</v>
      </c>
      <c r="BC13" s="445">
        <v>64.540000000000006</v>
      </c>
      <c r="BD13" s="445">
        <v>61.36</v>
      </c>
      <c r="BE13" s="445">
        <v>12.12</v>
      </c>
      <c r="BF13" s="445">
        <v>11.6</v>
      </c>
      <c r="BG13" s="445">
        <v>0.62</v>
      </c>
      <c r="BH13" s="445">
        <v>0.6</v>
      </c>
      <c r="BI13" s="513" t="s">
        <v>1361</v>
      </c>
      <c r="BJ13" s="445">
        <v>84.91</v>
      </c>
      <c r="BK13" s="445">
        <v>82.32</v>
      </c>
      <c r="BL13" s="445">
        <v>1.1200000000000001</v>
      </c>
      <c r="BM13" s="445">
        <v>0.77</v>
      </c>
      <c r="BN13" s="445">
        <v>121.56</v>
      </c>
      <c r="BO13" s="445">
        <v>116.96</v>
      </c>
      <c r="BP13" s="445">
        <v>2.63</v>
      </c>
      <c r="BQ13" s="445">
        <v>2.5</v>
      </c>
      <c r="BR13" s="445">
        <v>21.76</v>
      </c>
      <c r="BS13" s="445">
        <v>21.17</v>
      </c>
      <c r="BT13" s="445">
        <v>79.930000000000007</v>
      </c>
      <c r="BU13" s="445">
        <v>77.77</v>
      </c>
      <c r="BV13" s="445">
        <v>125.45</v>
      </c>
      <c r="BW13" s="445">
        <v>118.24</v>
      </c>
    </row>
    <row r="14" spans="1:75" s="214" customFormat="1" ht="11.1" customHeight="1">
      <c r="A14" s="1009" t="s">
        <v>1693</v>
      </c>
      <c r="B14" s="514">
        <v>71.366500000000002</v>
      </c>
      <c r="C14" s="514">
        <v>73.17</v>
      </c>
      <c r="D14" s="514">
        <v>77.721800000000002</v>
      </c>
      <c r="E14" s="514">
        <v>77.63</v>
      </c>
      <c r="F14" s="514">
        <v>206.1584</v>
      </c>
      <c r="G14" s="514">
        <v>205.92</v>
      </c>
      <c r="H14" s="514">
        <v>72.688100000000006</v>
      </c>
      <c r="I14" s="514">
        <v>72.81</v>
      </c>
      <c r="J14" s="514">
        <v>12.6509</v>
      </c>
      <c r="K14" s="514">
        <v>12.62</v>
      </c>
      <c r="L14" s="514">
        <v>14.135199999999999</v>
      </c>
      <c r="M14" s="514">
        <v>14.21</v>
      </c>
      <c r="N14" s="514">
        <v>105.4555</v>
      </c>
      <c r="O14" s="514">
        <v>105.96</v>
      </c>
      <c r="P14" s="1009" t="s">
        <v>1693</v>
      </c>
      <c r="Q14" s="514">
        <v>10.021800000000001</v>
      </c>
      <c r="R14" s="514">
        <v>10.02</v>
      </c>
      <c r="S14" s="514">
        <v>1.2666999999999999</v>
      </c>
      <c r="T14" s="514">
        <v>1.29</v>
      </c>
      <c r="U14" s="514">
        <v>6.7999999999999996E-3</v>
      </c>
      <c r="V14" s="514">
        <v>0.01</v>
      </c>
      <c r="W14" s="514">
        <v>3.0999999999999999E-3</v>
      </c>
      <c r="X14" s="514">
        <v>0</v>
      </c>
      <c r="Y14" s="514">
        <v>0.76949999999999996</v>
      </c>
      <c r="Z14" s="514">
        <v>0.77</v>
      </c>
      <c r="AA14" s="514">
        <v>274.81169999999997</v>
      </c>
      <c r="AB14" s="514">
        <v>275.48</v>
      </c>
      <c r="AC14" s="514">
        <v>23.951899999999998</v>
      </c>
      <c r="AD14" s="514">
        <v>24.19</v>
      </c>
      <c r="AE14" s="1009" t="s">
        <v>1693</v>
      </c>
      <c r="AF14" s="514">
        <v>12.106199999999999</v>
      </c>
      <c r="AG14" s="514">
        <v>12.09</v>
      </c>
      <c r="AH14" s="514">
        <v>0.79120000000000001</v>
      </c>
      <c r="AI14" s="514">
        <v>0.81</v>
      </c>
      <c r="AJ14" s="514">
        <v>64.542199999999994</v>
      </c>
      <c r="AK14" s="514">
        <v>68.16</v>
      </c>
      <c r="AL14" s="514">
        <v>12.898300000000001</v>
      </c>
      <c r="AM14" s="514">
        <v>12.68</v>
      </c>
      <c r="AN14" s="514">
        <v>201.87649999999999</v>
      </c>
      <c r="AO14" s="514">
        <v>201.64</v>
      </c>
      <c r="AP14" s="514">
        <v>0.75619999999999998</v>
      </c>
      <c r="AQ14" s="514">
        <v>0.79</v>
      </c>
      <c r="AR14" s="514">
        <v>1.7890999999999999</v>
      </c>
      <c r="AS14" s="514">
        <v>1.78</v>
      </c>
      <c r="AT14" s="1009" t="s">
        <v>1693</v>
      </c>
      <c r="AU14" s="514">
        <v>21.345800000000001</v>
      </c>
      <c r="AV14" s="514">
        <v>21.32</v>
      </c>
      <c r="AW14" s="514">
        <v>2.3018000000000001</v>
      </c>
      <c r="AX14" s="514">
        <v>2.2999999999999998</v>
      </c>
      <c r="AY14" s="514">
        <v>20.723500000000001</v>
      </c>
      <c r="AZ14" s="514">
        <v>20.7</v>
      </c>
      <c r="BA14" s="514">
        <v>7.3099999999999998E-2</v>
      </c>
      <c r="BB14" s="514">
        <v>0.08</v>
      </c>
      <c r="BC14" s="514">
        <v>61.703600000000002</v>
      </c>
      <c r="BD14" s="514">
        <v>62.12</v>
      </c>
      <c r="BE14" s="514">
        <v>11.901199999999999</v>
      </c>
      <c r="BF14" s="514">
        <v>11.52</v>
      </c>
      <c r="BG14" s="514">
        <v>0.5927</v>
      </c>
      <c r="BH14" s="514">
        <v>0.6</v>
      </c>
      <c r="BI14" s="1009" t="s">
        <v>1693</v>
      </c>
      <c r="BJ14" s="514">
        <v>85.985900000000001</v>
      </c>
      <c r="BK14" s="514">
        <v>87.15</v>
      </c>
      <c r="BL14" s="514">
        <v>0.57769999999999999</v>
      </c>
      <c r="BM14" s="514">
        <v>0.52</v>
      </c>
      <c r="BN14" s="514">
        <v>119.22799999999999</v>
      </c>
      <c r="BO14" s="514">
        <v>119.87</v>
      </c>
      <c r="BP14" s="514">
        <v>2.4632000000000001</v>
      </c>
      <c r="BQ14" s="514">
        <v>2.39</v>
      </c>
      <c r="BR14" s="514">
        <v>21.160299999999999</v>
      </c>
      <c r="BS14" s="514">
        <v>21.14</v>
      </c>
      <c r="BT14" s="514">
        <v>77.721800000000002</v>
      </c>
      <c r="BU14" s="514">
        <v>77.63</v>
      </c>
      <c r="BV14" s="514">
        <v>126.401</v>
      </c>
      <c r="BW14" s="514">
        <v>132.24</v>
      </c>
    </row>
    <row r="15" spans="1:75" s="40" customFormat="1" ht="11.1" customHeight="1">
      <c r="A15" s="750" t="s">
        <v>1795</v>
      </c>
      <c r="B15" s="580">
        <v>65.014200000000002</v>
      </c>
      <c r="C15" s="580">
        <v>59.81</v>
      </c>
      <c r="D15" s="580">
        <v>77.674599999999998</v>
      </c>
      <c r="E15" s="580">
        <v>77.81</v>
      </c>
      <c r="F15" s="580">
        <v>206.0292</v>
      </c>
      <c r="G15" s="580">
        <v>206.35</v>
      </c>
      <c r="H15" s="580">
        <v>66.458699999999993</v>
      </c>
      <c r="I15" s="580">
        <v>62.78</v>
      </c>
      <c r="J15" s="580">
        <v>12.6549</v>
      </c>
      <c r="K15" s="580">
        <v>12.73</v>
      </c>
      <c r="L15" s="580">
        <v>12.5419</v>
      </c>
      <c r="M15" s="580">
        <v>11.72</v>
      </c>
      <c r="N15" s="580">
        <v>93.459400000000002</v>
      </c>
      <c r="O15" s="580">
        <v>87.43</v>
      </c>
      <c r="P15" s="750" t="s">
        <v>1795</v>
      </c>
      <c r="Q15" s="580">
        <v>10.017799999999999</v>
      </c>
      <c r="R15" s="580">
        <v>10.039999999999999</v>
      </c>
      <c r="S15" s="580">
        <v>1.2528999999999999</v>
      </c>
      <c r="T15" s="580">
        <v>1.22</v>
      </c>
      <c r="U15" s="580">
        <v>6.1999999999999998E-3</v>
      </c>
      <c r="V15" s="580">
        <v>0.01</v>
      </c>
      <c r="W15" s="580">
        <v>2.8E-3</v>
      </c>
      <c r="X15" s="580">
        <v>0</v>
      </c>
      <c r="Y15" s="580">
        <v>0.6804</v>
      </c>
      <c r="Z15" s="580">
        <v>0.63</v>
      </c>
      <c r="AA15" s="580">
        <v>265.0548</v>
      </c>
      <c r="AB15" s="580">
        <v>257.42</v>
      </c>
      <c r="AC15" s="580">
        <v>22.543600000000001</v>
      </c>
      <c r="AD15" s="580">
        <v>20.55</v>
      </c>
      <c r="AE15" s="750" t="s">
        <v>1795</v>
      </c>
      <c r="AF15" s="580">
        <v>7.5800000000000006E-2</v>
      </c>
      <c r="AG15" s="580">
        <v>7.0000000000000007E-2</v>
      </c>
      <c r="AH15" s="580">
        <v>0.78300000000000003</v>
      </c>
      <c r="AI15" s="580">
        <v>0.76</v>
      </c>
      <c r="AJ15" s="580">
        <v>60.438099999999999</v>
      </c>
      <c r="AK15" s="580">
        <v>53.34</v>
      </c>
      <c r="AL15" s="580">
        <v>10.959300000000001</v>
      </c>
      <c r="AM15" s="580">
        <v>9.9</v>
      </c>
      <c r="AN15" s="580">
        <v>201.7544</v>
      </c>
      <c r="AO15" s="580">
        <v>202.12</v>
      </c>
      <c r="AP15" s="580">
        <v>0.76639999999999997</v>
      </c>
      <c r="AQ15" s="580">
        <v>0.76</v>
      </c>
      <c r="AR15" s="580">
        <v>1.7483</v>
      </c>
      <c r="AS15" s="580">
        <v>1.72</v>
      </c>
      <c r="AT15" s="750" t="s">
        <v>1795</v>
      </c>
      <c r="AU15" s="580">
        <v>21.332699999999999</v>
      </c>
      <c r="AV15" s="580">
        <v>21.37</v>
      </c>
      <c r="AW15" s="580">
        <v>1.6351</v>
      </c>
      <c r="AX15" s="580">
        <v>1.4</v>
      </c>
      <c r="AY15" s="580">
        <v>20.705300000000001</v>
      </c>
      <c r="AZ15" s="580">
        <v>20.74</v>
      </c>
      <c r="BA15" s="580">
        <v>7.2099999999999997E-2</v>
      </c>
      <c r="BB15" s="580">
        <v>7.0000000000000007E-2</v>
      </c>
      <c r="BC15" s="580">
        <v>59.317100000000003</v>
      </c>
      <c r="BD15" s="580">
        <v>57.8</v>
      </c>
      <c r="BE15" s="580">
        <v>10.058400000000001</v>
      </c>
      <c r="BF15" s="580">
        <v>9.44</v>
      </c>
      <c r="BG15" s="580">
        <v>0.58940000000000003</v>
      </c>
      <c r="BH15" s="580">
        <v>0.57999999999999996</v>
      </c>
      <c r="BI15" s="750" t="s">
        <v>1795</v>
      </c>
      <c r="BJ15" s="580">
        <v>82.442999999999998</v>
      </c>
      <c r="BK15" s="580">
        <v>84.03</v>
      </c>
      <c r="BL15" s="580">
        <v>0.43109999999999998</v>
      </c>
      <c r="BM15" s="580">
        <v>0.36</v>
      </c>
      <c r="BN15" s="580">
        <v>112.64660000000001</v>
      </c>
      <c r="BO15" s="580">
        <v>109.18</v>
      </c>
      <c r="BP15" s="580">
        <v>2.3778999999999999</v>
      </c>
      <c r="BQ15" s="580">
        <v>2.2999999999999998</v>
      </c>
      <c r="BR15" s="580">
        <v>21.147400000000001</v>
      </c>
      <c r="BS15" s="580">
        <v>21.18</v>
      </c>
      <c r="BT15" s="580">
        <v>77.674599999999998</v>
      </c>
      <c r="BU15" s="580">
        <v>77.81</v>
      </c>
      <c r="BV15" s="580">
        <v>122.4104</v>
      </c>
      <c r="BW15" s="580">
        <v>122.42</v>
      </c>
    </row>
    <row r="16" spans="1:75" s="394" customFormat="1" ht="11.1" customHeight="1">
      <c r="A16" s="949" t="s">
        <v>1996</v>
      </c>
      <c r="B16" s="1045">
        <v>57.023499999999999</v>
      </c>
      <c r="C16" s="1045">
        <v>58.42</v>
      </c>
      <c r="D16" s="1045">
        <v>78.2637</v>
      </c>
      <c r="E16" s="1045">
        <v>78.400000000000006</v>
      </c>
      <c r="F16" s="1045">
        <v>207.56620000000001</v>
      </c>
      <c r="G16" s="1045">
        <v>207.76</v>
      </c>
      <c r="H16" s="1045">
        <v>59.080199999999998</v>
      </c>
      <c r="I16" s="1045">
        <v>60.63</v>
      </c>
      <c r="J16" s="1045">
        <v>12.1837</v>
      </c>
      <c r="K16" s="1045">
        <v>11.82</v>
      </c>
      <c r="L16" s="1045">
        <v>11.653600000000001</v>
      </c>
      <c r="M16" s="1045">
        <v>11.73</v>
      </c>
      <c r="N16" s="1045">
        <v>86.882900000000006</v>
      </c>
      <c r="O16" s="1045">
        <v>87.21</v>
      </c>
      <c r="P16" s="949" t="s">
        <v>1996</v>
      </c>
      <c r="Q16" s="1045">
        <v>10.0863</v>
      </c>
      <c r="R16" s="1045">
        <v>10.1</v>
      </c>
      <c r="S16" s="1045">
        <v>1.1812</v>
      </c>
      <c r="T16" s="1045">
        <v>1.1599999999999999</v>
      </c>
      <c r="U16" s="1045">
        <v>5.7999999999999996E-3</v>
      </c>
      <c r="V16" s="1045">
        <v>0.01</v>
      </c>
      <c r="W16" s="1045">
        <v>2.5999999999999999E-3</v>
      </c>
      <c r="X16" s="1045">
        <v>0</v>
      </c>
      <c r="Y16" s="1045">
        <v>0.67200000000000004</v>
      </c>
      <c r="Z16" s="1045">
        <v>0.76</v>
      </c>
      <c r="AA16" s="1045">
        <v>258.94290000000001</v>
      </c>
      <c r="AB16" s="1045">
        <v>259.52</v>
      </c>
      <c r="AC16" s="1045">
        <v>18.955200000000001</v>
      </c>
      <c r="AD16" s="1045">
        <v>19.5</v>
      </c>
      <c r="AE16" s="949" t="s">
        <v>1996</v>
      </c>
      <c r="AF16" s="1045">
        <v>6.3100000000000003E-2</v>
      </c>
      <c r="AG16" s="1045">
        <v>7.0000000000000007E-2</v>
      </c>
      <c r="AH16" s="1045">
        <v>0.73850000000000005</v>
      </c>
      <c r="AI16" s="1045">
        <v>0.72</v>
      </c>
      <c r="AJ16" s="1045">
        <v>52.3</v>
      </c>
      <c r="AK16" s="1045">
        <v>55.76</v>
      </c>
      <c r="AL16" s="1045">
        <v>9.3177000000000003</v>
      </c>
      <c r="AM16" s="1045">
        <v>9.34</v>
      </c>
      <c r="AN16" s="1045">
        <v>203.2773</v>
      </c>
      <c r="AO16" s="1045">
        <v>203.63</v>
      </c>
      <c r="AP16" s="1045">
        <v>0.75029999999999997</v>
      </c>
      <c r="AQ16" s="1045">
        <v>0.75</v>
      </c>
      <c r="AR16" s="1045">
        <v>1.6767000000000001</v>
      </c>
      <c r="AS16" s="1045">
        <v>1.67</v>
      </c>
      <c r="AT16" s="949" t="s">
        <v>1996</v>
      </c>
      <c r="AU16" s="1045">
        <v>21.494900000000001</v>
      </c>
      <c r="AV16" s="1045">
        <v>21.53</v>
      </c>
      <c r="AW16" s="1045">
        <v>1.1691</v>
      </c>
      <c r="AX16" s="1045">
        <v>1.22</v>
      </c>
      <c r="AY16" s="1045">
        <v>20.8674</v>
      </c>
      <c r="AZ16" s="1045">
        <v>20.9</v>
      </c>
      <c r="BA16" s="1045">
        <v>6.6699999999999995E-2</v>
      </c>
      <c r="BB16" s="1045">
        <v>7.0000000000000007E-2</v>
      </c>
      <c r="BC16" s="1045">
        <v>56.334699999999998</v>
      </c>
      <c r="BD16" s="1045">
        <v>58.16</v>
      </c>
      <c r="BE16" s="1045">
        <v>9.3073999999999995</v>
      </c>
      <c r="BF16" s="1045">
        <v>9.25</v>
      </c>
      <c r="BG16" s="1045">
        <v>0.55110000000000003</v>
      </c>
      <c r="BH16" s="1045">
        <v>0.54</v>
      </c>
      <c r="BI16" s="949" t="s">
        <v>1996</v>
      </c>
      <c r="BJ16" s="1045">
        <v>79.908100000000005</v>
      </c>
      <c r="BK16" s="1045">
        <v>80.02</v>
      </c>
      <c r="BL16" s="1045">
        <v>0.35630000000000001</v>
      </c>
      <c r="BM16" s="1045">
        <v>0.36</v>
      </c>
      <c r="BN16" s="1045">
        <v>109.4175</v>
      </c>
      <c r="BO16" s="1045">
        <v>109.44</v>
      </c>
      <c r="BP16" s="1045">
        <v>2.2054999999999998</v>
      </c>
      <c r="BQ16" s="1045">
        <v>2.2200000000000002</v>
      </c>
      <c r="BR16" s="1045">
        <v>21.308199999999999</v>
      </c>
      <c r="BS16" s="1045">
        <v>21.35</v>
      </c>
      <c r="BT16" s="1045">
        <v>78.2637</v>
      </c>
      <c r="BU16" s="1045">
        <v>78.400000000000006</v>
      </c>
      <c r="BV16" s="1045">
        <v>116.15600000000001</v>
      </c>
      <c r="BW16" s="1045">
        <v>105.25</v>
      </c>
    </row>
    <row r="17" spans="1:75" s="394" customFormat="1" ht="11.1" customHeight="1">
      <c r="A17" s="829" t="s">
        <v>2092</v>
      </c>
      <c r="B17" s="830">
        <v>59.658900000000003</v>
      </c>
      <c r="C17" s="830">
        <f>C29</f>
        <v>61.93</v>
      </c>
      <c r="D17" s="830">
        <v>79.119200000000006</v>
      </c>
      <c r="E17" s="830">
        <f>E29</f>
        <v>80.599999999999994</v>
      </c>
      <c r="F17" s="830">
        <v>209.82980000000001</v>
      </c>
      <c r="G17" s="830">
        <f>G29</f>
        <v>213.64</v>
      </c>
      <c r="H17" s="830">
        <v>59.645600000000002</v>
      </c>
      <c r="I17" s="830">
        <f>I29</f>
        <v>61.98</v>
      </c>
      <c r="J17" s="830">
        <v>11.6242</v>
      </c>
      <c r="K17" s="830">
        <f>K29</f>
        <v>11.9</v>
      </c>
      <c r="L17" s="830">
        <v>11.596</v>
      </c>
      <c r="M17" s="830">
        <f>M29</f>
        <v>12.4</v>
      </c>
      <c r="N17" s="830">
        <v>86.2637</v>
      </c>
      <c r="O17" s="830">
        <f>O29</f>
        <v>92.21</v>
      </c>
      <c r="P17" s="829" t="s">
        <v>2092</v>
      </c>
      <c r="Q17" s="830">
        <v>10.189</v>
      </c>
      <c r="R17" s="830">
        <f>R29</f>
        <v>10.33</v>
      </c>
      <c r="S17" s="830">
        <v>1.1911</v>
      </c>
      <c r="T17" s="830">
        <f>T29</f>
        <v>1.25</v>
      </c>
      <c r="U17" s="830">
        <v>6.0000000000000001E-3</v>
      </c>
      <c r="V17" s="830">
        <f>V29</f>
        <v>0.01</v>
      </c>
      <c r="W17" s="830">
        <v>2.5000000000000001E-3</v>
      </c>
      <c r="X17" s="830">
        <f>X29</f>
        <v>0</v>
      </c>
      <c r="Y17" s="830">
        <v>0.7268</v>
      </c>
      <c r="Z17" s="830">
        <f>Z29</f>
        <v>0.72</v>
      </c>
      <c r="AA17" s="830">
        <v>260.45460000000003</v>
      </c>
      <c r="AB17" s="830">
        <f>AB29</f>
        <v>265.73</v>
      </c>
      <c r="AC17" s="830">
        <v>18.4786</v>
      </c>
      <c r="AD17" s="830">
        <f>AD29</f>
        <v>18.77</v>
      </c>
      <c r="AE17" s="829" t="s">
        <v>2092</v>
      </c>
      <c r="AF17" s="830">
        <v>6.0699999999999997E-2</v>
      </c>
      <c r="AG17" s="830">
        <f>AG29</f>
        <v>0.06</v>
      </c>
      <c r="AH17" s="830">
        <v>0.74399999999999999</v>
      </c>
      <c r="AI17" s="830">
        <f>AI29</f>
        <v>0.78</v>
      </c>
      <c r="AJ17" s="830">
        <v>56.3782</v>
      </c>
      <c r="AK17" s="830">
        <f>AK29</f>
        <v>58.84</v>
      </c>
      <c r="AL17" s="830">
        <v>9.4036000000000008</v>
      </c>
      <c r="AM17" s="830">
        <f>AM29</f>
        <v>9.61</v>
      </c>
      <c r="AN17" s="830">
        <v>205.4922</v>
      </c>
      <c r="AO17" s="830">
        <f>AO29</f>
        <v>209.23</v>
      </c>
      <c r="AP17" s="830">
        <v>0.75529999999999997</v>
      </c>
      <c r="AQ17" s="830">
        <f>AQ29</f>
        <v>0.77</v>
      </c>
      <c r="AR17" s="830">
        <v>1.6155999999999999</v>
      </c>
      <c r="AS17" s="830">
        <f>AS29</f>
        <v>1.6</v>
      </c>
      <c r="AT17" s="829" t="s">
        <v>2092</v>
      </c>
      <c r="AU17" s="830">
        <v>21.713799999999999</v>
      </c>
      <c r="AV17" s="830">
        <f>AV29</f>
        <v>21.58</v>
      </c>
      <c r="AW17" s="830">
        <v>1.3027</v>
      </c>
      <c r="AX17" s="830">
        <f>AX29</f>
        <v>1.36</v>
      </c>
      <c r="AY17" s="830">
        <v>21.095400000000001</v>
      </c>
      <c r="AZ17" s="830">
        <f>AZ29</f>
        <v>21.49</v>
      </c>
      <c r="BA17" s="830">
        <v>6.9400000000000003E-2</v>
      </c>
      <c r="BB17" s="830">
        <f>BB29</f>
        <v>7.0000000000000007E-2</v>
      </c>
      <c r="BC17" s="830">
        <v>56.838999999999999</v>
      </c>
      <c r="BD17" s="830">
        <f>BD29</f>
        <v>58.43</v>
      </c>
      <c r="BE17" s="830">
        <v>8.9743999999999993</v>
      </c>
      <c r="BF17" s="830">
        <f>BF29</f>
        <v>9.52</v>
      </c>
      <c r="BG17" s="830">
        <v>0.53</v>
      </c>
      <c r="BH17" s="830">
        <f>BH29</f>
        <v>0.52</v>
      </c>
      <c r="BI17" s="829" t="s">
        <v>2092</v>
      </c>
      <c r="BJ17" s="830">
        <v>79.829700000000003</v>
      </c>
      <c r="BK17" s="830">
        <f>BK29</f>
        <v>84.32</v>
      </c>
      <c r="BL17" s="830">
        <v>0.2079</v>
      </c>
      <c r="BM17" s="830">
        <f>BM29</f>
        <v>0.16</v>
      </c>
      <c r="BN17" s="830">
        <v>108.5568</v>
      </c>
      <c r="BO17" s="830">
        <f>BO29</f>
        <v>112.08</v>
      </c>
      <c r="BP17" s="830">
        <v>2.2667000000000002</v>
      </c>
      <c r="BQ17" s="830">
        <f>BQ29</f>
        <v>2.37</v>
      </c>
      <c r="BR17" s="830">
        <v>21.540900000000001</v>
      </c>
      <c r="BS17" s="830">
        <f>BS29</f>
        <v>21.94</v>
      </c>
      <c r="BT17" s="830">
        <v>79.119200000000006</v>
      </c>
      <c r="BU17" s="830">
        <f>BU29</f>
        <v>80.599999999999994</v>
      </c>
      <c r="BV17" s="830">
        <v>100.3793</v>
      </c>
      <c r="BW17" s="830">
        <f>BW29</f>
        <v>104.82</v>
      </c>
    </row>
    <row r="18" spans="1:75" s="394" customFormat="1" ht="11.1" customHeight="1">
      <c r="A18" s="755" t="s">
        <v>843</v>
      </c>
      <c r="B18" s="563">
        <v>59.02</v>
      </c>
      <c r="C18" s="563">
        <v>59.56</v>
      </c>
      <c r="D18" s="563">
        <v>78.400000000000006</v>
      </c>
      <c r="E18" s="563">
        <v>78.400000000000006</v>
      </c>
      <c r="F18" s="563">
        <v>207.79</v>
      </c>
      <c r="G18" s="563">
        <v>207.85</v>
      </c>
      <c r="H18" s="563">
        <v>60.19</v>
      </c>
      <c r="I18" s="563">
        <v>60.17</v>
      </c>
      <c r="J18" s="563">
        <v>11.75</v>
      </c>
      <c r="K18" s="563">
        <v>11.79</v>
      </c>
      <c r="L18" s="563">
        <v>11.66</v>
      </c>
      <c r="M18" s="563">
        <v>11.78</v>
      </c>
      <c r="N18" s="563">
        <v>86.75</v>
      </c>
      <c r="O18" s="563">
        <v>87.6</v>
      </c>
      <c r="P18" s="755" t="s">
        <v>843</v>
      </c>
      <c r="Q18" s="563">
        <v>10.11</v>
      </c>
      <c r="R18" s="563">
        <v>10.11</v>
      </c>
      <c r="S18" s="563">
        <v>1.17</v>
      </c>
      <c r="T18" s="563">
        <v>1.18</v>
      </c>
      <c r="U18" s="563">
        <v>0.01</v>
      </c>
      <c r="V18" s="563">
        <v>0.01</v>
      </c>
      <c r="W18" s="563">
        <v>0</v>
      </c>
      <c r="X18" s="563">
        <v>0</v>
      </c>
      <c r="Y18" s="563">
        <v>0.75</v>
      </c>
      <c r="Z18" s="563">
        <v>0.77</v>
      </c>
      <c r="AA18" s="563">
        <v>259.44</v>
      </c>
      <c r="AB18" s="563">
        <v>259.26</v>
      </c>
      <c r="AC18" s="563">
        <v>19.510000000000002</v>
      </c>
      <c r="AD18" s="563">
        <v>19.260000000000002</v>
      </c>
      <c r="AE18" s="755" t="s">
        <v>843</v>
      </c>
      <c r="AF18" s="563">
        <v>7.0000000000000007E-2</v>
      </c>
      <c r="AG18" s="563">
        <v>7.0000000000000007E-2</v>
      </c>
      <c r="AH18" s="563">
        <v>0.73</v>
      </c>
      <c r="AI18" s="563">
        <v>0.73</v>
      </c>
      <c r="AJ18" s="563">
        <v>56.04</v>
      </c>
      <c r="AK18" s="563">
        <v>56.51</v>
      </c>
      <c r="AL18" s="563">
        <v>9.26</v>
      </c>
      <c r="AM18" s="563">
        <v>9.2799999999999994</v>
      </c>
      <c r="AN18" s="563">
        <v>203.63</v>
      </c>
      <c r="AO18" s="563">
        <v>203.56</v>
      </c>
      <c r="AP18" s="563">
        <v>0.75</v>
      </c>
      <c r="AQ18" s="563">
        <v>0.75</v>
      </c>
      <c r="AR18" s="563">
        <v>1.67</v>
      </c>
      <c r="AS18" s="563">
        <v>1.67</v>
      </c>
      <c r="AT18" s="755" t="s">
        <v>843</v>
      </c>
      <c r="AU18" s="691">
        <v>21.53</v>
      </c>
      <c r="AV18" s="563">
        <v>21.53</v>
      </c>
      <c r="AW18" s="563">
        <v>1.22</v>
      </c>
      <c r="AX18" s="563">
        <v>1.19</v>
      </c>
      <c r="AY18" s="563">
        <v>20.9</v>
      </c>
      <c r="AZ18" s="563">
        <v>20.9</v>
      </c>
      <c r="BA18" s="563">
        <v>7.0000000000000007E-2</v>
      </c>
      <c r="BB18" s="563">
        <v>7.0000000000000007E-2</v>
      </c>
      <c r="BC18" s="563">
        <v>58.07</v>
      </c>
      <c r="BD18" s="563">
        <v>58.052</v>
      </c>
      <c r="BE18" s="563">
        <v>9.16</v>
      </c>
      <c r="BF18" s="563">
        <v>9.16</v>
      </c>
      <c r="BG18" s="563">
        <v>0.54</v>
      </c>
      <c r="BH18" s="563">
        <v>0.54</v>
      </c>
      <c r="BI18" s="755" t="s">
        <v>843</v>
      </c>
      <c r="BJ18" s="563">
        <v>79.87</v>
      </c>
      <c r="BK18" s="563">
        <v>80.88</v>
      </c>
      <c r="BL18" s="563">
        <v>0.36</v>
      </c>
      <c r="BM18" s="563">
        <v>0.36</v>
      </c>
      <c r="BN18" s="563">
        <v>109.06</v>
      </c>
      <c r="BO18" s="563">
        <v>109.24</v>
      </c>
      <c r="BP18" s="563">
        <v>2.2400000000000002</v>
      </c>
      <c r="BQ18" s="563">
        <v>2.25</v>
      </c>
      <c r="BR18" s="563">
        <v>21.35</v>
      </c>
      <c r="BS18" s="563">
        <v>21.35</v>
      </c>
      <c r="BT18" s="563">
        <v>78.400000000000006</v>
      </c>
      <c r="BU18" s="563">
        <v>78.400000000000006</v>
      </c>
      <c r="BV18" s="563">
        <v>103.18</v>
      </c>
      <c r="BW18" s="563">
        <v>103.73</v>
      </c>
    </row>
    <row r="19" spans="1:75" s="394" customFormat="1" ht="11.1" customHeight="1">
      <c r="A19" s="750" t="s">
        <v>844</v>
      </c>
      <c r="B19" s="580">
        <v>59.77</v>
      </c>
      <c r="C19" s="580">
        <v>58.87</v>
      </c>
      <c r="D19" s="580">
        <v>78.400000000000006</v>
      </c>
      <c r="E19" s="580">
        <v>78.400000000000006</v>
      </c>
      <c r="F19" s="580">
        <v>207.91</v>
      </c>
      <c r="G19" s="580">
        <v>207.93</v>
      </c>
      <c r="H19" s="580">
        <v>60.33</v>
      </c>
      <c r="I19" s="580">
        <v>59.85</v>
      </c>
      <c r="J19" s="580">
        <v>11.79</v>
      </c>
      <c r="K19" s="580">
        <v>11.72</v>
      </c>
      <c r="L19" s="580">
        <v>11.8</v>
      </c>
      <c r="M19" s="580">
        <v>11.73</v>
      </c>
      <c r="N19" s="580">
        <v>87.84</v>
      </c>
      <c r="O19" s="580">
        <v>87.36</v>
      </c>
      <c r="P19" s="750" t="s">
        <v>844</v>
      </c>
      <c r="Q19" s="580">
        <v>10.11</v>
      </c>
      <c r="R19" s="580">
        <v>10.11</v>
      </c>
      <c r="S19" s="580">
        <v>1.17</v>
      </c>
      <c r="T19" s="580">
        <v>1.17</v>
      </c>
      <c r="U19" s="580">
        <v>0.01</v>
      </c>
      <c r="V19" s="580">
        <v>0.01</v>
      </c>
      <c r="W19" s="580">
        <v>0</v>
      </c>
      <c r="X19" s="580">
        <v>0</v>
      </c>
      <c r="Y19" s="580">
        <v>0.77</v>
      </c>
      <c r="Z19" s="580">
        <v>0.76</v>
      </c>
      <c r="AA19" s="580">
        <v>259.99</v>
      </c>
      <c r="AB19" s="580">
        <v>259.69</v>
      </c>
      <c r="AC19" s="580">
        <v>19.47</v>
      </c>
      <c r="AD19" s="580">
        <v>19.36</v>
      </c>
      <c r="AE19" s="750" t="s">
        <v>844</v>
      </c>
      <c r="AF19" s="580">
        <v>7.0000000000000007E-2</v>
      </c>
      <c r="AG19" s="580">
        <v>0.06</v>
      </c>
      <c r="AH19" s="580">
        <v>0.73</v>
      </c>
      <c r="AI19" s="580">
        <v>0.73</v>
      </c>
      <c r="AJ19" s="580">
        <v>56.65</v>
      </c>
      <c r="AK19" s="580">
        <v>56.6</v>
      </c>
      <c r="AL19" s="580">
        <v>9.44</v>
      </c>
      <c r="AM19" s="580">
        <v>9.4</v>
      </c>
      <c r="AN19" s="580">
        <v>203.64</v>
      </c>
      <c r="AO19" s="580">
        <v>203.64</v>
      </c>
      <c r="AP19" s="580">
        <v>0.75</v>
      </c>
      <c r="AQ19" s="580">
        <v>0.75</v>
      </c>
      <c r="AR19" s="580">
        <v>1.68</v>
      </c>
      <c r="AS19" s="580">
        <v>1.68</v>
      </c>
      <c r="AT19" s="750" t="s">
        <v>844</v>
      </c>
      <c r="AU19" s="658">
        <v>21.53</v>
      </c>
      <c r="AV19" s="580">
        <v>21.53</v>
      </c>
      <c r="AW19" s="580">
        <v>1.21</v>
      </c>
      <c r="AX19" s="580">
        <v>1.2</v>
      </c>
      <c r="AY19" s="580">
        <v>20.91</v>
      </c>
      <c r="AZ19" s="580">
        <v>20.9</v>
      </c>
      <c r="BA19" s="580">
        <v>7.0000000000000007E-2</v>
      </c>
      <c r="BB19" s="580">
        <v>7.0000000000000007E-2</v>
      </c>
      <c r="BC19" s="580">
        <v>58.19</v>
      </c>
      <c r="BD19" s="580">
        <v>57.44</v>
      </c>
      <c r="BE19" s="580">
        <v>9.25</v>
      </c>
      <c r="BF19" s="580">
        <v>9.19</v>
      </c>
      <c r="BG19" s="580">
        <v>0.54</v>
      </c>
      <c r="BH19" s="580">
        <v>0.54</v>
      </c>
      <c r="BI19" s="750" t="s">
        <v>844</v>
      </c>
      <c r="BJ19" s="580">
        <v>80.709999999999994</v>
      </c>
      <c r="BK19" s="580">
        <v>79.680000000000007</v>
      </c>
      <c r="BL19" s="580">
        <v>0.36</v>
      </c>
      <c r="BM19" s="580">
        <v>0.37</v>
      </c>
      <c r="BN19" s="580">
        <v>109.71</v>
      </c>
      <c r="BO19" s="580">
        <v>109.44</v>
      </c>
      <c r="BP19" s="580">
        <v>2.2599999999999998</v>
      </c>
      <c r="BQ19" s="580">
        <v>2.2599999999999998</v>
      </c>
      <c r="BR19" s="580">
        <v>21.34</v>
      </c>
      <c r="BS19" s="580">
        <v>21.34</v>
      </c>
      <c r="BT19" s="580">
        <v>78.400000000000006</v>
      </c>
      <c r="BU19" s="580">
        <v>78.400000000000006</v>
      </c>
      <c r="BV19" s="580">
        <v>102.71</v>
      </c>
      <c r="BW19" s="580">
        <v>102.57</v>
      </c>
    </row>
    <row r="20" spans="1:75" s="394" customFormat="1" ht="11.1" customHeight="1">
      <c r="A20" s="755" t="s">
        <v>838</v>
      </c>
      <c r="B20" s="563">
        <v>59.46</v>
      </c>
      <c r="C20" s="563">
        <v>59.86</v>
      </c>
      <c r="D20" s="563">
        <v>78.400000000000006</v>
      </c>
      <c r="E20" s="563">
        <v>78.400000000000006</v>
      </c>
      <c r="F20" s="563">
        <v>207.96</v>
      </c>
      <c r="G20" s="563">
        <v>207.96</v>
      </c>
      <c r="H20" s="563">
        <v>59.91</v>
      </c>
      <c r="I20" s="563">
        <v>59.65</v>
      </c>
      <c r="J20" s="563">
        <v>11.75</v>
      </c>
      <c r="K20" s="563">
        <v>11.74</v>
      </c>
      <c r="L20" s="563">
        <v>11.79</v>
      </c>
      <c r="M20" s="563">
        <v>11.81</v>
      </c>
      <c r="N20" s="563">
        <v>87.87</v>
      </c>
      <c r="O20" s="563">
        <v>87.98</v>
      </c>
      <c r="P20" s="755" t="s">
        <v>838</v>
      </c>
      <c r="Q20" s="563">
        <v>10.11</v>
      </c>
      <c r="R20" s="563">
        <v>10.11</v>
      </c>
      <c r="S20" s="563">
        <v>1.17</v>
      </c>
      <c r="T20" s="563">
        <v>1.17</v>
      </c>
      <c r="U20" s="563">
        <v>0.01</v>
      </c>
      <c r="V20" s="563">
        <v>0.01</v>
      </c>
      <c r="W20" s="563">
        <v>0</v>
      </c>
      <c r="X20" s="563">
        <v>0</v>
      </c>
      <c r="Y20" s="563">
        <v>0.77</v>
      </c>
      <c r="Z20" s="563">
        <v>0.78</v>
      </c>
      <c r="AA20" s="563">
        <v>260.02999999999997</v>
      </c>
      <c r="AB20" s="563">
        <v>260.16000000000003</v>
      </c>
      <c r="AC20" s="563">
        <v>19.09</v>
      </c>
      <c r="AD20" s="563">
        <v>18.920000000000002</v>
      </c>
      <c r="AE20" s="755" t="s">
        <v>838</v>
      </c>
      <c r="AF20" s="563">
        <v>0.06</v>
      </c>
      <c r="AG20" s="563">
        <v>0.06</v>
      </c>
      <c r="AH20" s="563">
        <v>0.73</v>
      </c>
      <c r="AI20" s="563">
        <v>0.73</v>
      </c>
      <c r="AJ20" s="563">
        <v>57.3</v>
      </c>
      <c r="AK20" s="563">
        <v>56.87</v>
      </c>
      <c r="AL20" s="563">
        <v>9.5399999999999991</v>
      </c>
      <c r="AM20" s="563">
        <v>9.74</v>
      </c>
      <c r="AN20" s="563">
        <v>203.62</v>
      </c>
      <c r="AO20" s="563">
        <v>203.63</v>
      </c>
      <c r="AP20" s="563">
        <v>0.75</v>
      </c>
      <c r="AQ20" s="563">
        <v>0.75</v>
      </c>
      <c r="AR20" s="563">
        <v>1.65</v>
      </c>
      <c r="AS20" s="563">
        <v>1.62</v>
      </c>
      <c r="AT20" s="755" t="s">
        <v>838</v>
      </c>
      <c r="AU20" s="691">
        <v>21.53</v>
      </c>
      <c r="AV20" s="563">
        <v>21.53</v>
      </c>
      <c r="AW20" s="563">
        <v>1.22</v>
      </c>
      <c r="AX20" s="563">
        <v>1.24</v>
      </c>
      <c r="AY20" s="563">
        <v>20.9</v>
      </c>
      <c r="AZ20" s="563">
        <v>20.88</v>
      </c>
      <c r="BA20" s="563">
        <v>7.0000000000000007E-2</v>
      </c>
      <c r="BB20" s="563">
        <v>7.0000000000000007E-2</v>
      </c>
      <c r="BC20" s="563">
        <v>57.68</v>
      </c>
      <c r="BD20" s="563">
        <v>57.46</v>
      </c>
      <c r="BE20" s="563">
        <v>9.19</v>
      </c>
      <c r="BF20" s="563">
        <v>9.14</v>
      </c>
      <c r="BG20" s="563">
        <v>0.54</v>
      </c>
      <c r="BH20" s="563">
        <v>0.53</v>
      </c>
      <c r="BI20" s="755" t="s">
        <v>838</v>
      </c>
      <c r="BJ20" s="563">
        <v>80.430000000000007</v>
      </c>
      <c r="BK20" s="563">
        <v>81.150000000000006</v>
      </c>
      <c r="BL20" s="563">
        <v>0.36</v>
      </c>
      <c r="BM20" s="563">
        <v>0.37</v>
      </c>
      <c r="BN20" s="563">
        <v>109.69</v>
      </c>
      <c r="BO20" s="563">
        <v>109.62</v>
      </c>
      <c r="BP20" s="563">
        <v>2.2599999999999998</v>
      </c>
      <c r="BQ20" s="563">
        <v>2.2599999999999998</v>
      </c>
      <c r="BR20" s="563">
        <v>21.34</v>
      </c>
      <c r="BS20" s="563">
        <v>21.34</v>
      </c>
      <c r="BT20" s="563">
        <v>78.400000000000006</v>
      </c>
      <c r="BU20" s="563">
        <v>78.400000000000006</v>
      </c>
      <c r="BV20" s="563">
        <v>103.1</v>
      </c>
      <c r="BW20" s="563">
        <v>101.68</v>
      </c>
    </row>
    <row r="21" spans="1:75" s="394" customFormat="1" ht="11.1" customHeight="1">
      <c r="A21" s="750" t="s">
        <v>845</v>
      </c>
      <c r="B21" s="580">
        <v>59.72</v>
      </c>
      <c r="C21" s="580">
        <v>59.59</v>
      </c>
      <c r="D21" s="580">
        <v>78.400000000000006</v>
      </c>
      <c r="E21" s="580">
        <v>78.42</v>
      </c>
      <c r="F21" s="580">
        <v>207.95</v>
      </c>
      <c r="G21" s="580">
        <v>207.97</v>
      </c>
      <c r="H21" s="580">
        <v>59.23</v>
      </c>
      <c r="I21" s="580">
        <v>58.53</v>
      </c>
      <c r="J21" s="580">
        <v>11.65</v>
      </c>
      <c r="K21" s="580">
        <v>11.59</v>
      </c>
      <c r="L21" s="580">
        <v>11.63</v>
      </c>
      <c r="M21" s="580">
        <v>11.57</v>
      </c>
      <c r="N21" s="580">
        <v>86.56</v>
      </c>
      <c r="O21" s="580">
        <v>86.15</v>
      </c>
      <c r="P21" s="750" t="s">
        <v>845</v>
      </c>
      <c r="Q21" s="580">
        <v>10.11</v>
      </c>
      <c r="R21" s="580">
        <v>10.11</v>
      </c>
      <c r="S21" s="580">
        <v>1.17</v>
      </c>
      <c r="T21" s="580">
        <v>1.17</v>
      </c>
      <c r="U21" s="580">
        <v>0.01</v>
      </c>
      <c r="V21" s="580">
        <v>0.01</v>
      </c>
      <c r="W21" s="580">
        <v>0</v>
      </c>
      <c r="X21" s="580">
        <v>0</v>
      </c>
      <c r="Y21" s="580">
        <v>0.76</v>
      </c>
      <c r="Z21" s="580">
        <v>0.75</v>
      </c>
      <c r="AA21" s="580">
        <v>259.14</v>
      </c>
      <c r="AB21" s="580">
        <v>258.58</v>
      </c>
      <c r="AC21" s="580">
        <v>18.78</v>
      </c>
      <c r="AD21" s="580">
        <v>18.66</v>
      </c>
      <c r="AE21" s="750" t="s">
        <v>845</v>
      </c>
      <c r="AF21" s="580">
        <v>0.06</v>
      </c>
      <c r="AG21" s="580">
        <v>0.06</v>
      </c>
      <c r="AH21" s="580">
        <v>0.73</v>
      </c>
      <c r="AI21" s="580">
        <v>0.73</v>
      </c>
      <c r="AJ21" s="580">
        <v>56.16</v>
      </c>
      <c r="AK21" s="580">
        <v>56.16</v>
      </c>
      <c r="AL21" s="580">
        <v>9.61</v>
      </c>
      <c r="AM21" s="580">
        <v>9.49</v>
      </c>
      <c r="AN21" s="580">
        <v>203.63</v>
      </c>
      <c r="AO21" s="580">
        <v>203.68</v>
      </c>
      <c r="AP21" s="580">
        <v>0.75</v>
      </c>
      <c r="AQ21" s="580">
        <v>0.75</v>
      </c>
      <c r="AR21" s="580">
        <v>1.62</v>
      </c>
      <c r="AS21" s="580">
        <v>1.62</v>
      </c>
      <c r="AT21" s="750" t="s">
        <v>845</v>
      </c>
      <c r="AU21" s="658">
        <v>21.53</v>
      </c>
      <c r="AV21" s="580">
        <v>21.54</v>
      </c>
      <c r="AW21" s="580">
        <v>1.25</v>
      </c>
      <c r="AX21" s="580">
        <v>1.24</v>
      </c>
      <c r="AY21" s="580">
        <v>20.9</v>
      </c>
      <c r="AZ21" s="580">
        <v>20.91</v>
      </c>
      <c r="BA21" s="580">
        <v>7.0000000000000007E-2</v>
      </c>
      <c r="BB21" s="580">
        <v>7.0000000000000007E-2</v>
      </c>
      <c r="BC21" s="580">
        <v>56.71</v>
      </c>
      <c r="BD21" s="580">
        <v>56.33</v>
      </c>
      <c r="BE21" s="580">
        <v>8.92</v>
      </c>
      <c r="BF21" s="580">
        <v>8.69</v>
      </c>
      <c r="BG21" s="580">
        <v>0.53</v>
      </c>
      <c r="BH21" s="580">
        <v>0.53</v>
      </c>
      <c r="BI21" s="750" t="s">
        <v>845</v>
      </c>
      <c r="BJ21" s="580">
        <v>79.53</v>
      </c>
      <c r="BK21" s="580">
        <v>79.319999999999993</v>
      </c>
      <c r="BL21" s="580">
        <v>0.16</v>
      </c>
      <c r="BM21" s="580">
        <v>0.15</v>
      </c>
      <c r="BN21" s="580">
        <v>108.32</v>
      </c>
      <c r="BO21" s="580">
        <v>107.57</v>
      </c>
      <c r="BP21" s="580">
        <v>2.2400000000000002</v>
      </c>
      <c r="BQ21" s="580">
        <v>2.2400000000000002</v>
      </c>
      <c r="BR21" s="580">
        <v>21.35</v>
      </c>
      <c r="BS21" s="580">
        <v>21.35</v>
      </c>
      <c r="BT21" s="580">
        <v>78.400000000000006</v>
      </c>
      <c r="BU21" s="580">
        <v>78.42</v>
      </c>
      <c r="BV21" s="580">
        <v>97.03</v>
      </c>
      <c r="BW21" s="580">
        <v>95.55</v>
      </c>
    </row>
    <row r="22" spans="1:75" s="394" customFormat="1" ht="11.1" customHeight="1">
      <c r="A22" s="755" t="s">
        <v>846</v>
      </c>
      <c r="B22" s="563">
        <v>59.17</v>
      </c>
      <c r="C22" s="563">
        <v>58.91</v>
      </c>
      <c r="D22" s="563">
        <v>78.540000000000006</v>
      </c>
      <c r="E22" s="563">
        <v>78.72</v>
      </c>
      <c r="F22" s="563">
        <v>208.32</v>
      </c>
      <c r="G22" s="563">
        <v>208.82</v>
      </c>
      <c r="H22" s="563">
        <v>58.37</v>
      </c>
      <c r="I22" s="563">
        <v>58.6</v>
      </c>
      <c r="J22" s="563">
        <v>11.49</v>
      </c>
      <c r="K22" s="563">
        <v>11.43</v>
      </c>
      <c r="L22" s="563">
        <v>11.4</v>
      </c>
      <c r="M22" s="563">
        <v>11.27</v>
      </c>
      <c r="N22" s="563">
        <v>84.84</v>
      </c>
      <c r="O22" s="563">
        <v>83.83</v>
      </c>
      <c r="P22" s="755" t="s">
        <v>846</v>
      </c>
      <c r="Q22" s="563">
        <v>10.130000000000001</v>
      </c>
      <c r="R22" s="563">
        <v>10.15</v>
      </c>
      <c r="S22" s="563">
        <v>1.1599999999999999</v>
      </c>
      <c r="T22" s="563">
        <v>1.1499999999999999</v>
      </c>
      <c r="U22" s="563">
        <v>0.01</v>
      </c>
      <c r="V22" s="563">
        <v>0.01</v>
      </c>
      <c r="W22" s="563">
        <v>0</v>
      </c>
      <c r="X22" s="563">
        <v>0</v>
      </c>
      <c r="Y22" s="563">
        <v>0.73</v>
      </c>
      <c r="Z22" s="563">
        <v>0.7</v>
      </c>
      <c r="AA22" s="563">
        <v>258.51</v>
      </c>
      <c r="AB22" s="563">
        <v>258.04000000000002</v>
      </c>
      <c r="AC22" s="563">
        <v>18.13</v>
      </c>
      <c r="AD22" s="563">
        <v>17.63</v>
      </c>
      <c r="AE22" s="755" t="s">
        <v>846</v>
      </c>
      <c r="AF22" s="563">
        <v>0.06</v>
      </c>
      <c r="AG22" s="563">
        <v>0.06</v>
      </c>
      <c r="AH22" s="563">
        <v>0.73</v>
      </c>
      <c r="AI22" s="563">
        <v>0.72</v>
      </c>
      <c r="AJ22" s="563">
        <v>56.14</v>
      </c>
      <c r="AK22" s="563">
        <v>56.09</v>
      </c>
      <c r="AL22" s="563">
        <v>9.34</v>
      </c>
      <c r="AM22" s="563">
        <v>9.23</v>
      </c>
      <c r="AN22" s="563">
        <v>204</v>
      </c>
      <c r="AO22" s="563">
        <v>204.45</v>
      </c>
      <c r="AP22" s="563">
        <v>0.75</v>
      </c>
      <c r="AQ22" s="563">
        <v>0.75</v>
      </c>
      <c r="AR22" s="563">
        <v>1.6</v>
      </c>
      <c r="AS22" s="563">
        <v>1.58</v>
      </c>
      <c r="AT22" s="755" t="s">
        <v>846</v>
      </c>
      <c r="AU22" s="691">
        <v>21.57</v>
      </c>
      <c r="AV22" s="563">
        <v>21.62</v>
      </c>
      <c r="AW22" s="563">
        <v>1.22</v>
      </c>
      <c r="AX22" s="563">
        <v>1.21</v>
      </c>
      <c r="AY22" s="563">
        <v>20.95</v>
      </c>
      <c r="AZ22" s="563">
        <v>20.99</v>
      </c>
      <c r="BA22" s="563">
        <v>7.0000000000000007E-2</v>
      </c>
      <c r="BB22" s="563">
        <v>7.0000000000000007E-2</v>
      </c>
      <c r="BC22" s="563">
        <v>55.71</v>
      </c>
      <c r="BD22" s="563">
        <v>55.24</v>
      </c>
      <c r="BE22" s="563">
        <v>8.61</v>
      </c>
      <c r="BF22" s="563">
        <v>8.57</v>
      </c>
      <c r="BG22" s="563">
        <v>0.53</v>
      </c>
      <c r="BH22" s="563">
        <v>0.53</v>
      </c>
      <c r="BI22" s="755" t="s">
        <v>846</v>
      </c>
      <c r="BJ22" s="563">
        <v>78.92</v>
      </c>
      <c r="BK22" s="563">
        <v>77.8</v>
      </c>
      <c r="BL22" s="563">
        <v>0.15</v>
      </c>
      <c r="BM22" s="563">
        <v>0.15</v>
      </c>
      <c r="BN22" s="563">
        <v>107.36</v>
      </c>
      <c r="BO22" s="563">
        <v>106.43</v>
      </c>
      <c r="BP22" s="563">
        <v>2.2200000000000002</v>
      </c>
      <c r="BQ22" s="563">
        <v>2.21</v>
      </c>
      <c r="BR22" s="563">
        <v>21.38</v>
      </c>
      <c r="BS22" s="563">
        <v>21.43</v>
      </c>
      <c r="BT22" s="563">
        <v>78.540000000000006</v>
      </c>
      <c r="BU22" s="563">
        <v>78.72</v>
      </c>
      <c r="BV22" s="563">
        <v>97.69</v>
      </c>
      <c r="BW22" s="563">
        <v>98.32</v>
      </c>
    </row>
    <row r="23" spans="1:75" s="394" customFormat="1" ht="11.1" customHeight="1">
      <c r="A23" s="750" t="s">
        <v>839</v>
      </c>
      <c r="B23" s="580">
        <v>57.85</v>
      </c>
      <c r="C23" s="580">
        <v>56.79</v>
      </c>
      <c r="D23" s="580">
        <v>78.8</v>
      </c>
      <c r="E23" s="580">
        <v>78.7</v>
      </c>
      <c r="F23" s="580">
        <v>209.02</v>
      </c>
      <c r="G23" s="580">
        <v>208.84</v>
      </c>
      <c r="H23" s="580">
        <v>59.01</v>
      </c>
      <c r="I23" s="580">
        <v>58.59</v>
      </c>
      <c r="J23" s="580">
        <v>11.39</v>
      </c>
      <c r="K23" s="580">
        <v>11.34</v>
      </c>
      <c r="L23" s="580">
        <v>11.17</v>
      </c>
      <c r="M23" s="580">
        <v>11.14</v>
      </c>
      <c r="N23" s="580">
        <v>83.1</v>
      </c>
      <c r="O23" s="580">
        <v>82.76</v>
      </c>
      <c r="P23" s="750" t="s">
        <v>839</v>
      </c>
      <c r="Q23" s="580">
        <v>10.16</v>
      </c>
      <c r="R23" s="580">
        <v>10.15</v>
      </c>
      <c r="S23" s="580">
        <v>1.1599999999999999</v>
      </c>
      <c r="T23" s="580">
        <v>1.1599999999999999</v>
      </c>
      <c r="U23" s="580">
        <v>0.01</v>
      </c>
      <c r="V23" s="580">
        <v>0.01</v>
      </c>
      <c r="W23" s="580">
        <v>0</v>
      </c>
      <c r="X23" s="580">
        <v>0</v>
      </c>
      <c r="Y23" s="580">
        <v>0.68</v>
      </c>
      <c r="Z23" s="580">
        <v>0.67</v>
      </c>
      <c r="AA23" s="580">
        <v>257.88</v>
      </c>
      <c r="AB23" s="580">
        <v>257.48</v>
      </c>
      <c r="AC23" s="580">
        <v>17.670000000000002</v>
      </c>
      <c r="AD23" s="580">
        <v>17.54</v>
      </c>
      <c r="AE23" s="750" t="s">
        <v>839</v>
      </c>
      <c r="AF23" s="580">
        <v>0.06</v>
      </c>
      <c r="AG23" s="580">
        <v>0.06</v>
      </c>
      <c r="AH23" s="580">
        <v>0.73</v>
      </c>
      <c r="AI23" s="580">
        <v>0.72</v>
      </c>
      <c r="AJ23" s="580">
        <v>55.41</v>
      </c>
      <c r="AK23" s="580">
        <v>54.67</v>
      </c>
      <c r="AL23" s="580">
        <v>9.1999999999999993</v>
      </c>
      <c r="AM23" s="580">
        <v>9.11</v>
      </c>
      <c r="AN23" s="580">
        <v>204.68</v>
      </c>
      <c r="AO23" s="580">
        <v>204.36</v>
      </c>
      <c r="AP23" s="580">
        <v>0.75</v>
      </c>
      <c r="AQ23" s="580">
        <v>0.75</v>
      </c>
      <c r="AR23" s="580">
        <v>1.58</v>
      </c>
      <c r="AS23" s="580">
        <v>1.59</v>
      </c>
      <c r="AT23" s="750" t="s">
        <v>839</v>
      </c>
      <c r="AU23" s="658">
        <v>21.64</v>
      </c>
      <c r="AV23" s="580">
        <v>21.61</v>
      </c>
      <c r="AW23" s="580">
        <v>1.27</v>
      </c>
      <c r="AX23" s="580">
        <v>1.28</v>
      </c>
      <c r="AY23" s="580">
        <v>21.01</v>
      </c>
      <c r="AZ23" s="580">
        <v>20.98</v>
      </c>
      <c r="BA23" s="580">
        <v>7.0000000000000007E-2</v>
      </c>
      <c r="BB23" s="580">
        <v>7.0000000000000007E-2</v>
      </c>
      <c r="BC23" s="580">
        <v>54.87</v>
      </c>
      <c r="BD23" s="580">
        <v>54.34</v>
      </c>
      <c r="BE23" s="580">
        <v>8.56</v>
      </c>
      <c r="BF23" s="580">
        <v>8.64</v>
      </c>
      <c r="BG23" s="580">
        <v>0.53</v>
      </c>
      <c r="BH23" s="580">
        <v>0.53</v>
      </c>
      <c r="BI23" s="750" t="s">
        <v>839</v>
      </c>
      <c r="BJ23" s="580">
        <v>77.28</v>
      </c>
      <c r="BK23" s="580">
        <v>77.28</v>
      </c>
      <c r="BL23" s="580">
        <v>0.15</v>
      </c>
      <c r="BM23" s="580">
        <v>0.15</v>
      </c>
      <c r="BN23" s="580">
        <v>106.14</v>
      </c>
      <c r="BO23" s="580">
        <v>105.79</v>
      </c>
      <c r="BP23" s="580">
        <v>2.2000000000000002</v>
      </c>
      <c r="BQ23" s="580">
        <v>2.2000000000000002</v>
      </c>
      <c r="BR23" s="580">
        <v>21.46</v>
      </c>
      <c r="BS23" s="580">
        <v>21.43</v>
      </c>
      <c r="BT23" s="580">
        <v>78.8</v>
      </c>
      <c r="BU23" s="580">
        <v>78.7</v>
      </c>
      <c r="BV23" s="580">
        <v>98.37</v>
      </c>
      <c r="BW23" s="580">
        <v>97.11</v>
      </c>
    </row>
    <row r="24" spans="1:75" s="394" customFormat="1" ht="11.1" customHeight="1">
      <c r="A24" s="755" t="s">
        <v>847</v>
      </c>
      <c r="B24" s="563">
        <v>58.73</v>
      </c>
      <c r="C24" s="563">
        <v>59.74</v>
      </c>
      <c r="D24" s="563">
        <v>78.86</v>
      </c>
      <c r="E24" s="563">
        <v>79.069999999999993</v>
      </c>
      <c r="F24" s="563">
        <v>209.17</v>
      </c>
      <c r="G24" s="563">
        <v>209.72</v>
      </c>
      <c r="H24" s="563">
        <v>59.65</v>
      </c>
      <c r="I24" s="563">
        <v>60.27</v>
      </c>
      <c r="J24" s="563">
        <v>11.45</v>
      </c>
      <c r="K24" s="563">
        <v>11.53</v>
      </c>
      <c r="L24" s="563">
        <v>11.26</v>
      </c>
      <c r="M24" s="563">
        <v>11.37</v>
      </c>
      <c r="N24" s="563">
        <v>83.77</v>
      </c>
      <c r="O24" s="563">
        <v>84.56</v>
      </c>
      <c r="P24" s="755" t="s">
        <v>847</v>
      </c>
      <c r="Q24" s="563">
        <v>10.17</v>
      </c>
      <c r="R24" s="563">
        <v>10.19</v>
      </c>
      <c r="S24" s="563">
        <v>1.1599999999999999</v>
      </c>
      <c r="T24" s="563">
        <v>1.17</v>
      </c>
      <c r="U24" s="563">
        <v>0.01</v>
      </c>
      <c r="V24" s="563">
        <v>0.01</v>
      </c>
      <c r="W24" s="563">
        <v>0</v>
      </c>
      <c r="X24" s="563">
        <v>0</v>
      </c>
      <c r="Y24" s="563">
        <v>0.69</v>
      </c>
      <c r="Z24" s="563">
        <v>0.69</v>
      </c>
      <c r="AA24" s="563">
        <v>258.13</v>
      </c>
      <c r="AB24" s="563">
        <v>259.44</v>
      </c>
      <c r="AC24" s="563">
        <v>17.690000000000001</v>
      </c>
      <c r="AD24" s="563">
        <v>17.850000000000001</v>
      </c>
      <c r="AE24" s="755" t="s">
        <v>847</v>
      </c>
      <c r="AF24" s="563">
        <v>0.06</v>
      </c>
      <c r="AG24" s="563">
        <v>0.06</v>
      </c>
      <c r="AH24" s="563">
        <v>0.72</v>
      </c>
      <c r="AI24" s="563">
        <v>0.73</v>
      </c>
      <c r="AJ24" s="563">
        <v>56.09</v>
      </c>
      <c r="AK24" s="563">
        <v>57.6</v>
      </c>
      <c r="AL24" s="563">
        <v>9.3000000000000007</v>
      </c>
      <c r="AM24" s="563">
        <v>9.51</v>
      </c>
      <c r="AN24" s="563">
        <v>204.81</v>
      </c>
      <c r="AO24" s="563">
        <v>205.36</v>
      </c>
      <c r="AP24" s="563">
        <v>0.75</v>
      </c>
      <c r="AQ24" s="563">
        <v>0.75</v>
      </c>
      <c r="AR24" s="563">
        <v>1.59</v>
      </c>
      <c r="AS24" s="563">
        <v>1.59</v>
      </c>
      <c r="AT24" s="755" t="s">
        <v>847</v>
      </c>
      <c r="AU24" s="691">
        <v>21.66</v>
      </c>
      <c r="AV24" s="563">
        <v>21.71</v>
      </c>
      <c r="AW24" s="563">
        <v>1.32</v>
      </c>
      <c r="AX24" s="563">
        <v>1.32</v>
      </c>
      <c r="AY24" s="563">
        <v>21.03</v>
      </c>
      <c r="AZ24" s="563">
        <v>21.08</v>
      </c>
      <c r="BA24" s="563">
        <v>7.0000000000000007E-2</v>
      </c>
      <c r="BB24" s="563">
        <v>7.0000000000000007E-2</v>
      </c>
      <c r="BC24" s="563">
        <v>55.13</v>
      </c>
      <c r="BD24" s="563">
        <v>55.63</v>
      </c>
      <c r="BE24" s="563">
        <v>8.81</v>
      </c>
      <c r="BF24" s="563">
        <v>8.9600000000000009</v>
      </c>
      <c r="BG24" s="563">
        <v>0.53</v>
      </c>
      <c r="BH24" s="563">
        <v>0.53</v>
      </c>
      <c r="BI24" s="755" t="s">
        <v>847</v>
      </c>
      <c r="BJ24" s="563">
        <v>78.16</v>
      </c>
      <c r="BK24" s="563">
        <v>79.45</v>
      </c>
      <c r="BL24" s="563">
        <v>0.15</v>
      </c>
      <c r="BM24" s="563">
        <v>0.15</v>
      </c>
      <c r="BN24" s="563">
        <v>106.53</v>
      </c>
      <c r="BO24" s="563">
        <v>107.09</v>
      </c>
      <c r="BP24" s="563">
        <v>2.2200000000000002</v>
      </c>
      <c r="BQ24" s="563">
        <v>2.25</v>
      </c>
      <c r="BR24" s="563">
        <v>21.47</v>
      </c>
      <c r="BS24" s="563">
        <v>21.53</v>
      </c>
      <c r="BT24" s="563">
        <v>78.86</v>
      </c>
      <c r="BU24" s="563">
        <v>79.069999999999993</v>
      </c>
      <c r="BV24" s="563">
        <v>97.34</v>
      </c>
      <c r="BW24" s="563">
        <v>98.72</v>
      </c>
    </row>
    <row r="25" spans="1:75" s="394" customFormat="1" ht="11.1" customHeight="1">
      <c r="A25" s="750" t="s">
        <v>848</v>
      </c>
      <c r="B25" s="580">
        <v>60.73</v>
      </c>
      <c r="C25" s="580">
        <v>60.9</v>
      </c>
      <c r="D25" s="580">
        <v>79.239999999999995</v>
      </c>
      <c r="E25" s="580">
        <v>79.37</v>
      </c>
      <c r="F25" s="580">
        <v>210.17</v>
      </c>
      <c r="G25" s="580">
        <v>210.49</v>
      </c>
      <c r="H25" s="580">
        <v>60.52</v>
      </c>
      <c r="I25" s="580">
        <v>60.21</v>
      </c>
      <c r="J25" s="580">
        <v>11.54</v>
      </c>
      <c r="K25" s="580">
        <v>11.54</v>
      </c>
      <c r="L25" s="580">
        <v>11.35</v>
      </c>
      <c r="M25" s="580">
        <v>11.3</v>
      </c>
      <c r="N25" s="580">
        <v>84.4</v>
      </c>
      <c r="O25" s="580">
        <v>84.03</v>
      </c>
      <c r="P25" s="750" t="s">
        <v>848</v>
      </c>
      <c r="Q25" s="580">
        <v>10.210000000000001</v>
      </c>
      <c r="R25" s="580">
        <v>10.23</v>
      </c>
      <c r="S25" s="580">
        <v>1.18</v>
      </c>
      <c r="T25" s="580">
        <v>1.19</v>
      </c>
      <c r="U25" s="580">
        <v>0.01</v>
      </c>
      <c r="V25" s="580">
        <v>0.01</v>
      </c>
      <c r="W25" s="580">
        <v>0</v>
      </c>
      <c r="X25" s="580">
        <v>0</v>
      </c>
      <c r="Y25" s="580">
        <v>0.7</v>
      </c>
      <c r="Z25" s="580">
        <v>0.7</v>
      </c>
      <c r="AA25" s="580">
        <v>259.60000000000002</v>
      </c>
      <c r="AB25" s="580">
        <v>259.87</v>
      </c>
      <c r="AC25" s="580">
        <v>17.829999999999998</v>
      </c>
      <c r="AD25" s="580">
        <v>17.850000000000001</v>
      </c>
      <c r="AE25" s="750" t="s">
        <v>848</v>
      </c>
      <c r="AF25" s="580">
        <v>0.06</v>
      </c>
      <c r="AG25" s="580">
        <v>0.06</v>
      </c>
      <c r="AH25" s="580">
        <v>0.74</v>
      </c>
      <c r="AI25" s="580">
        <v>0.74</v>
      </c>
      <c r="AJ25" s="580">
        <v>57.29</v>
      </c>
      <c r="AK25" s="580">
        <v>57.08</v>
      </c>
      <c r="AL25" s="580">
        <v>9.52</v>
      </c>
      <c r="AM25" s="580">
        <v>9.48</v>
      </c>
      <c r="AN25" s="580">
        <v>205.8</v>
      </c>
      <c r="AO25" s="580">
        <v>206.14</v>
      </c>
      <c r="AP25" s="580">
        <v>0.76</v>
      </c>
      <c r="AQ25" s="580">
        <v>0.76</v>
      </c>
      <c r="AR25" s="580">
        <v>1.59</v>
      </c>
      <c r="AS25" s="580">
        <v>1.58</v>
      </c>
      <c r="AT25" s="750" t="s">
        <v>848</v>
      </c>
      <c r="AU25" s="658">
        <v>21.76</v>
      </c>
      <c r="AV25" s="580">
        <v>21.8</v>
      </c>
      <c r="AW25" s="580">
        <v>1.35</v>
      </c>
      <c r="AX25" s="580">
        <v>1.37</v>
      </c>
      <c r="AY25" s="580">
        <v>21.13</v>
      </c>
      <c r="AZ25" s="580">
        <v>21.16</v>
      </c>
      <c r="BA25" s="580">
        <v>7.0000000000000007E-2</v>
      </c>
      <c r="BB25" s="580">
        <v>7.0000000000000007E-2</v>
      </c>
      <c r="BC25" s="580">
        <v>56.02</v>
      </c>
      <c r="BD25" s="580">
        <v>56.52</v>
      </c>
      <c r="BE25" s="580">
        <v>8.91</v>
      </c>
      <c r="BF25" s="580">
        <v>8.76</v>
      </c>
      <c r="BG25" s="580">
        <v>0.52</v>
      </c>
      <c r="BH25" s="580">
        <v>0.52</v>
      </c>
      <c r="BI25" s="750" t="s">
        <v>848</v>
      </c>
      <c r="BJ25" s="580">
        <v>79.16</v>
      </c>
      <c r="BK25" s="580">
        <v>78.66</v>
      </c>
      <c r="BL25" s="580">
        <v>0.15</v>
      </c>
      <c r="BM25" s="580">
        <v>0.15</v>
      </c>
      <c r="BN25" s="580">
        <v>107.41</v>
      </c>
      <c r="BO25" s="580">
        <v>107.37</v>
      </c>
      <c r="BP25" s="580">
        <v>2.2599999999999998</v>
      </c>
      <c r="BQ25" s="580">
        <v>2.27</v>
      </c>
      <c r="BR25" s="580">
        <v>21.57</v>
      </c>
      <c r="BS25" s="580">
        <v>21.61</v>
      </c>
      <c r="BT25" s="580">
        <v>79.239999999999995</v>
      </c>
      <c r="BU25" s="580">
        <v>79.37</v>
      </c>
      <c r="BV25" s="580">
        <v>98.97</v>
      </c>
      <c r="BW25" s="580">
        <v>98.76</v>
      </c>
    </row>
    <row r="26" spans="1:75" s="394" customFormat="1" ht="11.1" customHeight="1">
      <c r="A26" s="755" t="s">
        <v>840</v>
      </c>
      <c r="B26" s="563">
        <v>60.65</v>
      </c>
      <c r="C26" s="563">
        <v>60.78</v>
      </c>
      <c r="D26" s="563">
        <v>79.540000000000006</v>
      </c>
      <c r="E26" s="563">
        <v>79.67</v>
      </c>
      <c r="F26" s="563">
        <v>210.95</v>
      </c>
      <c r="G26" s="563">
        <v>211.24</v>
      </c>
      <c r="H26" s="563">
        <v>59.44</v>
      </c>
      <c r="I26" s="563">
        <v>59.84</v>
      </c>
      <c r="J26" s="563">
        <v>11.54</v>
      </c>
      <c r="K26" s="563">
        <v>11.55</v>
      </c>
      <c r="L26" s="563">
        <v>11.43</v>
      </c>
      <c r="M26" s="563">
        <v>11.41</v>
      </c>
      <c r="N26" s="563">
        <v>85.01</v>
      </c>
      <c r="O26" s="563">
        <v>84.86</v>
      </c>
      <c r="P26" s="755" t="s">
        <v>840</v>
      </c>
      <c r="Q26" s="563">
        <v>10.24</v>
      </c>
      <c r="R26" s="563">
        <v>10.25</v>
      </c>
      <c r="S26" s="563">
        <v>1.21</v>
      </c>
      <c r="T26" s="563">
        <v>1.23</v>
      </c>
      <c r="U26" s="563">
        <v>0.01</v>
      </c>
      <c r="V26" s="563">
        <v>0.01</v>
      </c>
      <c r="W26" s="563">
        <v>0</v>
      </c>
      <c r="X26" s="563">
        <v>0</v>
      </c>
      <c r="Y26" s="563">
        <v>0.7</v>
      </c>
      <c r="Z26" s="563">
        <v>0.72</v>
      </c>
      <c r="AA26" s="563">
        <v>260.56</v>
      </c>
      <c r="AB26" s="563">
        <v>261.26</v>
      </c>
      <c r="AC26" s="563">
        <v>17.920000000000002</v>
      </c>
      <c r="AD26" s="563">
        <v>18</v>
      </c>
      <c r="AE26" s="755" t="s">
        <v>840</v>
      </c>
      <c r="AF26" s="563">
        <v>0.06</v>
      </c>
      <c r="AG26" s="563">
        <v>0.06</v>
      </c>
      <c r="AH26" s="563">
        <v>0.75</v>
      </c>
      <c r="AI26" s="563">
        <v>0.77</v>
      </c>
      <c r="AJ26" s="563">
        <v>55.79</v>
      </c>
      <c r="AK26" s="563">
        <v>56.02</v>
      </c>
      <c r="AL26" s="563">
        <v>9.36</v>
      </c>
      <c r="AM26" s="563">
        <v>9.27</v>
      </c>
      <c r="AN26" s="563">
        <v>206.59</v>
      </c>
      <c r="AO26" s="563">
        <v>206.85</v>
      </c>
      <c r="AP26" s="563">
        <v>0.76</v>
      </c>
      <c r="AQ26" s="563">
        <v>0.76</v>
      </c>
      <c r="AR26" s="563">
        <v>1.58</v>
      </c>
      <c r="AS26" s="563">
        <v>1.59</v>
      </c>
      <c r="AT26" s="755" t="s">
        <v>840</v>
      </c>
      <c r="AU26" s="691">
        <v>21.84</v>
      </c>
      <c r="AV26" s="563">
        <v>21.88</v>
      </c>
      <c r="AW26" s="563">
        <v>1.37</v>
      </c>
      <c r="AX26" s="563">
        <v>1.4</v>
      </c>
      <c r="AY26" s="563">
        <v>21.21</v>
      </c>
      <c r="AZ26" s="563">
        <v>21.24</v>
      </c>
      <c r="BA26" s="563">
        <v>7.0000000000000007E-2</v>
      </c>
      <c r="BB26" s="563">
        <v>7.0000000000000007E-2</v>
      </c>
      <c r="BC26" s="563">
        <v>56.61</v>
      </c>
      <c r="BD26" s="563">
        <v>57.03</v>
      </c>
      <c r="BE26" s="563">
        <v>8.92</v>
      </c>
      <c r="BF26" s="563">
        <v>8.89</v>
      </c>
      <c r="BG26" s="563">
        <v>0.52</v>
      </c>
      <c r="BH26" s="563">
        <v>0.52</v>
      </c>
      <c r="BI26" s="755" t="s">
        <v>840</v>
      </c>
      <c r="BJ26" s="563">
        <v>79.36</v>
      </c>
      <c r="BK26" s="563">
        <v>79.42</v>
      </c>
      <c r="BL26" s="563">
        <v>0.15</v>
      </c>
      <c r="BM26" s="563">
        <v>0.15</v>
      </c>
      <c r="BN26" s="563">
        <v>107.75</v>
      </c>
      <c r="BO26" s="563">
        <v>108.35</v>
      </c>
      <c r="BP26" s="563">
        <v>2.2799999999999998</v>
      </c>
      <c r="BQ26" s="563">
        <v>2.3199999999999998</v>
      </c>
      <c r="BR26" s="563">
        <v>21.66</v>
      </c>
      <c r="BS26" s="563">
        <v>21.69</v>
      </c>
      <c r="BT26" s="563">
        <v>79.540000000000006</v>
      </c>
      <c r="BU26" s="563">
        <v>79.67</v>
      </c>
      <c r="BV26" s="563">
        <v>98.16</v>
      </c>
      <c r="BW26" s="563">
        <v>99.99</v>
      </c>
    </row>
    <row r="27" spans="1:75" s="394" customFormat="1" ht="11.1" customHeight="1">
      <c r="A27" s="750" t="s">
        <v>849</v>
      </c>
      <c r="B27" s="580">
        <v>60.21</v>
      </c>
      <c r="C27" s="580">
        <v>60.08</v>
      </c>
      <c r="D27" s="580">
        <v>79.84</v>
      </c>
      <c r="E27" s="580">
        <v>80.23</v>
      </c>
      <c r="F27" s="580">
        <v>211.76</v>
      </c>
      <c r="G27" s="580">
        <v>212.81</v>
      </c>
      <c r="H27" s="580">
        <v>59.49</v>
      </c>
      <c r="I27" s="580">
        <v>58.77</v>
      </c>
      <c r="J27" s="580">
        <v>11.59</v>
      </c>
      <c r="K27" s="580">
        <v>11.64</v>
      </c>
      <c r="L27" s="580">
        <v>11.49</v>
      </c>
      <c r="M27" s="580">
        <v>11.75</v>
      </c>
      <c r="N27" s="580">
        <v>85.48</v>
      </c>
      <c r="O27" s="580">
        <v>87.43</v>
      </c>
      <c r="P27" s="750" t="s">
        <v>849</v>
      </c>
      <c r="Q27" s="580">
        <v>10.27</v>
      </c>
      <c r="R27" s="580">
        <v>10.31</v>
      </c>
      <c r="S27" s="580">
        <v>1.24</v>
      </c>
      <c r="T27" s="580">
        <v>1.25</v>
      </c>
      <c r="U27" s="580">
        <v>0.01</v>
      </c>
      <c r="V27" s="580">
        <v>0.01</v>
      </c>
      <c r="W27" s="580">
        <v>0</v>
      </c>
      <c r="X27" s="580">
        <v>0</v>
      </c>
      <c r="Y27" s="580">
        <v>0.73</v>
      </c>
      <c r="Z27" s="580">
        <v>0.72</v>
      </c>
      <c r="AA27" s="580">
        <v>261.94</v>
      </c>
      <c r="AB27" s="580">
        <v>263.7</v>
      </c>
      <c r="AC27" s="580">
        <v>18.12</v>
      </c>
      <c r="AD27" s="580">
        <v>18.48</v>
      </c>
      <c r="AE27" s="750" t="s">
        <v>849</v>
      </c>
      <c r="AF27" s="580">
        <v>0.06</v>
      </c>
      <c r="AG27" s="580">
        <v>0.06</v>
      </c>
      <c r="AH27" s="580">
        <v>0.77</v>
      </c>
      <c r="AI27" s="580">
        <v>0.78</v>
      </c>
      <c r="AJ27" s="580">
        <v>55.69</v>
      </c>
      <c r="AK27" s="580">
        <v>55.1</v>
      </c>
      <c r="AL27" s="580">
        <v>9.2899999999999991</v>
      </c>
      <c r="AM27" s="580">
        <v>9.35</v>
      </c>
      <c r="AN27" s="580">
        <v>207.36</v>
      </c>
      <c r="AO27" s="580">
        <v>208.34</v>
      </c>
      <c r="AP27" s="580">
        <v>0.76</v>
      </c>
      <c r="AQ27" s="580">
        <v>0.77</v>
      </c>
      <c r="AR27" s="580">
        <v>1.6</v>
      </c>
      <c r="AS27" s="580">
        <v>1.6</v>
      </c>
      <c r="AT27" s="750" t="s">
        <v>849</v>
      </c>
      <c r="AU27" s="658">
        <v>21.93</v>
      </c>
      <c r="AV27" s="580">
        <v>22.03</v>
      </c>
      <c r="AW27" s="580">
        <v>1.41</v>
      </c>
      <c r="AX27" s="580">
        <v>1.41</v>
      </c>
      <c r="AY27" s="580">
        <v>21.29</v>
      </c>
      <c r="AZ27" s="580">
        <v>21.39</v>
      </c>
      <c r="BA27" s="580">
        <v>7.0000000000000007E-2</v>
      </c>
      <c r="BB27" s="580">
        <v>7.0000000000000007E-2</v>
      </c>
      <c r="BC27" s="580">
        <v>57.1</v>
      </c>
      <c r="BD27" s="580">
        <v>57.43</v>
      </c>
      <c r="BE27" s="580">
        <v>8.92</v>
      </c>
      <c r="BF27" s="580">
        <v>9.06</v>
      </c>
      <c r="BG27" s="580">
        <v>0.52</v>
      </c>
      <c r="BH27" s="580">
        <v>0.53</v>
      </c>
      <c r="BI27" s="750" t="s">
        <v>849</v>
      </c>
      <c r="BJ27" s="580">
        <v>79.739999999999995</v>
      </c>
      <c r="BK27" s="580">
        <v>80.62</v>
      </c>
      <c r="BL27" s="580">
        <v>0.15</v>
      </c>
      <c r="BM27" s="580">
        <v>0.16</v>
      </c>
      <c r="BN27" s="580">
        <v>108.61</v>
      </c>
      <c r="BO27" s="580">
        <v>109.99</v>
      </c>
      <c r="BP27" s="580">
        <v>2.3199999999999998</v>
      </c>
      <c r="BQ27" s="580">
        <v>2.3199999999999998</v>
      </c>
      <c r="BR27" s="580">
        <v>21.74</v>
      </c>
      <c r="BS27" s="580">
        <v>21.84</v>
      </c>
      <c r="BT27" s="580">
        <v>79.84</v>
      </c>
      <c r="BU27" s="580">
        <v>80.23</v>
      </c>
      <c r="BV27" s="580">
        <v>100.8</v>
      </c>
      <c r="BW27" s="580">
        <v>103.9</v>
      </c>
    </row>
    <row r="28" spans="1:75" s="394" customFormat="1" ht="11.1" customHeight="1">
      <c r="A28" s="755" t="s">
        <v>850</v>
      </c>
      <c r="B28" s="563">
        <v>59.88</v>
      </c>
      <c r="C28" s="563">
        <v>60.14</v>
      </c>
      <c r="D28" s="563">
        <v>80.489999999999995</v>
      </c>
      <c r="E28" s="563">
        <v>80.56</v>
      </c>
      <c r="F28" s="563">
        <v>213.48</v>
      </c>
      <c r="G28" s="563">
        <v>213.66</v>
      </c>
      <c r="H28" s="563">
        <v>59.23</v>
      </c>
      <c r="I28" s="563">
        <v>59.85</v>
      </c>
      <c r="J28" s="563">
        <v>11.7</v>
      </c>
      <c r="K28" s="563">
        <v>11.74</v>
      </c>
      <c r="L28" s="563">
        <v>11.96</v>
      </c>
      <c r="M28" s="563">
        <v>12.11</v>
      </c>
      <c r="N28" s="563">
        <v>88.97</v>
      </c>
      <c r="O28" s="563">
        <v>90.11</v>
      </c>
      <c r="P28" s="755" t="s">
        <v>850</v>
      </c>
      <c r="Q28" s="563">
        <v>10.34</v>
      </c>
      <c r="R28" s="563">
        <v>10.34</v>
      </c>
      <c r="S28" s="563">
        <v>1.25</v>
      </c>
      <c r="T28" s="563">
        <v>1.25</v>
      </c>
      <c r="U28" s="563">
        <v>0.01</v>
      </c>
      <c r="V28" s="563">
        <v>0.01</v>
      </c>
      <c r="W28" s="563">
        <v>0</v>
      </c>
      <c r="X28" s="563">
        <v>0</v>
      </c>
      <c r="Y28" s="563">
        <v>0.72</v>
      </c>
      <c r="Z28" s="563">
        <v>0.73</v>
      </c>
      <c r="AA28" s="563">
        <v>264.70999999999998</v>
      </c>
      <c r="AB28" s="563">
        <v>265.48</v>
      </c>
      <c r="AC28" s="563">
        <v>18.649999999999999</v>
      </c>
      <c r="AD28" s="563">
        <v>18.84</v>
      </c>
      <c r="AE28" s="755" t="s">
        <v>850</v>
      </c>
      <c r="AF28" s="563">
        <v>0.06</v>
      </c>
      <c r="AG28" s="563">
        <v>0.06</v>
      </c>
      <c r="AH28" s="563">
        <v>0.78</v>
      </c>
      <c r="AI28" s="563">
        <v>0.78</v>
      </c>
      <c r="AJ28" s="563">
        <v>55.95</v>
      </c>
      <c r="AK28" s="563">
        <v>57.17</v>
      </c>
      <c r="AL28" s="563">
        <v>9.48</v>
      </c>
      <c r="AM28" s="563">
        <v>9.5500000000000007</v>
      </c>
      <c r="AN28" s="563">
        <v>209.02</v>
      </c>
      <c r="AO28" s="563">
        <v>209.25</v>
      </c>
      <c r="AP28" s="563">
        <v>0.77</v>
      </c>
      <c r="AQ28" s="563">
        <v>0.77</v>
      </c>
      <c r="AR28" s="563">
        <v>1.62</v>
      </c>
      <c r="AS28" s="563">
        <v>1.62</v>
      </c>
      <c r="AT28" s="755" t="s">
        <v>850</v>
      </c>
      <c r="AU28" s="840">
        <v>22.1</v>
      </c>
      <c r="AV28" s="563">
        <v>22.12</v>
      </c>
      <c r="AW28" s="563">
        <v>1.41</v>
      </c>
      <c r="AX28" s="563">
        <v>1.42</v>
      </c>
      <c r="AY28" s="563">
        <v>21.46</v>
      </c>
      <c r="AZ28" s="563">
        <v>21.48</v>
      </c>
      <c r="BA28" s="563">
        <v>7.0000000000000007E-2</v>
      </c>
      <c r="BB28" s="563">
        <v>7.0000000000000007E-2</v>
      </c>
      <c r="BC28" s="563">
        <v>57.72</v>
      </c>
      <c r="BD28" s="563">
        <v>58.19</v>
      </c>
      <c r="BE28" s="563">
        <v>9.17</v>
      </c>
      <c r="BF28" s="563">
        <v>9.23</v>
      </c>
      <c r="BG28" s="563">
        <v>0.53</v>
      </c>
      <c r="BH28" s="563">
        <v>0.53</v>
      </c>
      <c r="BI28" s="755" t="s">
        <v>850</v>
      </c>
      <c r="BJ28" s="563">
        <v>81.599999999999994</v>
      </c>
      <c r="BK28" s="563">
        <v>82.65</v>
      </c>
      <c r="BL28" s="563">
        <v>0.16</v>
      </c>
      <c r="BM28" s="563">
        <v>0.16</v>
      </c>
      <c r="BN28" s="563">
        <v>110.65</v>
      </c>
      <c r="BO28" s="563">
        <v>111.22</v>
      </c>
      <c r="BP28" s="563">
        <v>2.34</v>
      </c>
      <c r="BQ28" s="563">
        <v>2.36</v>
      </c>
      <c r="BR28" s="563">
        <v>21.91</v>
      </c>
      <c r="BS28" s="563">
        <v>21.93</v>
      </c>
      <c r="BT28" s="563">
        <v>80.489999999999995</v>
      </c>
      <c r="BU28" s="563">
        <v>80.56</v>
      </c>
      <c r="BV28" s="563">
        <v>104.05</v>
      </c>
      <c r="BW28" s="563">
        <v>103.59</v>
      </c>
    </row>
    <row r="29" spans="1:75" s="394" customFormat="1" ht="11.1" customHeight="1">
      <c r="A29" s="750" t="s">
        <v>841</v>
      </c>
      <c r="B29" s="580">
        <v>60.83</v>
      </c>
      <c r="C29" s="580">
        <v>61.93</v>
      </c>
      <c r="D29" s="580">
        <v>80.59</v>
      </c>
      <c r="E29" s="580">
        <v>80.599999999999994</v>
      </c>
      <c r="F29" s="580">
        <v>213.64</v>
      </c>
      <c r="G29" s="580">
        <v>213.64</v>
      </c>
      <c r="H29" s="580">
        <v>60.43</v>
      </c>
      <c r="I29" s="580">
        <v>61.98</v>
      </c>
      <c r="J29" s="580">
        <v>11.85</v>
      </c>
      <c r="K29" s="580">
        <v>11.9</v>
      </c>
      <c r="L29" s="580">
        <v>12.17</v>
      </c>
      <c r="M29" s="580">
        <v>12.4</v>
      </c>
      <c r="N29" s="580">
        <v>90.51</v>
      </c>
      <c r="O29" s="580">
        <v>92.21</v>
      </c>
      <c r="P29" s="750" t="s">
        <v>841</v>
      </c>
      <c r="Q29" s="580">
        <v>10.33</v>
      </c>
      <c r="R29" s="580">
        <v>10.33</v>
      </c>
      <c r="S29" s="580">
        <v>1.25</v>
      </c>
      <c r="T29" s="580">
        <v>1.25</v>
      </c>
      <c r="U29" s="580">
        <v>0.01</v>
      </c>
      <c r="V29" s="580">
        <v>0.01</v>
      </c>
      <c r="W29" s="580">
        <v>0</v>
      </c>
      <c r="X29" s="580">
        <v>0</v>
      </c>
      <c r="Y29" s="580">
        <v>0.73</v>
      </c>
      <c r="Z29" s="580">
        <v>0.72</v>
      </c>
      <c r="AA29" s="580">
        <v>265.63</v>
      </c>
      <c r="AB29" s="580">
        <v>265.73</v>
      </c>
      <c r="AC29" s="580">
        <v>18.84</v>
      </c>
      <c r="AD29" s="580">
        <v>18.77</v>
      </c>
      <c r="AE29" s="750" t="s">
        <v>841</v>
      </c>
      <c r="AF29" s="580">
        <v>0.06</v>
      </c>
      <c r="AG29" s="580">
        <v>0.06</v>
      </c>
      <c r="AH29" s="580">
        <v>0.78</v>
      </c>
      <c r="AI29" s="580">
        <v>0.78</v>
      </c>
      <c r="AJ29" s="580">
        <v>58.12</v>
      </c>
      <c r="AK29" s="580">
        <v>58.84</v>
      </c>
      <c r="AL29" s="580">
        <v>9.52</v>
      </c>
      <c r="AM29" s="580">
        <v>9.61</v>
      </c>
      <c r="AN29" s="580">
        <v>209.3</v>
      </c>
      <c r="AO29" s="580">
        <v>209.23</v>
      </c>
      <c r="AP29" s="580">
        <v>0.77</v>
      </c>
      <c r="AQ29" s="580">
        <v>0.77</v>
      </c>
      <c r="AR29" s="580">
        <v>1.62</v>
      </c>
      <c r="AS29" s="580">
        <v>1.6</v>
      </c>
      <c r="AT29" s="750" t="s">
        <v>841</v>
      </c>
      <c r="AU29" s="658">
        <v>21.96</v>
      </c>
      <c r="AV29" s="580">
        <v>21.58</v>
      </c>
      <c r="AW29" s="580">
        <v>1.39</v>
      </c>
      <c r="AX29" s="580">
        <v>1.36</v>
      </c>
      <c r="AY29" s="580">
        <v>21.49</v>
      </c>
      <c r="AZ29" s="580">
        <v>21.49</v>
      </c>
      <c r="BA29" s="580">
        <v>7.0000000000000007E-2</v>
      </c>
      <c r="BB29" s="580">
        <v>7.0000000000000007E-2</v>
      </c>
      <c r="BC29" s="580">
        <v>58.24</v>
      </c>
      <c r="BD29" s="580">
        <v>58.43</v>
      </c>
      <c r="BE29" s="580">
        <v>9.2799999999999994</v>
      </c>
      <c r="BF29" s="580">
        <v>9.52</v>
      </c>
      <c r="BG29" s="580">
        <v>0.53</v>
      </c>
      <c r="BH29" s="580">
        <v>0.52</v>
      </c>
      <c r="BI29" s="750" t="s">
        <v>841</v>
      </c>
      <c r="BJ29" s="580">
        <v>83.24</v>
      </c>
      <c r="BK29" s="580">
        <v>84.32</v>
      </c>
      <c r="BL29" s="580">
        <v>0.16</v>
      </c>
      <c r="BM29" s="580">
        <v>0.16</v>
      </c>
      <c r="BN29" s="580">
        <v>111.44</v>
      </c>
      <c r="BO29" s="580">
        <v>112.08</v>
      </c>
      <c r="BP29" s="580">
        <v>2.37</v>
      </c>
      <c r="BQ29" s="580">
        <v>2.37</v>
      </c>
      <c r="BR29" s="580">
        <v>21.94</v>
      </c>
      <c r="BS29" s="580">
        <v>21.94</v>
      </c>
      <c r="BT29" s="580">
        <v>80.59</v>
      </c>
      <c r="BU29" s="580">
        <v>80.599999999999994</v>
      </c>
      <c r="BV29" s="580">
        <v>103.12</v>
      </c>
      <c r="BW29" s="580">
        <v>104.82</v>
      </c>
    </row>
    <row r="30" spans="1:75" s="394" customFormat="1" ht="11.1" customHeight="1">
      <c r="A30" s="949" t="s">
        <v>2320</v>
      </c>
      <c r="B30" s="1045">
        <v>63.658630000000002</v>
      </c>
      <c r="C30" s="1045">
        <f>C42</f>
        <v>61.58</v>
      </c>
      <c r="D30" s="1045">
        <v>82.100874000000005</v>
      </c>
      <c r="E30" s="1045">
        <f>E42</f>
        <v>83.73</v>
      </c>
      <c r="F30" s="1045">
        <v>217.64671100000001</v>
      </c>
      <c r="G30" s="1045">
        <f>G42</f>
        <v>221.47</v>
      </c>
      <c r="H30" s="1045">
        <v>64.688146000000003</v>
      </c>
      <c r="I30" s="1045">
        <f>I42</f>
        <v>63.21</v>
      </c>
      <c r="J30" s="1045">
        <v>12.660601</v>
      </c>
      <c r="K30" s="1045">
        <f>K42</f>
        <v>12.65</v>
      </c>
      <c r="L30" s="1045">
        <v>13.163303000000001</v>
      </c>
      <c r="M30" s="1045">
        <f>M42</f>
        <v>13</v>
      </c>
      <c r="N30" s="1045">
        <v>97.992005000000006</v>
      </c>
      <c r="O30" s="1045">
        <f>O42</f>
        <v>96.86</v>
      </c>
      <c r="P30" s="949" t="s">
        <v>2320</v>
      </c>
      <c r="Q30" s="1045">
        <v>10.493054000000001</v>
      </c>
      <c r="R30" s="1045">
        <f>R42</f>
        <v>10.67</v>
      </c>
      <c r="S30" s="1045">
        <v>1.2622720000000001</v>
      </c>
      <c r="T30" s="1045">
        <f>T42</f>
        <v>1.22</v>
      </c>
      <c r="U30" s="1045">
        <v>6.0390000000000001E-3</v>
      </c>
      <c r="V30" s="1045">
        <f>V42</f>
        <v>0.01</v>
      </c>
      <c r="W30" s="1045">
        <v>2.258E-3</v>
      </c>
      <c r="X30" s="1045">
        <f>X42</f>
        <v>0</v>
      </c>
      <c r="Y30" s="1045">
        <v>0.74442600000000003</v>
      </c>
      <c r="Z30" s="1045">
        <f>Z42</f>
        <v>0.76</v>
      </c>
      <c r="AA30" s="1045">
        <v>272.38111300000003</v>
      </c>
      <c r="AB30" s="1045">
        <f>AB42</f>
        <v>276.82</v>
      </c>
      <c r="AC30" s="1045">
        <v>20.178184999999999</v>
      </c>
      <c r="AD30" s="1045">
        <f>AD42</f>
        <v>20.74</v>
      </c>
      <c r="AE30" s="949" t="s">
        <v>2320</v>
      </c>
      <c r="AF30" s="1045">
        <v>6.0657999999999997E-2</v>
      </c>
      <c r="AG30" s="1045">
        <f>AG42</f>
        <v>0.06</v>
      </c>
      <c r="AH30" s="1045">
        <v>0.78928299999999996</v>
      </c>
      <c r="AI30" s="1045">
        <f>AI42</f>
        <v>0.77</v>
      </c>
      <c r="AJ30" s="1045">
        <v>58.730638999999996</v>
      </c>
      <c r="AK30" s="1045">
        <f>AK42</f>
        <v>56.56</v>
      </c>
      <c r="AL30" s="1045">
        <v>10.272456</v>
      </c>
      <c r="AM30" s="1045">
        <f>AM42</f>
        <v>10.220000000000001</v>
      </c>
      <c r="AN30" s="1045">
        <v>213.226247</v>
      </c>
      <c r="AO30" s="1045">
        <f>AO42</f>
        <v>217.47</v>
      </c>
      <c r="AP30" s="1045">
        <v>0.74837200000000004</v>
      </c>
      <c r="AQ30" s="1045">
        <f>AQ42</f>
        <v>0.69</v>
      </c>
      <c r="AR30" s="1045">
        <v>1.597353</v>
      </c>
      <c r="AS30" s="1045">
        <f>AS42</f>
        <v>1.57</v>
      </c>
      <c r="AT30" s="949" t="s">
        <v>2320</v>
      </c>
      <c r="AU30" s="831">
        <v>22.433156</v>
      </c>
      <c r="AV30" s="1045">
        <f>AV42</f>
        <v>23</v>
      </c>
      <c r="AW30" s="1045">
        <v>1.392849</v>
      </c>
      <c r="AX30" s="1045">
        <f>AX42</f>
        <v>1.33</v>
      </c>
      <c r="AY30" s="1045">
        <v>21.892281000000001</v>
      </c>
      <c r="AZ30" s="1045">
        <f>AZ42</f>
        <v>22.32</v>
      </c>
      <c r="BA30" s="1045">
        <v>7.4847999999999998E-2</v>
      </c>
      <c r="BB30" s="1045">
        <f>BB42</f>
        <v>0.08</v>
      </c>
      <c r="BC30" s="1045">
        <v>61.194586000000001</v>
      </c>
      <c r="BD30" s="1045">
        <f>BD42</f>
        <v>61.21</v>
      </c>
      <c r="BE30" s="1045">
        <v>9.896687</v>
      </c>
      <c r="BF30" s="1045">
        <f>BF42</f>
        <v>9.34</v>
      </c>
      <c r="BG30" s="1045">
        <v>0.53053300000000003</v>
      </c>
      <c r="BH30" s="1045">
        <f>BH42</f>
        <v>0.53</v>
      </c>
      <c r="BI30" s="949" t="s">
        <v>2320</v>
      </c>
      <c r="BJ30" s="1045">
        <v>84.626541000000003</v>
      </c>
      <c r="BK30" s="1045">
        <f>BK42</f>
        <v>83.94</v>
      </c>
      <c r="BL30" s="1045">
        <v>0.159326</v>
      </c>
      <c r="BM30" s="1045">
        <f>BM42</f>
        <v>0.16</v>
      </c>
      <c r="BN30" s="1045">
        <v>116.904573</v>
      </c>
      <c r="BO30" s="1045">
        <f>BO42</f>
        <v>117.62</v>
      </c>
      <c r="BP30" s="1045">
        <v>2.5323829999999998</v>
      </c>
      <c r="BQ30" s="1045">
        <f>BQ42</f>
        <v>2.5299999999999998</v>
      </c>
      <c r="BR30" s="1045">
        <v>22.35247</v>
      </c>
      <c r="BS30" s="1045">
        <f>BS42</f>
        <v>22.79</v>
      </c>
      <c r="BT30" s="1045">
        <v>82.100874000000005</v>
      </c>
      <c r="BU30" s="1045">
        <f>BU42</f>
        <v>83.73</v>
      </c>
      <c r="BV30" s="1045">
        <v>110.612995</v>
      </c>
      <c r="BW30" s="1045">
        <f>BW42</f>
        <v>109.5</v>
      </c>
    </row>
    <row r="31" spans="1:75" s="394" customFormat="1" ht="11.1" customHeight="1">
      <c r="A31" s="750" t="s">
        <v>843</v>
      </c>
      <c r="B31" s="580">
        <v>62.84</v>
      </c>
      <c r="C31" s="580">
        <v>64.42</v>
      </c>
      <c r="D31" s="580">
        <v>80.63</v>
      </c>
      <c r="E31" s="580">
        <v>80.66</v>
      </c>
      <c r="F31" s="580">
        <v>213.77</v>
      </c>
      <c r="G31" s="580">
        <v>213.9</v>
      </c>
      <c r="H31" s="580">
        <v>63.44</v>
      </c>
      <c r="I31" s="580">
        <v>64.87</v>
      </c>
      <c r="J31" s="580">
        <v>11.92</v>
      </c>
      <c r="K31" s="580">
        <v>11.99</v>
      </c>
      <c r="L31" s="580">
        <v>12.48</v>
      </c>
      <c r="M31" s="580">
        <v>12.75</v>
      </c>
      <c r="N31" s="580">
        <v>92.83</v>
      </c>
      <c r="O31" s="580">
        <v>94.79</v>
      </c>
      <c r="P31" s="750" t="s">
        <v>843</v>
      </c>
      <c r="Q31" s="580">
        <v>10.33</v>
      </c>
      <c r="R31" s="580">
        <v>10.33</v>
      </c>
      <c r="S31" s="580">
        <v>1.25</v>
      </c>
      <c r="T31" s="580">
        <v>1.26</v>
      </c>
      <c r="U31" s="580">
        <v>0.01</v>
      </c>
      <c r="V31" s="580">
        <v>0.01</v>
      </c>
      <c r="W31" s="580">
        <v>0</v>
      </c>
      <c r="X31" s="580">
        <v>0</v>
      </c>
      <c r="Y31" s="580">
        <v>0.72</v>
      </c>
      <c r="Z31" s="580">
        <v>0.73</v>
      </c>
      <c r="AA31" s="580">
        <v>266.27999999999997</v>
      </c>
      <c r="AB31" s="580">
        <v>267.04000000000002</v>
      </c>
      <c r="AC31" s="580">
        <v>18.8</v>
      </c>
      <c r="AD31" s="580">
        <v>18.850000000000001</v>
      </c>
      <c r="AE31" s="750" t="s">
        <v>843</v>
      </c>
      <c r="AF31" s="580">
        <v>0.06</v>
      </c>
      <c r="AG31" s="580">
        <v>0.06</v>
      </c>
      <c r="AH31" s="580">
        <v>0.78</v>
      </c>
      <c r="AI31" s="580">
        <v>0.79</v>
      </c>
      <c r="AJ31" s="580">
        <v>59.33</v>
      </c>
      <c r="AK31" s="580">
        <v>60.6</v>
      </c>
      <c r="AL31" s="580">
        <v>9.8699999999999992</v>
      </c>
      <c r="AM31" s="580">
        <v>10.19</v>
      </c>
      <c r="AN31" s="580">
        <v>209.32</v>
      </c>
      <c r="AO31" s="580">
        <v>209.51</v>
      </c>
      <c r="AP31" s="580">
        <v>0.76</v>
      </c>
      <c r="AQ31" s="580">
        <v>0.77</v>
      </c>
      <c r="AR31" s="580">
        <v>1.59</v>
      </c>
      <c r="AS31" s="580">
        <v>1.6</v>
      </c>
      <c r="AT31" s="750" t="s">
        <v>843</v>
      </c>
      <c r="AU31" s="658">
        <v>21.96</v>
      </c>
      <c r="AV31" s="580">
        <v>22.15</v>
      </c>
      <c r="AW31" s="580">
        <v>1.35</v>
      </c>
      <c r="AX31" s="580">
        <v>1.35</v>
      </c>
      <c r="AY31" s="580">
        <v>21.5</v>
      </c>
      <c r="AZ31" s="580">
        <v>21.51</v>
      </c>
      <c r="BA31" s="580">
        <v>7.0000000000000007E-2</v>
      </c>
      <c r="BB31" s="580">
        <v>7.0000000000000007E-2</v>
      </c>
      <c r="BC31" s="580">
        <v>58.79</v>
      </c>
      <c r="BD31" s="580">
        <v>59.46</v>
      </c>
      <c r="BE31" s="580">
        <v>9.68</v>
      </c>
      <c r="BF31" s="580">
        <v>9.93</v>
      </c>
      <c r="BG31" s="580">
        <v>0.52</v>
      </c>
      <c r="BH31" s="580">
        <v>0.52</v>
      </c>
      <c r="BI31" s="750" t="s">
        <v>843</v>
      </c>
      <c r="BJ31" s="580">
        <v>84.03</v>
      </c>
      <c r="BK31" s="580">
        <v>83.26</v>
      </c>
      <c r="BL31" s="580">
        <v>0.16</v>
      </c>
      <c r="BM31" s="580">
        <v>0.16</v>
      </c>
      <c r="BN31" s="580">
        <v>112.45</v>
      </c>
      <c r="BO31" s="580">
        <v>113.37</v>
      </c>
      <c r="BP31" s="580">
        <v>2.39</v>
      </c>
      <c r="BQ31" s="580">
        <v>2.42</v>
      </c>
      <c r="BR31" s="580">
        <v>21.95</v>
      </c>
      <c r="BS31" s="580">
        <v>21.96</v>
      </c>
      <c r="BT31" s="580">
        <v>80.63</v>
      </c>
      <c r="BU31" s="580">
        <v>80.66</v>
      </c>
      <c r="BV31" s="580">
        <v>104.8</v>
      </c>
      <c r="BW31" s="580">
        <v>105.95</v>
      </c>
    </row>
    <row r="32" spans="1:75" s="394" customFormat="1" ht="11.1" customHeight="1">
      <c r="A32" s="755" t="s">
        <v>844</v>
      </c>
      <c r="B32" s="563">
        <v>63.94</v>
      </c>
      <c r="C32" s="563">
        <v>63.79</v>
      </c>
      <c r="D32" s="563">
        <v>80.69</v>
      </c>
      <c r="E32" s="563">
        <v>80.7</v>
      </c>
      <c r="F32" s="563">
        <v>213.99</v>
      </c>
      <c r="G32" s="563">
        <v>214.03</v>
      </c>
      <c r="H32" s="563">
        <v>64.040000000000006</v>
      </c>
      <c r="I32" s="563">
        <v>63.94</v>
      </c>
      <c r="J32" s="563">
        <v>12.09</v>
      </c>
      <c r="K32" s="563">
        <v>12.23</v>
      </c>
      <c r="L32" s="563">
        <v>12.82</v>
      </c>
      <c r="M32" s="563">
        <v>12.89</v>
      </c>
      <c r="N32" s="563">
        <v>95.37</v>
      </c>
      <c r="O32" s="563">
        <v>95.9</v>
      </c>
      <c r="P32" s="755" t="s">
        <v>844</v>
      </c>
      <c r="Q32" s="563">
        <v>10.32</v>
      </c>
      <c r="R32" s="563">
        <v>10.31</v>
      </c>
      <c r="S32" s="563">
        <v>1.26</v>
      </c>
      <c r="T32" s="563">
        <v>1.26</v>
      </c>
      <c r="U32" s="563">
        <v>0.01</v>
      </c>
      <c r="V32" s="563">
        <v>0.01</v>
      </c>
      <c r="W32" s="563">
        <v>0</v>
      </c>
      <c r="X32" s="563">
        <v>0</v>
      </c>
      <c r="Y32" s="563">
        <v>0.73</v>
      </c>
      <c r="Z32" s="563">
        <v>0.73</v>
      </c>
      <c r="AA32" s="563">
        <v>267.31</v>
      </c>
      <c r="AB32" s="563">
        <v>267.70999999999998</v>
      </c>
      <c r="AC32" s="563">
        <v>18.84</v>
      </c>
      <c r="AD32" s="563">
        <v>18.899999999999999</v>
      </c>
      <c r="AE32" s="755" t="s">
        <v>844</v>
      </c>
      <c r="AF32" s="563">
        <v>0.06</v>
      </c>
      <c r="AG32" s="563">
        <v>0.06</v>
      </c>
      <c r="AH32" s="563">
        <v>0.79</v>
      </c>
      <c r="AI32" s="563">
        <v>0.79</v>
      </c>
      <c r="AJ32" s="563">
        <v>59.1</v>
      </c>
      <c r="AK32" s="563">
        <v>58.13</v>
      </c>
      <c r="AL32" s="563">
        <v>10.23</v>
      </c>
      <c r="AM32" s="563">
        <v>10.33</v>
      </c>
      <c r="AN32" s="563">
        <v>209.55</v>
      </c>
      <c r="AO32" s="563">
        <v>209.61</v>
      </c>
      <c r="AP32" s="563">
        <v>0.77</v>
      </c>
      <c r="AQ32" s="563">
        <v>0.77</v>
      </c>
      <c r="AR32" s="563">
        <v>1.59</v>
      </c>
      <c r="AS32" s="563">
        <v>1.58</v>
      </c>
      <c r="AT32" s="755" t="s">
        <v>844</v>
      </c>
      <c r="AU32" s="691">
        <v>22.04</v>
      </c>
      <c r="AV32" s="563">
        <v>21.94</v>
      </c>
      <c r="AW32" s="563">
        <v>1.36</v>
      </c>
      <c r="AX32" s="563">
        <v>1.38</v>
      </c>
      <c r="AY32" s="563">
        <v>21.52</v>
      </c>
      <c r="AZ32" s="563">
        <v>21.52</v>
      </c>
      <c r="BA32" s="563">
        <v>7.0000000000000007E-2</v>
      </c>
      <c r="BB32" s="563">
        <v>7.0000000000000007E-2</v>
      </c>
      <c r="BC32" s="563">
        <v>59.32</v>
      </c>
      <c r="BD32" s="563">
        <v>59.4</v>
      </c>
      <c r="BE32" s="563">
        <v>9.98</v>
      </c>
      <c r="BF32" s="563">
        <v>10.11</v>
      </c>
      <c r="BG32" s="563">
        <v>0.53</v>
      </c>
      <c r="BH32" s="563">
        <v>0.53</v>
      </c>
      <c r="BI32" s="755" t="s">
        <v>844</v>
      </c>
      <c r="BJ32" s="563">
        <v>83.6</v>
      </c>
      <c r="BK32" s="563">
        <v>83.75</v>
      </c>
      <c r="BL32" s="563">
        <v>0.16</v>
      </c>
      <c r="BM32" s="563">
        <v>0.16</v>
      </c>
      <c r="BN32" s="563">
        <v>113.86</v>
      </c>
      <c r="BO32" s="563">
        <v>114.45</v>
      </c>
      <c r="BP32" s="563">
        <v>2.4300000000000002</v>
      </c>
      <c r="BQ32" s="563">
        <v>2.4300000000000002</v>
      </c>
      <c r="BR32" s="563">
        <v>21.97</v>
      </c>
      <c r="BS32" s="563">
        <v>21.97</v>
      </c>
      <c r="BT32" s="563">
        <v>80.69</v>
      </c>
      <c r="BU32" s="563">
        <v>80.7</v>
      </c>
      <c r="BV32" s="563">
        <v>104.69</v>
      </c>
      <c r="BW32" s="563">
        <v>104.31</v>
      </c>
    </row>
    <row r="33" spans="1:75" s="394" customFormat="1" ht="11.1" customHeight="1">
      <c r="A33" s="750" t="s">
        <v>838</v>
      </c>
      <c r="B33" s="580">
        <v>64.38</v>
      </c>
      <c r="C33" s="580">
        <v>63.42</v>
      </c>
      <c r="D33" s="580">
        <v>80.739999999999995</v>
      </c>
      <c r="E33" s="580">
        <v>80.8</v>
      </c>
      <c r="F33" s="580">
        <v>214.09</v>
      </c>
      <c r="G33" s="580">
        <v>214.24</v>
      </c>
      <c r="H33" s="580">
        <v>65.59</v>
      </c>
      <c r="I33" s="580">
        <v>64.77</v>
      </c>
      <c r="J33" s="580">
        <v>12.3</v>
      </c>
      <c r="K33" s="580">
        <v>12.19</v>
      </c>
      <c r="L33" s="580">
        <v>12.92</v>
      </c>
      <c r="M33" s="580">
        <v>12.75</v>
      </c>
      <c r="N33" s="580">
        <v>96.14</v>
      </c>
      <c r="O33" s="580">
        <v>94.9</v>
      </c>
      <c r="P33" s="750" t="s">
        <v>838</v>
      </c>
      <c r="Q33" s="580">
        <v>10.33</v>
      </c>
      <c r="R33" s="580">
        <v>10.35</v>
      </c>
      <c r="S33" s="580">
        <v>1.25</v>
      </c>
      <c r="T33" s="580">
        <v>1.23</v>
      </c>
      <c r="U33" s="580">
        <v>0.01</v>
      </c>
      <c r="V33" s="580">
        <v>0.01</v>
      </c>
      <c r="W33" s="580">
        <v>0</v>
      </c>
      <c r="X33" s="580">
        <v>0</v>
      </c>
      <c r="Y33" s="580">
        <v>0.73</v>
      </c>
      <c r="Z33" s="580">
        <v>0.72</v>
      </c>
      <c r="AA33" s="580">
        <v>267.86</v>
      </c>
      <c r="AB33" s="580">
        <v>268.13</v>
      </c>
      <c r="AC33" s="580">
        <v>19.149999999999999</v>
      </c>
      <c r="AD33" s="580">
        <v>19.09</v>
      </c>
      <c r="AE33" s="750" t="s">
        <v>838</v>
      </c>
      <c r="AF33" s="580">
        <v>0.06</v>
      </c>
      <c r="AG33" s="580">
        <v>0.06</v>
      </c>
      <c r="AH33" s="580">
        <v>0.79</v>
      </c>
      <c r="AI33" s="580">
        <v>0.78</v>
      </c>
      <c r="AJ33" s="580">
        <v>58.56</v>
      </c>
      <c r="AK33" s="580">
        <v>58.18</v>
      </c>
      <c r="AL33" s="580">
        <v>10.31</v>
      </c>
      <c r="AM33" s="580">
        <v>10.16</v>
      </c>
      <c r="AN33" s="580">
        <v>209.69</v>
      </c>
      <c r="AO33" s="580">
        <v>209.87</v>
      </c>
      <c r="AP33" s="580">
        <v>0.77</v>
      </c>
      <c r="AQ33" s="580">
        <v>0.77</v>
      </c>
      <c r="AR33" s="580">
        <v>1.58</v>
      </c>
      <c r="AS33" s="580">
        <v>1.58</v>
      </c>
      <c r="AT33" s="750" t="s">
        <v>838</v>
      </c>
      <c r="AU33" s="658">
        <v>21.99</v>
      </c>
      <c r="AV33" s="580">
        <v>21.75</v>
      </c>
      <c r="AW33" s="580">
        <v>1.4</v>
      </c>
      <c r="AX33" s="580">
        <v>1.39</v>
      </c>
      <c r="AY33" s="580">
        <v>21.53</v>
      </c>
      <c r="AZ33" s="580">
        <v>21.55</v>
      </c>
      <c r="BA33" s="580">
        <v>7.0000000000000007E-2</v>
      </c>
      <c r="BB33" s="580">
        <v>7.0000000000000007E-2</v>
      </c>
      <c r="BC33" s="580">
        <v>59.78</v>
      </c>
      <c r="BD33" s="580">
        <v>59.42</v>
      </c>
      <c r="BE33" s="580">
        <v>10.09</v>
      </c>
      <c r="BF33" s="580">
        <v>9.9</v>
      </c>
      <c r="BG33" s="580">
        <v>0.53</v>
      </c>
      <c r="BH33" s="580">
        <v>0.53</v>
      </c>
      <c r="BI33" s="750" t="s">
        <v>838</v>
      </c>
      <c r="BJ33" s="580">
        <v>83.92</v>
      </c>
      <c r="BK33" s="580">
        <v>83.11</v>
      </c>
      <c r="BL33" s="580">
        <v>0.16</v>
      </c>
      <c r="BM33" s="580">
        <v>0.16</v>
      </c>
      <c r="BN33" s="580">
        <v>114.7</v>
      </c>
      <c r="BO33" s="580">
        <v>114.06</v>
      </c>
      <c r="BP33" s="580">
        <v>2.4300000000000002</v>
      </c>
      <c r="BQ33" s="580">
        <v>2.41</v>
      </c>
      <c r="BR33" s="580">
        <v>21.98</v>
      </c>
      <c r="BS33" s="580">
        <v>22</v>
      </c>
      <c r="BT33" s="580">
        <v>80.739999999999995</v>
      </c>
      <c r="BU33" s="580">
        <v>80.8</v>
      </c>
      <c r="BV33" s="580">
        <v>107.21</v>
      </c>
      <c r="BW33" s="580">
        <v>108.17</v>
      </c>
    </row>
    <row r="34" spans="1:75" s="394" customFormat="1" ht="11.1" customHeight="1">
      <c r="A34" s="755" t="s">
        <v>845</v>
      </c>
      <c r="B34" s="563">
        <v>63.02</v>
      </c>
      <c r="C34" s="563">
        <v>62.17</v>
      </c>
      <c r="D34" s="563">
        <v>80.819999999999993</v>
      </c>
      <c r="E34" s="563">
        <v>80.86</v>
      </c>
      <c r="F34" s="563">
        <v>214.28</v>
      </c>
      <c r="G34" s="563">
        <v>214.34</v>
      </c>
      <c r="H34" s="563">
        <v>64.290000000000006</v>
      </c>
      <c r="I34" s="563">
        <v>63.02</v>
      </c>
      <c r="J34" s="563">
        <v>12.21</v>
      </c>
      <c r="K34" s="563">
        <v>12.18</v>
      </c>
      <c r="L34" s="563">
        <v>12.78</v>
      </c>
      <c r="M34" s="563">
        <v>12.66</v>
      </c>
      <c r="N34" s="563">
        <v>95.1</v>
      </c>
      <c r="O34" s="563">
        <v>94.21</v>
      </c>
      <c r="P34" s="755" t="s">
        <v>845</v>
      </c>
      <c r="Q34" s="563">
        <v>10.35</v>
      </c>
      <c r="R34" s="563">
        <v>10.37</v>
      </c>
      <c r="S34" s="563">
        <v>1.24</v>
      </c>
      <c r="T34" s="563">
        <v>1.25</v>
      </c>
      <c r="U34" s="563">
        <v>0.01</v>
      </c>
      <c r="V34" s="563">
        <v>0.01</v>
      </c>
      <c r="W34" s="563">
        <v>0</v>
      </c>
      <c r="X34" s="563">
        <v>0</v>
      </c>
      <c r="Y34" s="563">
        <v>0.72</v>
      </c>
      <c r="Z34" s="563">
        <v>0.71</v>
      </c>
      <c r="AA34" s="563">
        <v>267.49</v>
      </c>
      <c r="AB34" s="563">
        <v>267.52999999999997</v>
      </c>
      <c r="AC34" s="563">
        <v>19.11</v>
      </c>
      <c r="AD34" s="563">
        <v>19.11</v>
      </c>
      <c r="AE34" s="755" t="s">
        <v>845</v>
      </c>
      <c r="AF34" s="563">
        <v>0.06</v>
      </c>
      <c r="AG34" s="563">
        <v>0.06</v>
      </c>
      <c r="AH34" s="563">
        <v>0.78</v>
      </c>
      <c r="AI34" s="563">
        <v>0.78</v>
      </c>
      <c r="AJ34" s="563">
        <v>57.11</v>
      </c>
      <c r="AK34" s="563">
        <v>55.61</v>
      </c>
      <c r="AL34" s="563">
        <v>10.119999999999999</v>
      </c>
      <c r="AM34" s="563">
        <v>9.92</v>
      </c>
      <c r="AN34" s="563">
        <v>209.96</v>
      </c>
      <c r="AO34" s="563">
        <v>210.03</v>
      </c>
      <c r="AP34" s="563">
        <v>0.77</v>
      </c>
      <c r="AQ34" s="563">
        <v>0.77</v>
      </c>
      <c r="AR34" s="563">
        <v>1.57</v>
      </c>
      <c r="AS34" s="563">
        <v>1.57</v>
      </c>
      <c r="AT34" s="755" t="s">
        <v>845</v>
      </c>
      <c r="AU34" s="691">
        <v>21.78</v>
      </c>
      <c r="AV34" s="563">
        <v>21.06</v>
      </c>
      <c r="AW34" s="563">
        <v>1.4</v>
      </c>
      <c r="AX34" s="563">
        <v>1.39</v>
      </c>
      <c r="AY34" s="563">
        <v>21.55</v>
      </c>
      <c r="AZ34" s="563">
        <v>21.56</v>
      </c>
      <c r="BA34" s="563">
        <v>7.0000000000000007E-2</v>
      </c>
      <c r="BB34" s="563">
        <v>7.0000000000000007E-2</v>
      </c>
      <c r="BC34" s="563">
        <v>59.46</v>
      </c>
      <c r="BD34" s="563">
        <v>59.42</v>
      </c>
      <c r="BE34" s="563">
        <v>9.9</v>
      </c>
      <c r="BF34" s="563">
        <v>9.67</v>
      </c>
      <c r="BG34" s="563">
        <v>0.53</v>
      </c>
      <c r="BH34" s="563">
        <v>0.53</v>
      </c>
      <c r="BI34" s="755" t="s">
        <v>845</v>
      </c>
      <c r="BJ34" s="563">
        <v>82.44</v>
      </c>
      <c r="BK34" s="563">
        <v>81.319999999999993</v>
      </c>
      <c r="BL34" s="563">
        <v>0.16</v>
      </c>
      <c r="BM34" s="563">
        <v>0.16</v>
      </c>
      <c r="BN34" s="563">
        <v>113.94</v>
      </c>
      <c r="BO34" s="563">
        <v>113.49</v>
      </c>
      <c r="BP34" s="563">
        <v>2.4300000000000002</v>
      </c>
      <c r="BQ34" s="563">
        <v>2.4300000000000002</v>
      </c>
      <c r="BR34" s="563">
        <v>22</v>
      </c>
      <c r="BS34" s="563">
        <v>22.01</v>
      </c>
      <c r="BT34" s="563">
        <v>80.819999999999993</v>
      </c>
      <c r="BU34" s="563">
        <v>80.86</v>
      </c>
      <c r="BV34" s="563">
        <v>106.82</v>
      </c>
      <c r="BW34" s="563">
        <v>106.8</v>
      </c>
    </row>
    <row r="35" spans="1:75" s="394" customFormat="1" ht="11.1" customHeight="1">
      <c r="A35" s="750" t="s">
        <v>846</v>
      </c>
      <c r="B35" s="580">
        <v>61.96</v>
      </c>
      <c r="C35" s="580">
        <v>62.31</v>
      </c>
      <c r="D35" s="580">
        <v>81.260000000000005</v>
      </c>
      <c r="E35" s="580">
        <v>82.3</v>
      </c>
      <c r="F35" s="580">
        <v>215.33</v>
      </c>
      <c r="G35" s="580">
        <v>218.16</v>
      </c>
      <c r="H35" s="580">
        <v>63.67</v>
      </c>
      <c r="I35" s="580">
        <v>63.97</v>
      </c>
      <c r="J35" s="580">
        <v>12.28</v>
      </c>
      <c r="K35" s="580">
        <v>12.46</v>
      </c>
      <c r="L35" s="580">
        <v>12.81</v>
      </c>
      <c r="M35" s="580">
        <v>13.1</v>
      </c>
      <c r="N35" s="580">
        <v>95.33</v>
      </c>
      <c r="O35" s="580">
        <v>97.5</v>
      </c>
      <c r="P35" s="750" t="s">
        <v>846</v>
      </c>
      <c r="Q35" s="580">
        <v>10.41</v>
      </c>
      <c r="R35" s="580">
        <v>10.54</v>
      </c>
      <c r="S35" s="580">
        <v>1.25</v>
      </c>
      <c r="T35" s="580">
        <v>1.28</v>
      </c>
      <c r="U35" s="580">
        <v>0.01</v>
      </c>
      <c r="V35" s="580">
        <v>0.01</v>
      </c>
      <c r="W35" s="580">
        <v>0</v>
      </c>
      <c r="X35" s="580">
        <v>0</v>
      </c>
      <c r="Y35" s="580">
        <v>0.72</v>
      </c>
      <c r="Z35" s="580">
        <v>0.74</v>
      </c>
      <c r="AA35" s="580">
        <v>268.88</v>
      </c>
      <c r="AB35" s="580">
        <v>272.79000000000002</v>
      </c>
      <c r="AC35" s="580">
        <v>19.47</v>
      </c>
      <c r="AD35" s="580">
        <v>20.14</v>
      </c>
      <c r="AE35" s="750" t="s">
        <v>846</v>
      </c>
      <c r="AF35" s="580">
        <v>0.06</v>
      </c>
      <c r="AG35" s="580">
        <v>0.06</v>
      </c>
      <c r="AH35" s="580">
        <v>0.78</v>
      </c>
      <c r="AI35" s="580">
        <v>0.8</v>
      </c>
      <c r="AJ35" s="580">
        <v>55.97</v>
      </c>
      <c r="AK35" s="580">
        <v>56.63</v>
      </c>
      <c r="AL35" s="580">
        <v>9.93</v>
      </c>
      <c r="AM35" s="580">
        <v>9.9700000000000006</v>
      </c>
      <c r="AN35" s="580">
        <v>211.05</v>
      </c>
      <c r="AO35" s="580">
        <v>213.77</v>
      </c>
      <c r="AP35" s="580">
        <v>0.77</v>
      </c>
      <c r="AQ35" s="580">
        <v>0.78</v>
      </c>
      <c r="AR35" s="580">
        <v>1.59</v>
      </c>
      <c r="AS35" s="580">
        <v>1.63</v>
      </c>
      <c r="AT35" s="750" t="s">
        <v>846</v>
      </c>
      <c r="AU35" s="661">
        <v>21.9</v>
      </c>
      <c r="AV35" s="580">
        <v>22.61</v>
      </c>
      <c r="AW35" s="580">
        <v>1.38</v>
      </c>
      <c r="AX35" s="580">
        <v>1.41</v>
      </c>
      <c r="AY35" s="580">
        <v>21.67</v>
      </c>
      <c r="AZ35" s="580">
        <v>21.95</v>
      </c>
      <c r="BA35" s="580">
        <v>7.0000000000000007E-2</v>
      </c>
      <c r="BB35" s="580">
        <v>0.08</v>
      </c>
      <c r="BC35" s="580">
        <v>59.91</v>
      </c>
      <c r="BD35" s="580">
        <v>61.09</v>
      </c>
      <c r="BE35" s="580">
        <v>9.69</v>
      </c>
      <c r="BF35" s="580">
        <v>9.84</v>
      </c>
      <c r="BG35" s="580">
        <v>0.53</v>
      </c>
      <c r="BH35" s="580">
        <v>0.54</v>
      </c>
      <c r="BI35" s="750" t="s">
        <v>846</v>
      </c>
      <c r="BJ35" s="580">
        <v>81.91</v>
      </c>
      <c r="BK35" s="580">
        <v>83.59</v>
      </c>
      <c r="BL35" s="580">
        <v>0.16</v>
      </c>
      <c r="BM35" s="580">
        <v>0.16</v>
      </c>
      <c r="BN35" s="580">
        <v>114.4</v>
      </c>
      <c r="BO35" s="580">
        <v>116.57</v>
      </c>
      <c r="BP35" s="580">
        <v>2.4700000000000002</v>
      </c>
      <c r="BQ35" s="580">
        <v>2.52</v>
      </c>
      <c r="BR35" s="580">
        <v>22.12</v>
      </c>
      <c r="BS35" s="580">
        <v>22.41</v>
      </c>
      <c r="BT35" s="580">
        <v>81.260000000000005</v>
      </c>
      <c r="BU35" s="580">
        <v>82.3</v>
      </c>
      <c r="BV35" s="580">
        <v>107.45</v>
      </c>
      <c r="BW35" s="580">
        <v>110.35</v>
      </c>
    </row>
    <row r="36" spans="1:75" s="394" customFormat="1" ht="11.1" customHeight="1">
      <c r="A36" s="755" t="s">
        <v>839</v>
      </c>
      <c r="B36" s="563">
        <v>63.05</v>
      </c>
      <c r="C36" s="563">
        <v>64.52</v>
      </c>
      <c r="D36" s="563">
        <v>82.55</v>
      </c>
      <c r="E36" s="563">
        <v>82.7</v>
      </c>
      <c r="F36" s="563">
        <v>218.87</v>
      </c>
      <c r="G36" s="563">
        <v>219.31</v>
      </c>
      <c r="H36" s="563">
        <v>64.62</v>
      </c>
      <c r="I36" s="563">
        <v>65.739999999999995</v>
      </c>
      <c r="J36" s="563">
        <v>12.52</v>
      </c>
      <c r="K36" s="563">
        <v>12.66</v>
      </c>
      <c r="L36" s="563">
        <v>13.12</v>
      </c>
      <c r="M36" s="563">
        <v>13.33</v>
      </c>
      <c r="N36" s="563">
        <v>97.69</v>
      </c>
      <c r="O36" s="563">
        <v>99.22</v>
      </c>
      <c r="P36" s="755" t="s">
        <v>839</v>
      </c>
      <c r="Q36" s="563">
        <v>10.57</v>
      </c>
      <c r="R36" s="563">
        <v>10.59</v>
      </c>
      <c r="S36" s="563">
        <v>1.28</v>
      </c>
      <c r="T36" s="563">
        <v>1.3</v>
      </c>
      <c r="U36" s="563">
        <v>0.01</v>
      </c>
      <c r="V36" s="563">
        <v>0.01</v>
      </c>
      <c r="W36" s="563">
        <v>0</v>
      </c>
      <c r="X36" s="563">
        <v>0</v>
      </c>
      <c r="Y36" s="563">
        <v>0.73</v>
      </c>
      <c r="Z36" s="563">
        <v>0.73</v>
      </c>
      <c r="AA36" s="563">
        <v>273.31</v>
      </c>
      <c r="AB36" s="563">
        <v>274.3</v>
      </c>
      <c r="AC36" s="563">
        <v>20.239999999999998</v>
      </c>
      <c r="AD36" s="563">
        <v>20.43</v>
      </c>
      <c r="AE36" s="755" t="s">
        <v>839</v>
      </c>
      <c r="AF36" s="563">
        <v>0.06</v>
      </c>
      <c r="AG36" s="563">
        <v>0.06</v>
      </c>
      <c r="AH36" s="563">
        <v>0.8</v>
      </c>
      <c r="AI36" s="563">
        <v>0.81</v>
      </c>
      <c r="AJ36" s="563">
        <v>57.45</v>
      </c>
      <c r="AK36" s="563">
        <v>58.61</v>
      </c>
      <c r="AL36" s="563">
        <v>9.93</v>
      </c>
      <c r="AM36" s="563">
        <v>10.07</v>
      </c>
      <c r="AN36" s="563">
        <v>214.42</v>
      </c>
      <c r="AO36" s="563">
        <v>214.78</v>
      </c>
      <c r="AP36" s="563">
        <v>0.76</v>
      </c>
      <c r="AQ36" s="563">
        <v>0.75</v>
      </c>
      <c r="AR36" s="563">
        <v>1.64</v>
      </c>
      <c r="AS36" s="563">
        <v>1.65</v>
      </c>
      <c r="AT36" s="755" t="s">
        <v>839</v>
      </c>
      <c r="AU36" s="840">
        <v>22.67</v>
      </c>
      <c r="AV36" s="563">
        <v>22.71</v>
      </c>
      <c r="AW36" s="563">
        <v>1.41</v>
      </c>
      <c r="AX36" s="563">
        <v>1.43</v>
      </c>
      <c r="AY36" s="563">
        <v>22.01</v>
      </c>
      <c r="AZ36" s="563">
        <v>22.05</v>
      </c>
      <c r="BA36" s="563">
        <v>0.08</v>
      </c>
      <c r="BB36" s="563">
        <v>0.08</v>
      </c>
      <c r="BC36" s="563">
        <v>61.31</v>
      </c>
      <c r="BD36" s="563">
        <v>61.83</v>
      </c>
      <c r="BE36" s="563">
        <v>9.84</v>
      </c>
      <c r="BF36" s="563">
        <v>10.08</v>
      </c>
      <c r="BG36" s="563">
        <v>0.54</v>
      </c>
      <c r="BH36" s="563">
        <v>0.54</v>
      </c>
      <c r="BI36" s="755" t="s">
        <v>839</v>
      </c>
      <c r="BJ36" s="563">
        <v>83.66</v>
      </c>
      <c r="BK36" s="563">
        <v>84.88</v>
      </c>
      <c r="BL36" s="563">
        <v>0.16</v>
      </c>
      <c r="BM36" s="563">
        <v>0.16</v>
      </c>
      <c r="BN36" s="563">
        <v>116.82</v>
      </c>
      <c r="BO36" s="563">
        <v>117.77</v>
      </c>
      <c r="BP36" s="563">
        <v>2.5299999999999998</v>
      </c>
      <c r="BQ36" s="563">
        <v>2.54</v>
      </c>
      <c r="BR36" s="563">
        <v>22.48</v>
      </c>
      <c r="BS36" s="563">
        <v>22.52</v>
      </c>
      <c r="BT36" s="563">
        <v>82.55</v>
      </c>
      <c r="BU36" s="563">
        <v>82.7</v>
      </c>
      <c r="BV36" s="563">
        <v>110.59</v>
      </c>
      <c r="BW36" s="563">
        <v>111.76</v>
      </c>
    </row>
    <row r="37" spans="1:75" s="394" customFormat="1" ht="11.1" customHeight="1">
      <c r="A37" s="750" t="s">
        <v>847</v>
      </c>
      <c r="B37" s="580">
        <v>65.510000000000005</v>
      </c>
      <c r="C37" s="580">
        <v>67.010000000000005</v>
      </c>
      <c r="D37" s="580">
        <v>82.82</v>
      </c>
      <c r="E37" s="580">
        <v>82.9</v>
      </c>
      <c r="F37" s="580">
        <v>219.63</v>
      </c>
      <c r="G37" s="580">
        <v>219.89</v>
      </c>
      <c r="H37" s="580">
        <v>66.55</v>
      </c>
      <c r="I37" s="580">
        <v>67.209999999999994</v>
      </c>
      <c r="J37" s="580">
        <v>13.21</v>
      </c>
      <c r="K37" s="580">
        <v>13.09</v>
      </c>
      <c r="L37" s="580">
        <v>13.54</v>
      </c>
      <c r="M37" s="580">
        <v>13.81</v>
      </c>
      <c r="N37" s="580">
        <v>100.81</v>
      </c>
      <c r="O37" s="580">
        <v>102.81</v>
      </c>
      <c r="P37" s="750" t="s">
        <v>847</v>
      </c>
      <c r="Q37" s="580">
        <v>10.59</v>
      </c>
      <c r="R37" s="580">
        <v>10.6</v>
      </c>
      <c r="S37" s="580">
        <v>1.3</v>
      </c>
      <c r="T37" s="580">
        <v>1.3</v>
      </c>
      <c r="U37" s="580">
        <v>0.01</v>
      </c>
      <c r="V37" s="580">
        <v>0.01</v>
      </c>
      <c r="W37" s="580">
        <v>0</v>
      </c>
      <c r="X37" s="580">
        <v>0</v>
      </c>
      <c r="Y37" s="580">
        <v>0.75</v>
      </c>
      <c r="Z37" s="580">
        <v>0.76</v>
      </c>
      <c r="AA37" s="580">
        <v>275.27999999999997</v>
      </c>
      <c r="AB37" s="580">
        <v>276.66000000000003</v>
      </c>
      <c r="AC37" s="580">
        <v>20.91</v>
      </c>
      <c r="AD37" s="580">
        <v>21.25</v>
      </c>
      <c r="AE37" s="750" t="s">
        <v>847</v>
      </c>
      <c r="AF37" s="580">
        <v>0.06</v>
      </c>
      <c r="AG37" s="580">
        <v>0.06</v>
      </c>
      <c r="AH37" s="580">
        <v>0.81</v>
      </c>
      <c r="AI37" s="580">
        <v>0.82</v>
      </c>
      <c r="AJ37" s="580">
        <v>60.17</v>
      </c>
      <c r="AK37" s="580">
        <v>60.77</v>
      </c>
      <c r="AL37" s="580">
        <v>10.44</v>
      </c>
      <c r="AM37" s="580">
        <v>10.74</v>
      </c>
      <c r="AN37" s="580">
        <v>215.1</v>
      </c>
      <c r="AO37" s="580">
        <v>215.32</v>
      </c>
      <c r="AP37" s="580">
        <v>0.75</v>
      </c>
      <c r="AQ37" s="580">
        <v>0.75</v>
      </c>
      <c r="AR37" s="580">
        <v>1.64</v>
      </c>
      <c r="AS37" s="580">
        <v>1.62</v>
      </c>
      <c r="AT37" s="750" t="s">
        <v>847</v>
      </c>
      <c r="AU37" s="661">
        <v>22.73</v>
      </c>
      <c r="AV37" s="580">
        <v>22.77</v>
      </c>
      <c r="AW37" s="580">
        <v>1.46</v>
      </c>
      <c r="AX37" s="580">
        <v>1.47</v>
      </c>
      <c r="AY37" s="580">
        <v>22.08</v>
      </c>
      <c r="AZ37" s="580">
        <v>22.11</v>
      </c>
      <c r="BA37" s="580">
        <v>0.08</v>
      </c>
      <c r="BB37" s="580">
        <v>0.08</v>
      </c>
      <c r="BC37" s="580">
        <v>62.59</v>
      </c>
      <c r="BD37" s="580">
        <v>63.21</v>
      </c>
      <c r="BE37" s="580">
        <v>10.28</v>
      </c>
      <c r="BF37" s="580">
        <v>10.53</v>
      </c>
      <c r="BG37" s="580">
        <v>0.54</v>
      </c>
      <c r="BH37" s="580">
        <v>0.54</v>
      </c>
      <c r="BI37" s="750" t="s">
        <v>847</v>
      </c>
      <c r="BJ37" s="580">
        <v>86</v>
      </c>
      <c r="BK37" s="580">
        <v>88.73</v>
      </c>
      <c r="BL37" s="580">
        <v>0.16</v>
      </c>
      <c r="BM37" s="580">
        <v>0.16</v>
      </c>
      <c r="BN37" s="580">
        <v>118.98</v>
      </c>
      <c r="BO37" s="580">
        <v>120.63</v>
      </c>
      <c r="BP37" s="580">
        <v>2.59</v>
      </c>
      <c r="BQ37" s="580">
        <v>2.64</v>
      </c>
      <c r="BR37" s="580">
        <v>22.55</v>
      </c>
      <c r="BS37" s="580">
        <v>22.57</v>
      </c>
      <c r="BT37" s="580">
        <v>82.82</v>
      </c>
      <c r="BU37" s="580">
        <v>82.9</v>
      </c>
      <c r="BV37" s="580">
        <v>114.21</v>
      </c>
      <c r="BW37" s="580">
        <v>117.27</v>
      </c>
    </row>
    <row r="38" spans="1:75" s="394" customFormat="1" ht="11.1" customHeight="1">
      <c r="A38" s="755" t="s">
        <v>848</v>
      </c>
      <c r="B38" s="563">
        <v>65.36</v>
      </c>
      <c r="C38" s="563">
        <v>64.62</v>
      </c>
      <c r="D38" s="563">
        <v>82.92</v>
      </c>
      <c r="E38" s="563">
        <v>82.96</v>
      </c>
      <c r="F38" s="563">
        <v>219.94</v>
      </c>
      <c r="G38" s="563">
        <v>220.05</v>
      </c>
      <c r="H38" s="563">
        <v>66.05</v>
      </c>
      <c r="I38" s="563">
        <v>64.930000000000007</v>
      </c>
      <c r="J38" s="563">
        <v>13.12</v>
      </c>
      <c r="K38" s="563">
        <v>13.11</v>
      </c>
      <c r="L38" s="563">
        <v>13.75</v>
      </c>
      <c r="M38" s="563">
        <v>13.63</v>
      </c>
      <c r="N38" s="563">
        <v>102.4</v>
      </c>
      <c r="O38" s="563">
        <v>101.48</v>
      </c>
      <c r="P38" s="755" t="s">
        <v>848</v>
      </c>
      <c r="Q38" s="563">
        <v>10.6</v>
      </c>
      <c r="R38" s="563">
        <v>10.6</v>
      </c>
      <c r="S38" s="563">
        <v>1.29</v>
      </c>
      <c r="T38" s="563">
        <v>1.28</v>
      </c>
      <c r="U38" s="563">
        <v>0.01</v>
      </c>
      <c r="V38" s="563">
        <v>0.01</v>
      </c>
      <c r="W38" s="563">
        <v>0</v>
      </c>
      <c r="X38" s="563">
        <v>0</v>
      </c>
      <c r="Y38" s="563">
        <v>0.77</v>
      </c>
      <c r="Z38" s="563">
        <v>0.77</v>
      </c>
      <c r="AA38" s="563">
        <v>276.57</v>
      </c>
      <c r="AB38" s="563">
        <v>276.86</v>
      </c>
      <c r="AC38" s="563">
        <v>21.21</v>
      </c>
      <c r="AD38" s="563">
        <v>21.13</v>
      </c>
      <c r="AE38" s="755" t="s">
        <v>848</v>
      </c>
      <c r="AF38" s="563">
        <v>0.06</v>
      </c>
      <c r="AG38" s="563">
        <v>0.06</v>
      </c>
      <c r="AH38" s="563">
        <v>0.81</v>
      </c>
      <c r="AI38" s="563">
        <v>0.8</v>
      </c>
      <c r="AJ38" s="563">
        <v>60.62</v>
      </c>
      <c r="AK38" s="563">
        <v>60.03</v>
      </c>
      <c r="AL38" s="563">
        <v>10.59</v>
      </c>
      <c r="AM38" s="563">
        <v>10.54</v>
      </c>
      <c r="AN38" s="563">
        <v>215.38</v>
      </c>
      <c r="AO38" s="563">
        <v>215.48</v>
      </c>
      <c r="AP38" s="563">
        <v>0.75</v>
      </c>
      <c r="AQ38" s="563">
        <v>0.75</v>
      </c>
      <c r="AR38" s="563">
        <v>1.6</v>
      </c>
      <c r="AS38" s="563">
        <v>1.59</v>
      </c>
      <c r="AT38" s="755" t="s">
        <v>848</v>
      </c>
      <c r="AU38" s="840">
        <v>22.76</v>
      </c>
      <c r="AV38" s="563">
        <v>22.78</v>
      </c>
      <c r="AW38" s="563">
        <v>1.46</v>
      </c>
      <c r="AX38" s="563">
        <v>1.47</v>
      </c>
      <c r="AY38" s="563">
        <v>22.11</v>
      </c>
      <c r="AZ38" s="563">
        <v>22.12</v>
      </c>
      <c r="BA38" s="563">
        <v>0.08</v>
      </c>
      <c r="BB38" s="563">
        <v>0.08</v>
      </c>
      <c r="BC38" s="563">
        <v>62.85</v>
      </c>
      <c r="BD38" s="563">
        <v>62.64</v>
      </c>
      <c r="BE38" s="563">
        <v>10.33</v>
      </c>
      <c r="BF38" s="563">
        <v>10.08</v>
      </c>
      <c r="BG38" s="563">
        <v>0.54</v>
      </c>
      <c r="BH38" s="563">
        <v>0.54</v>
      </c>
      <c r="BI38" s="755" t="s">
        <v>848</v>
      </c>
      <c r="BJ38" s="563">
        <v>88.71</v>
      </c>
      <c r="BK38" s="563">
        <v>88.35</v>
      </c>
      <c r="BL38" s="563">
        <v>0.16</v>
      </c>
      <c r="BM38" s="563">
        <v>0.16</v>
      </c>
      <c r="BN38" s="563">
        <v>120.45</v>
      </c>
      <c r="BO38" s="563">
        <v>120.41</v>
      </c>
      <c r="BP38" s="563">
        <v>2.63</v>
      </c>
      <c r="BQ38" s="563">
        <v>2.64</v>
      </c>
      <c r="BR38" s="563">
        <v>22.58</v>
      </c>
      <c r="BS38" s="563">
        <v>22.59</v>
      </c>
      <c r="BT38" s="563">
        <v>82.92</v>
      </c>
      <c r="BU38" s="563">
        <v>82.96</v>
      </c>
      <c r="BV38" s="563">
        <v>115.89</v>
      </c>
      <c r="BW38" s="563">
        <v>115.39</v>
      </c>
    </row>
    <row r="39" spans="1:75" s="394" customFormat="1" ht="11.1" customHeight="1">
      <c r="A39" s="750" t="s">
        <v>840</v>
      </c>
      <c r="B39" s="580">
        <v>64.45</v>
      </c>
      <c r="C39" s="580">
        <v>63.56</v>
      </c>
      <c r="D39" s="580">
        <v>82.96</v>
      </c>
      <c r="E39" s="580">
        <v>82.96</v>
      </c>
      <c r="F39" s="580">
        <v>220.03</v>
      </c>
      <c r="G39" s="580">
        <v>219.99</v>
      </c>
      <c r="H39" s="580">
        <v>64.209999999999994</v>
      </c>
      <c r="I39" s="580">
        <v>64.2</v>
      </c>
      <c r="J39" s="580">
        <v>13.12</v>
      </c>
      <c r="K39" s="580">
        <v>13.16</v>
      </c>
      <c r="L39" s="580">
        <v>13.74</v>
      </c>
      <c r="M39" s="580">
        <v>13.7</v>
      </c>
      <c r="N39" s="580">
        <v>102.32</v>
      </c>
      <c r="O39" s="580">
        <v>102.11</v>
      </c>
      <c r="P39" s="750" t="s">
        <v>840</v>
      </c>
      <c r="Q39" s="580">
        <v>10.58</v>
      </c>
      <c r="R39" s="580">
        <v>10.57</v>
      </c>
      <c r="S39" s="580">
        <v>1.28</v>
      </c>
      <c r="T39" s="580">
        <v>1.27</v>
      </c>
      <c r="U39" s="580">
        <v>0.01</v>
      </c>
      <c r="V39" s="580">
        <v>0.01</v>
      </c>
      <c r="W39" s="580">
        <v>0</v>
      </c>
      <c r="X39" s="580">
        <v>0</v>
      </c>
      <c r="Y39" s="580">
        <v>0.78</v>
      </c>
      <c r="Z39" s="580">
        <v>0.78</v>
      </c>
      <c r="AA39" s="580">
        <v>276.73</v>
      </c>
      <c r="AB39" s="580">
        <v>277.13</v>
      </c>
      <c r="AC39" s="580">
        <v>21.25</v>
      </c>
      <c r="AD39" s="580">
        <v>21.45</v>
      </c>
      <c r="AE39" s="750" t="s">
        <v>840</v>
      </c>
      <c r="AF39" s="580">
        <v>0.06</v>
      </c>
      <c r="AG39" s="580">
        <v>0.06</v>
      </c>
      <c r="AH39" s="580">
        <v>0.8</v>
      </c>
      <c r="AI39" s="580">
        <v>0.8</v>
      </c>
      <c r="AJ39" s="580">
        <v>60.19</v>
      </c>
      <c r="AK39" s="580">
        <v>59.83</v>
      </c>
      <c r="AL39" s="580">
        <v>10.68</v>
      </c>
      <c r="AM39" s="580">
        <v>10.55</v>
      </c>
      <c r="AN39" s="580">
        <v>215.48</v>
      </c>
      <c r="AO39" s="580">
        <v>215.48</v>
      </c>
      <c r="AP39" s="580">
        <v>0.74</v>
      </c>
      <c r="AQ39" s="580">
        <v>0.72</v>
      </c>
      <c r="AR39" s="580">
        <v>1.59</v>
      </c>
      <c r="AS39" s="580">
        <v>1.59</v>
      </c>
      <c r="AT39" s="750" t="s">
        <v>840</v>
      </c>
      <c r="AU39" s="661">
        <v>22.77</v>
      </c>
      <c r="AV39" s="580">
        <v>22.78</v>
      </c>
      <c r="AW39" s="580">
        <v>1.46</v>
      </c>
      <c r="AX39" s="580">
        <v>1.44</v>
      </c>
      <c r="AY39" s="580">
        <v>22.12</v>
      </c>
      <c r="AZ39" s="580">
        <v>22.12</v>
      </c>
      <c r="BA39" s="580">
        <v>0.08</v>
      </c>
      <c r="BB39" s="580">
        <v>0.08</v>
      </c>
      <c r="BC39" s="580">
        <v>63.07</v>
      </c>
      <c r="BD39" s="580">
        <v>63.24</v>
      </c>
      <c r="BE39" s="580">
        <v>10.08</v>
      </c>
      <c r="BF39" s="580">
        <v>9.94</v>
      </c>
      <c r="BG39" s="580">
        <v>0.53</v>
      </c>
      <c r="BH39" s="580">
        <v>0.53</v>
      </c>
      <c r="BI39" s="750" t="s">
        <v>840</v>
      </c>
      <c r="BJ39" s="580">
        <v>87.58</v>
      </c>
      <c r="BK39" s="580">
        <v>86.71</v>
      </c>
      <c r="BL39" s="580">
        <v>0.16</v>
      </c>
      <c r="BM39" s="580">
        <v>0.16</v>
      </c>
      <c r="BN39" s="580">
        <v>120.49</v>
      </c>
      <c r="BO39" s="580">
        <v>120.6</v>
      </c>
      <c r="BP39" s="580">
        <v>2.65</v>
      </c>
      <c r="BQ39" s="580">
        <v>2.65</v>
      </c>
      <c r="BR39" s="580">
        <v>22.59</v>
      </c>
      <c r="BS39" s="580">
        <v>22.59</v>
      </c>
      <c r="BT39" s="580">
        <v>82.96</v>
      </c>
      <c r="BU39" s="580">
        <v>82.96</v>
      </c>
      <c r="BV39" s="580">
        <v>115.87</v>
      </c>
      <c r="BW39" s="580">
        <v>116.79</v>
      </c>
    </row>
    <row r="40" spans="1:75" s="394" customFormat="1" ht="11.1" customHeight="1">
      <c r="A40" s="755" t="s">
        <v>849</v>
      </c>
      <c r="B40" s="563">
        <v>63.81</v>
      </c>
      <c r="C40" s="563">
        <v>62.92</v>
      </c>
      <c r="D40" s="563">
        <v>82.97</v>
      </c>
      <c r="E40" s="563">
        <v>82.98</v>
      </c>
      <c r="F40" s="563">
        <v>220.06</v>
      </c>
      <c r="G40" s="563">
        <v>220.08</v>
      </c>
      <c r="H40" s="563">
        <v>65.14</v>
      </c>
      <c r="I40" s="563">
        <v>64.69</v>
      </c>
      <c r="J40" s="563">
        <v>13.17</v>
      </c>
      <c r="K40" s="563">
        <v>13.09</v>
      </c>
      <c r="L40" s="563">
        <v>13.69</v>
      </c>
      <c r="M40" s="563">
        <v>13.51</v>
      </c>
      <c r="N40" s="563">
        <v>101.97</v>
      </c>
      <c r="O40" s="563">
        <v>100.65</v>
      </c>
      <c r="P40" s="755" t="s">
        <v>849</v>
      </c>
      <c r="Q40" s="563">
        <v>10.57</v>
      </c>
      <c r="R40" s="563">
        <v>10.57</v>
      </c>
      <c r="S40" s="563">
        <v>1.26</v>
      </c>
      <c r="T40" s="563">
        <v>1.25</v>
      </c>
      <c r="U40" s="563">
        <v>0.01</v>
      </c>
      <c r="V40" s="563">
        <v>0.01</v>
      </c>
      <c r="W40" s="563">
        <v>0</v>
      </c>
      <c r="X40" s="563">
        <v>0</v>
      </c>
      <c r="Y40" s="563">
        <v>0.77</v>
      </c>
      <c r="Z40" s="563">
        <v>0.76</v>
      </c>
      <c r="AA40" s="563">
        <v>276.52</v>
      </c>
      <c r="AB40" s="563">
        <v>275.68</v>
      </c>
      <c r="AC40" s="563">
        <v>21.35</v>
      </c>
      <c r="AD40" s="563">
        <v>21.17</v>
      </c>
      <c r="AE40" s="755" t="s">
        <v>849</v>
      </c>
      <c r="AF40" s="563">
        <v>0.06</v>
      </c>
      <c r="AG40" s="563">
        <v>0.06</v>
      </c>
      <c r="AH40" s="563">
        <v>0.79</v>
      </c>
      <c r="AI40" s="563">
        <v>0.78</v>
      </c>
      <c r="AJ40" s="563">
        <v>60.17</v>
      </c>
      <c r="AK40" s="563">
        <v>58.79</v>
      </c>
      <c r="AL40" s="563">
        <v>10.59</v>
      </c>
      <c r="AM40" s="563">
        <v>10.43</v>
      </c>
      <c r="AN40" s="563">
        <v>215.52</v>
      </c>
      <c r="AO40" s="563">
        <v>215.53</v>
      </c>
      <c r="AP40" s="563">
        <v>0.72</v>
      </c>
      <c r="AQ40" s="563">
        <v>0.72</v>
      </c>
      <c r="AR40" s="563">
        <v>1.59</v>
      </c>
      <c r="AS40" s="563">
        <v>1.6</v>
      </c>
      <c r="AT40" s="755" t="s">
        <v>849</v>
      </c>
      <c r="AU40" s="840">
        <v>22.79</v>
      </c>
      <c r="AV40" s="563">
        <v>22.79</v>
      </c>
      <c r="AW40" s="563">
        <v>1.37</v>
      </c>
      <c r="AX40" s="563">
        <v>1.33</v>
      </c>
      <c r="AY40" s="563">
        <v>22.13</v>
      </c>
      <c r="AZ40" s="563">
        <v>22.13</v>
      </c>
      <c r="BA40" s="563">
        <v>0.08</v>
      </c>
      <c r="BB40" s="563">
        <v>0.08</v>
      </c>
      <c r="BC40" s="563">
        <v>63.1</v>
      </c>
      <c r="BD40" s="563">
        <v>62.69</v>
      </c>
      <c r="BE40" s="563">
        <v>9.84</v>
      </c>
      <c r="BF40" s="563">
        <v>9.57</v>
      </c>
      <c r="BG40" s="563">
        <v>0.53</v>
      </c>
      <c r="BH40" s="563">
        <v>0.53</v>
      </c>
      <c r="BI40" s="755" t="s">
        <v>849</v>
      </c>
      <c r="BJ40" s="563">
        <v>85.86</v>
      </c>
      <c r="BK40" s="563">
        <v>84</v>
      </c>
      <c r="BL40" s="563">
        <v>0.16</v>
      </c>
      <c r="BM40" s="563">
        <v>0.16</v>
      </c>
      <c r="BN40" s="563">
        <v>120.41</v>
      </c>
      <c r="BO40" s="563">
        <v>119.31</v>
      </c>
      <c r="BP40" s="563">
        <v>2.65</v>
      </c>
      <c r="BQ40" s="563">
        <v>2.63</v>
      </c>
      <c r="BR40" s="563">
        <v>22.59</v>
      </c>
      <c r="BS40" s="563">
        <v>22.59</v>
      </c>
      <c r="BT40" s="563">
        <v>82.97</v>
      </c>
      <c r="BU40" s="563">
        <v>82.98</v>
      </c>
      <c r="BV40" s="563">
        <v>116.81</v>
      </c>
      <c r="BW40" s="563">
        <v>114.35</v>
      </c>
    </row>
    <row r="41" spans="1:75" s="394" customFormat="1" ht="11.1" customHeight="1">
      <c r="A41" s="750" t="s">
        <v>850</v>
      </c>
      <c r="B41" s="580">
        <v>62.74</v>
      </c>
      <c r="C41" s="580">
        <v>63.42</v>
      </c>
      <c r="D41" s="580">
        <v>83.38</v>
      </c>
      <c r="E41" s="580">
        <v>83.7</v>
      </c>
      <c r="F41" s="580">
        <v>220.98</v>
      </c>
      <c r="G41" s="580">
        <v>221.66</v>
      </c>
      <c r="H41" s="580">
        <v>64.8</v>
      </c>
      <c r="I41" s="580">
        <v>65.02</v>
      </c>
      <c r="J41" s="580">
        <v>13.08</v>
      </c>
      <c r="K41" s="580">
        <v>13.05</v>
      </c>
      <c r="L41" s="580">
        <v>13.23</v>
      </c>
      <c r="M41" s="580">
        <v>13.12</v>
      </c>
      <c r="N41" s="580">
        <v>98.51</v>
      </c>
      <c r="O41" s="580">
        <v>97.62</v>
      </c>
      <c r="P41" s="750" t="s">
        <v>850</v>
      </c>
      <c r="Q41" s="580">
        <v>10.62</v>
      </c>
      <c r="R41" s="580">
        <v>10.67</v>
      </c>
      <c r="S41" s="580">
        <v>1.23</v>
      </c>
      <c r="T41" s="580">
        <v>1.24</v>
      </c>
      <c r="U41" s="580">
        <v>0.01</v>
      </c>
      <c r="V41" s="580">
        <v>0.01</v>
      </c>
      <c r="W41" s="580">
        <v>0</v>
      </c>
      <c r="X41" s="580">
        <v>0</v>
      </c>
      <c r="Y41" s="580">
        <v>0.76</v>
      </c>
      <c r="Z41" s="580">
        <v>0.77</v>
      </c>
      <c r="AA41" s="580">
        <v>276.32</v>
      </c>
      <c r="AB41" s="580">
        <v>276.74</v>
      </c>
      <c r="AC41" s="580">
        <v>21.04</v>
      </c>
      <c r="AD41" s="580">
        <v>21.04</v>
      </c>
      <c r="AE41" s="750" t="s">
        <v>850</v>
      </c>
      <c r="AF41" s="580">
        <v>0.06</v>
      </c>
      <c r="AG41" s="580">
        <v>0.06</v>
      </c>
      <c r="AH41" s="580">
        <v>0.77</v>
      </c>
      <c r="AI41" s="580">
        <v>0.78</v>
      </c>
      <c r="AJ41" s="580">
        <v>57.92</v>
      </c>
      <c r="AK41" s="580">
        <v>58.49</v>
      </c>
      <c r="AL41" s="580">
        <v>10.29</v>
      </c>
      <c r="AM41" s="580">
        <v>10.23</v>
      </c>
      <c r="AN41" s="580">
        <v>216.44</v>
      </c>
      <c r="AO41" s="580">
        <v>217.4</v>
      </c>
      <c r="AP41" s="580">
        <v>0.72</v>
      </c>
      <c r="AQ41" s="580">
        <v>0.72</v>
      </c>
      <c r="AR41" s="580">
        <v>1.6</v>
      </c>
      <c r="AS41" s="580">
        <v>1.59</v>
      </c>
      <c r="AT41" s="750" t="s">
        <v>850</v>
      </c>
      <c r="AU41" s="661">
        <v>22.9</v>
      </c>
      <c r="AV41" s="580">
        <v>22.99</v>
      </c>
      <c r="AW41" s="580">
        <v>1.34</v>
      </c>
      <c r="AX41" s="580">
        <v>1.35</v>
      </c>
      <c r="AY41" s="580">
        <v>22.23</v>
      </c>
      <c r="AZ41" s="580">
        <v>22.32</v>
      </c>
      <c r="BA41" s="580">
        <v>0.08</v>
      </c>
      <c r="BB41" s="580">
        <v>0.08</v>
      </c>
      <c r="BC41" s="580">
        <v>62.22</v>
      </c>
      <c r="BD41" s="580">
        <v>62.5</v>
      </c>
      <c r="BE41" s="580">
        <v>9.52</v>
      </c>
      <c r="BF41" s="580">
        <v>9.5</v>
      </c>
      <c r="BG41" s="580">
        <v>0.53</v>
      </c>
      <c r="BH41" s="580">
        <v>0.53</v>
      </c>
      <c r="BI41" s="750" t="s">
        <v>850</v>
      </c>
      <c r="BJ41" s="580">
        <v>83.55</v>
      </c>
      <c r="BK41" s="580">
        <v>84.61</v>
      </c>
      <c r="BL41" s="580">
        <v>0.16</v>
      </c>
      <c r="BM41" s="580">
        <v>0.16</v>
      </c>
      <c r="BN41" s="580">
        <v>118.41</v>
      </c>
      <c r="BO41" s="580">
        <v>118.37</v>
      </c>
      <c r="BP41" s="580">
        <v>2.61</v>
      </c>
      <c r="BQ41" s="580">
        <v>2.62</v>
      </c>
      <c r="BR41" s="580">
        <v>22.7</v>
      </c>
      <c r="BS41" s="580">
        <v>22.79</v>
      </c>
      <c r="BT41" s="580">
        <v>83.38</v>
      </c>
      <c r="BU41" s="580">
        <v>83.7</v>
      </c>
      <c r="BV41" s="580">
        <v>112.28</v>
      </c>
      <c r="BW41" s="580">
        <v>111.25</v>
      </c>
    </row>
    <row r="42" spans="1:75" s="394" customFormat="1" ht="11.1" customHeight="1">
      <c r="A42" s="755" t="s">
        <v>841</v>
      </c>
      <c r="B42" s="563">
        <v>62.87</v>
      </c>
      <c r="C42" s="563">
        <v>61.58</v>
      </c>
      <c r="D42" s="563">
        <v>83.7</v>
      </c>
      <c r="E42" s="563">
        <v>83.73</v>
      </c>
      <c r="F42" s="563">
        <v>221.36</v>
      </c>
      <c r="G42" s="563">
        <v>221.47</v>
      </c>
      <c r="H42" s="563">
        <v>63.91</v>
      </c>
      <c r="I42" s="563">
        <v>63.21</v>
      </c>
      <c r="J42" s="563">
        <v>12.98</v>
      </c>
      <c r="K42" s="563">
        <v>12.65</v>
      </c>
      <c r="L42" s="563">
        <v>13.13</v>
      </c>
      <c r="M42" s="563">
        <v>13</v>
      </c>
      <c r="N42" s="563">
        <v>97.79</v>
      </c>
      <c r="O42" s="563">
        <v>96.86</v>
      </c>
      <c r="P42" s="755" t="s">
        <v>841</v>
      </c>
      <c r="Q42" s="563">
        <v>10.67</v>
      </c>
      <c r="R42" s="563">
        <v>10.67</v>
      </c>
      <c r="S42" s="563">
        <v>1.24</v>
      </c>
      <c r="T42" s="563">
        <v>1.22</v>
      </c>
      <c r="U42" s="563">
        <v>0.01</v>
      </c>
      <c r="V42" s="563">
        <v>0.01</v>
      </c>
      <c r="W42" s="563">
        <v>0</v>
      </c>
      <c r="X42" s="563">
        <v>0</v>
      </c>
      <c r="Y42" s="563">
        <v>0.76</v>
      </c>
      <c r="Z42" s="563">
        <v>0.76</v>
      </c>
      <c r="AA42" s="563">
        <v>276.81</v>
      </c>
      <c r="AB42" s="563">
        <v>276.82</v>
      </c>
      <c r="AC42" s="563">
        <v>20.94</v>
      </c>
      <c r="AD42" s="563">
        <v>20.74</v>
      </c>
      <c r="AE42" s="755" t="s">
        <v>841</v>
      </c>
      <c r="AF42" s="563">
        <v>0.06</v>
      </c>
      <c r="AG42" s="563">
        <v>0.06</v>
      </c>
      <c r="AH42" s="563">
        <v>0.77</v>
      </c>
      <c r="AI42" s="563">
        <v>0.77</v>
      </c>
      <c r="AJ42" s="563">
        <v>58.22</v>
      </c>
      <c r="AK42" s="563">
        <v>56.56</v>
      </c>
      <c r="AL42" s="563">
        <v>10.31</v>
      </c>
      <c r="AM42" s="563">
        <v>10.220000000000001</v>
      </c>
      <c r="AN42" s="563">
        <v>217.41</v>
      </c>
      <c r="AO42" s="563">
        <v>217.47</v>
      </c>
      <c r="AP42" s="563">
        <v>0.71</v>
      </c>
      <c r="AQ42" s="563">
        <v>0.69</v>
      </c>
      <c r="AR42" s="563">
        <v>1.58</v>
      </c>
      <c r="AS42" s="563">
        <v>1.57</v>
      </c>
      <c r="AT42" s="755" t="s">
        <v>841</v>
      </c>
      <c r="AU42" s="840">
        <v>22.99</v>
      </c>
      <c r="AV42" s="563">
        <v>23</v>
      </c>
      <c r="AW42" s="563">
        <v>1.33</v>
      </c>
      <c r="AX42" s="563">
        <v>1.33</v>
      </c>
      <c r="AY42" s="563">
        <v>22.32</v>
      </c>
      <c r="AZ42" s="563">
        <v>22.32</v>
      </c>
      <c r="BA42" s="563">
        <v>0.08</v>
      </c>
      <c r="BB42" s="563">
        <v>0.08</v>
      </c>
      <c r="BC42" s="563">
        <v>62.16</v>
      </c>
      <c r="BD42" s="563">
        <v>61.21</v>
      </c>
      <c r="BE42" s="563">
        <v>9.52</v>
      </c>
      <c r="BF42" s="563">
        <v>9.34</v>
      </c>
      <c r="BG42" s="563">
        <v>0.53</v>
      </c>
      <c r="BH42" s="563">
        <v>0.53</v>
      </c>
      <c r="BI42" s="755" t="s">
        <v>841</v>
      </c>
      <c r="BJ42" s="563">
        <v>84.58</v>
      </c>
      <c r="BK42" s="563">
        <v>83.94</v>
      </c>
      <c r="BL42" s="563">
        <v>0.16</v>
      </c>
      <c r="BM42" s="563">
        <v>0.16</v>
      </c>
      <c r="BN42" s="563">
        <v>118.41</v>
      </c>
      <c r="BO42" s="563">
        <v>117.62</v>
      </c>
      <c r="BP42" s="563">
        <v>2.58</v>
      </c>
      <c r="BQ42" s="563">
        <v>2.5299999999999998</v>
      </c>
      <c r="BR42" s="563">
        <v>22.79</v>
      </c>
      <c r="BS42" s="563">
        <v>22.79</v>
      </c>
      <c r="BT42" s="563">
        <v>83.7</v>
      </c>
      <c r="BU42" s="563">
        <v>83.73</v>
      </c>
      <c r="BV42" s="563">
        <v>111.3</v>
      </c>
      <c r="BW42" s="563">
        <v>109.5</v>
      </c>
    </row>
    <row r="43" spans="1:75" s="394" customFormat="1" ht="11.1" customHeight="1">
      <c r="A43" s="847" t="s">
        <v>2585</v>
      </c>
      <c r="B43" s="580"/>
      <c r="C43" s="580"/>
      <c r="D43" s="580"/>
      <c r="E43" s="580"/>
      <c r="F43" s="580"/>
      <c r="G43" s="580"/>
      <c r="H43" s="580"/>
      <c r="I43" s="580"/>
      <c r="J43" s="580"/>
      <c r="K43" s="580"/>
      <c r="L43" s="580"/>
      <c r="M43" s="580"/>
      <c r="N43" s="580"/>
      <c r="O43" s="580"/>
      <c r="P43" s="847" t="s">
        <v>2585</v>
      </c>
      <c r="Q43" s="580"/>
      <c r="R43" s="580"/>
      <c r="S43" s="580"/>
      <c r="T43" s="580"/>
      <c r="U43" s="580"/>
      <c r="V43" s="580"/>
      <c r="W43" s="580"/>
      <c r="X43" s="580"/>
      <c r="Y43" s="580"/>
      <c r="Z43" s="580"/>
      <c r="AA43" s="580"/>
      <c r="AB43" s="580"/>
      <c r="AC43" s="580"/>
      <c r="AD43" s="580"/>
      <c r="AE43" s="847" t="s">
        <v>2585</v>
      </c>
      <c r="AF43" s="580"/>
      <c r="AG43" s="580"/>
      <c r="AH43" s="580"/>
      <c r="AI43" s="580"/>
      <c r="AJ43" s="580"/>
      <c r="AK43" s="580"/>
      <c r="AL43" s="580"/>
      <c r="AM43" s="580"/>
      <c r="AN43" s="580"/>
      <c r="AO43" s="580"/>
      <c r="AP43" s="580"/>
      <c r="AQ43" s="580"/>
      <c r="AR43" s="580"/>
      <c r="AS43" s="580"/>
      <c r="AT43" s="847" t="s">
        <v>2585</v>
      </c>
      <c r="AU43" s="661"/>
      <c r="AV43" s="580"/>
      <c r="AW43" s="580"/>
      <c r="AX43" s="580"/>
      <c r="AY43" s="580"/>
      <c r="AZ43" s="580"/>
      <c r="BA43" s="580"/>
      <c r="BB43" s="580"/>
      <c r="BC43" s="580"/>
      <c r="BD43" s="580"/>
      <c r="BE43" s="580"/>
      <c r="BF43" s="580"/>
      <c r="BG43" s="580"/>
      <c r="BH43" s="580"/>
      <c r="BI43" s="847" t="s">
        <v>2585</v>
      </c>
      <c r="BJ43" s="580"/>
      <c r="BK43" s="580"/>
      <c r="BL43" s="580"/>
      <c r="BM43" s="580"/>
      <c r="BN43" s="580"/>
      <c r="BO43" s="580"/>
      <c r="BP43" s="580"/>
      <c r="BQ43" s="580"/>
      <c r="BR43" s="580"/>
      <c r="BS43" s="580"/>
      <c r="BT43" s="580"/>
      <c r="BU43" s="580"/>
      <c r="BV43" s="580"/>
      <c r="BW43" s="580"/>
    </row>
    <row r="44" spans="1:75" s="394" customFormat="1" ht="11.1" customHeight="1">
      <c r="A44" s="841" t="s">
        <v>843</v>
      </c>
      <c r="B44" s="563">
        <v>62.05</v>
      </c>
      <c r="C44" s="563">
        <v>62.03</v>
      </c>
      <c r="D44" s="563">
        <v>83.75</v>
      </c>
      <c r="E44" s="563">
        <v>83.75</v>
      </c>
      <c r="F44" s="563">
        <v>221.25</v>
      </c>
      <c r="G44" s="563">
        <v>221.59</v>
      </c>
      <c r="H44" s="563">
        <v>63.78</v>
      </c>
      <c r="I44" s="563">
        <v>64.25</v>
      </c>
      <c r="J44" s="563">
        <v>12.5</v>
      </c>
      <c r="K44" s="563">
        <v>12.29</v>
      </c>
      <c r="L44" s="563">
        <v>13.14</v>
      </c>
      <c r="M44" s="563">
        <v>13.16</v>
      </c>
      <c r="N44" s="563">
        <v>97.9</v>
      </c>
      <c r="O44" s="563">
        <v>98.04</v>
      </c>
      <c r="P44" s="841" t="s">
        <v>843</v>
      </c>
      <c r="Q44" s="563">
        <v>10.67</v>
      </c>
      <c r="R44" s="563">
        <v>10.67</v>
      </c>
      <c r="S44" s="563">
        <v>1.22</v>
      </c>
      <c r="T44" s="563">
        <v>1.22</v>
      </c>
      <c r="U44" s="563">
        <v>0.01</v>
      </c>
      <c r="V44" s="563">
        <v>0.01</v>
      </c>
      <c r="W44" s="563">
        <v>0</v>
      </c>
      <c r="X44" s="563">
        <v>0</v>
      </c>
      <c r="Y44" s="563">
        <v>0.75</v>
      </c>
      <c r="Z44" s="563">
        <v>0.75</v>
      </c>
      <c r="AA44" s="563">
        <v>276.63</v>
      </c>
      <c r="AB44" s="563">
        <v>276.68</v>
      </c>
      <c r="AC44" s="563">
        <v>20.68</v>
      </c>
      <c r="AD44" s="563">
        <v>20.63</v>
      </c>
      <c r="AE44" s="841" t="s">
        <v>843</v>
      </c>
      <c r="AF44" s="563">
        <v>0.06</v>
      </c>
      <c r="AG44" s="563">
        <v>0.06</v>
      </c>
      <c r="AH44" s="563">
        <v>0.76</v>
      </c>
      <c r="AI44" s="563">
        <v>0.76</v>
      </c>
      <c r="AJ44" s="563">
        <v>56.87</v>
      </c>
      <c r="AK44" s="563">
        <v>57.14</v>
      </c>
      <c r="AL44" s="563">
        <v>10.3</v>
      </c>
      <c r="AM44" s="563">
        <v>10.3</v>
      </c>
      <c r="AN44" s="563">
        <v>217.55</v>
      </c>
      <c r="AO44" s="563">
        <v>217.56</v>
      </c>
      <c r="AP44" s="563">
        <v>0.67</v>
      </c>
      <c r="AQ44" s="563">
        <v>0.69</v>
      </c>
      <c r="AR44" s="563">
        <v>1.57</v>
      </c>
      <c r="AS44" s="563">
        <v>1.58</v>
      </c>
      <c r="AT44" s="841" t="s">
        <v>843</v>
      </c>
      <c r="AU44" s="840">
        <v>22.99</v>
      </c>
      <c r="AV44" s="563">
        <v>23</v>
      </c>
      <c r="AW44" s="563">
        <v>1.33</v>
      </c>
      <c r="AX44" s="563">
        <v>1.34</v>
      </c>
      <c r="AY44" s="563">
        <v>22.33</v>
      </c>
      <c r="AZ44" s="563">
        <v>22.33</v>
      </c>
      <c r="BA44" s="563">
        <v>7.0000000000000007E-2</v>
      </c>
      <c r="BB44" s="563">
        <v>7.0000000000000007E-2</v>
      </c>
      <c r="BC44" s="563">
        <v>61.46</v>
      </c>
      <c r="BD44" s="563">
        <v>61.54</v>
      </c>
      <c r="BE44" s="563">
        <v>9.49</v>
      </c>
      <c r="BF44" s="563">
        <v>9.56</v>
      </c>
      <c r="BG44" s="563">
        <v>0.53</v>
      </c>
      <c r="BH44" s="563">
        <v>0.52</v>
      </c>
      <c r="BI44" s="841" t="s">
        <v>843</v>
      </c>
      <c r="BJ44" s="563">
        <v>84.25</v>
      </c>
      <c r="BK44" s="563">
        <v>84.74</v>
      </c>
      <c r="BL44" s="563">
        <v>0.16</v>
      </c>
      <c r="BM44" s="563">
        <v>0.16</v>
      </c>
      <c r="BN44" s="563">
        <v>117.67</v>
      </c>
      <c r="BO44" s="563">
        <v>117.53</v>
      </c>
      <c r="BP44" s="563">
        <v>2.52</v>
      </c>
      <c r="BQ44" s="563">
        <v>2.5099999999999998</v>
      </c>
      <c r="BR44" s="563">
        <v>22.8</v>
      </c>
      <c r="BS44" s="563">
        <v>22.8</v>
      </c>
      <c r="BT44" s="563">
        <v>83.75</v>
      </c>
      <c r="BU44" s="563">
        <v>83.75</v>
      </c>
      <c r="BV44" s="563">
        <v>110.4</v>
      </c>
      <c r="BW44" s="563">
        <v>109.99</v>
      </c>
    </row>
    <row r="45" spans="1:75" s="394" customFormat="1" ht="11.1" customHeight="1">
      <c r="A45" s="846" t="s">
        <v>844</v>
      </c>
      <c r="B45" s="1553">
        <v>61.48</v>
      </c>
      <c r="C45" s="1553">
        <v>61.23</v>
      </c>
      <c r="D45" s="1553">
        <v>83.75</v>
      </c>
      <c r="E45" s="1553">
        <v>83.75</v>
      </c>
      <c r="F45" s="1553">
        <v>221.88</v>
      </c>
      <c r="G45" s="1553">
        <v>222.03</v>
      </c>
      <c r="H45" s="1553">
        <v>64.239999999999995</v>
      </c>
      <c r="I45" s="982">
        <v>64.900000000000006</v>
      </c>
      <c r="J45" s="1553">
        <v>12.23</v>
      </c>
      <c r="K45" s="982">
        <v>12.3</v>
      </c>
      <c r="L45" s="1553">
        <v>12.98</v>
      </c>
      <c r="M45" s="1553">
        <v>13.15</v>
      </c>
      <c r="N45" s="1553">
        <v>96.74</v>
      </c>
      <c r="O45" s="1553">
        <v>98.05</v>
      </c>
      <c r="P45" s="846" t="s">
        <v>844</v>
      </c>
      <c r="Q45" s="580">
        <v>10.67</v>
      </c>
      <c r="R45" s="580">
        <v>10.67</v>
      </c>
      <c r="S45" s="580">
        <v>1.21</v>
      </c>
      <c r="T45" s="580">
        <v>1.19</v>
      </c>
      <c r="U45" s="580">
        <v>0.01</v>
      </c>
      <c r="V45" s="580">
        <v>0.01</v>
      </c>
      <c r="W45" s="580">
        <v>0</v>
      </c>
      <c r="X45" s="580">
        <v>0</v>
      </c>
      <c r="Y45" s="580">
        <v>0.75</v>
      </c>
      <c r="Z45" s="580">
        <v>0.75</v>
      </c>
      <c r="AA45" s="580">
        <v>276.36</v>
      </c>
      <c r="AB45" s="580">
        <v>276.72000000000003</v>
      </c>
      <c r="AC45" s="580">
        <v>20.47</v>
      </c>
      <c r="AD45" s="580">
        <v>20.39</v>
      </c>
      <c r="AE45" s="846" t="s">
        <v>844</v>
      </c>
      <c r="AF45" s="580">
        <v>0.06</v>
      </c>
      <c r="AG45" s="580">
        <v>0.05</v>
      </c>
      <c r="AH45" s="580">
        <v>0.75</v>
      </c>
      <c r="AI45" s="580">
        <v>0.75</v>
      </c>
      <c r="AJ45" s="580">
        <v>55.98</v>
      </c>
      <c r="AK45" s="580">
        <v>56.26</v>
      </c>
      <c r="AL45" s="580">
        <v>10.06</v>
      </c>
      <c r="AM45" s="580">
        <v>10.050000000000001</v>
      </c>
      <c r="AN45" s="580">
        <v>217.55</v>
      </c>
      <c r="AO45" s="580">
        <v>217.53</v>
      </c>
      <c r="AP45" s="580">
        <v>0.68</v>
      </c>
      <c r="AQ45" s="580">
        <v>0.68</v>
      </c>
      <c r="AR45" s="580">
        <v>1.57</v>
      </c>
      <c r="AS45" s="580">
        <v>1.57</v>
      </c>
      <c r="AT45" s="846" t="s">
        <v>844</v>
      </c>
      <c r="AU45" s="661">
        <v>23</v>
      </c>
      <c r="AV45" s="580">
        <v>23</v>
      </c>
      <c r="AW45" s="580">
        <v>1.27</v>
      </c>
      <c r="AX45" s="580">
        <v>1.23</v>
      </c>
      <c r="AY45" s="580">
        <v>22.33</v>
      </c>
      <c r="AZ45" s="580">
        <v>22.33</v>
      </c>
      <c r="BA45" s="580">
        <v>7.0000000000000007E-2</v>
      </c>
      <c r="BB45" s="580">
        <v>0.08</v>
      </c>
      <c r="BC45" s="580">
        <v>61.23</v>
      </c>
      <c r="BD45" s="580">
        <v>61.38</v>
      </c>
      <c r="BE45" s="580">
        <v>9.25</v>
      </c>
      <c r="BF45" s="580">
        <v>9.16</v>
      </c>
      <c r="BG45" s="580">
        <v>0.52</v>
      </c>
      <c r="BH45" s="580">
        <v>0.52</v>
      </c>
      <c r="BI45" s="846" t="s">
        <v>844</v>
      </c>
      <c r="BJ45" s="1553">
        <v>84.63</v>
      </c>
      <c r="BK45" s="1553">
        <v>86.29</v>
      </c>
      <c r="BL45" s="1553">
        <v>0.16</v>
      </c>
      <c r="BM45" s="1553">
        <v>0.16</v>
      </c>
      <c r="BN45" s="1553">
        <v>116.83</v>
      </c>
      <c r="BO45" s="1553">
        <v>117.44</v>
      </c>
      <c r="BP45" s="1553">
        <v>2.5299999999999998</v>
      </c>
      <c r="BQ45" s="1553">
        <v>2.56</v>
      </c>
      <c r="BR45" s="982">
        <v>22.8</v>
      </c>
      <c r="BS45" s="982">
        <v>22.8</v>
      </c>
      <c r="BT45" s="1553">
        <v>83.75</v>
      </c>
      <c r="BU45" s="1553">
        <v>83.75</v>
      </c>
      <c r="BV45" s="1553">
        <v>107.86</v>
      </c>
      <c r="BW45" s="982">
        <v>109.1</v>
      </c>
    </row>
    <row r="46" spans="1:75" s="93" customFormat="1" ht="11.1" customHeight="1">
      <c r="A46" s="841" t="s">
        <v>838</v>
      </c>
      <c r="B46" s="1003">
        <v>60.3</v>
      </c>
      <c r="C46" s="1615">
        <v>60.56</v>
      </c>
      <c r="D46" s="1615">
        <v>83.75</v>
      </c>
      <c r="E46" s="1615">
        <v>83.75</v>
      </c>
      <c r="F46" s="1615">
        <v>222.11</v>
      </c>
      <c r="G46" s="1615">
        <v>222.15</v>
      </c>
      <c r="H46" s="1615">
        <v>64.260000000000005</v>
      </c>
      <c r="I46" s="1003">
        <v>64.89</v>
      </c>
      <c r="J46" s="1615">
        <v>12.24</v>
      </c>
      <c r="K46" s="1003">
        <v>12.17</v>
      </c>
      <c r="L46" s="1615">
        <v>13.08</v>
      </c>
      <c r="M46" s="1615">
        <v>13.03</v>
      </c>
      <c r="N46" s="1615">
        <v>97.58</v>
      </c>
      <c r="O46" s="1615">
        <v>97.23</v>
      </c>
      <c r="P46" s="841" t="s">
        <v>838</v>
      </c>
      <c r="Q46" s="563">
        <v>10.68</v>
      </c>
      <c r="R46" s="563">
        <v>10.7</v>
      </c>
      <c r="S46" s="563">
        <v>1.1599999999999999</v>
      </c>
      <c r="T46" s="563">
        <v>1.1599999999999999</v>
      </c>
      <c r="U46" s="563">
        <v>0.01</v>
      </c>
      <c r="V46" s="563">
        <v>0.01</v>
      </c>
      <c r="W46" s="563">
        <v>0</v>
      </c>
      <c r="X46" s="563">
        <v>0</v>
      </c>
      <c r="Y46" s="563">
        <v>0.75</v>
      </c>
      <c r="Z46" s="563">
        <v>0.74</v>
      </c>
      <c r="AA46" s="563">
        <v>276.52</v>
      </c>
      <c r="AB46" s="563">
        <v>276.17</v>
      </c>
      <c r="AC46" s="563">
        <v>20.23</v>
      </c>
      <c r="AD46" s="563">
        <v>20.239999999999998</v>
      </c>
      <c r="AE46" s="841" t="s">
        <v>838</v>
      </c>
      <c r="AF46" s="563">
        <v>0.05</v>
      </c>
      <c r="AG46" s="563">
        <v>0.05</v>
      </c>
      <c r="AH46" s="563">
        <v>0.73</v>
      </c>
      <c r="AI46" s="563">
        <v>0.72</v>
      </c>
      <c r="AJ46" s="563">
        <v>55.25</v>
      </c>
      <c r="AK46" s="563">
        <v>55.43</v>
      </c>
      <c r="AL46" s="563">
        <v>10.14</v>
      </c>
      <c r="AM46" s="563">
        <v>10.28</v>
      </c>
      <c r="AN46" s="563">
        <v>217.54</v>
      </c>
      <c r="AO46" s="563">
        <v>217.53</v>
      </c>
      <c r="AP46" s="563">
        <v>0.68</v>
      </c>
      <c r="AQ46" s="563">
        <v>0.68</v>
      </c>
      <c r="AR46" s="563">
        <v>1.55</v>
      </c>
      <c r="AS46" s="563">
        <v>1.55</v>
      </c>
      <c r="AT46" s="841" t="s">
        <v>838</v>
      </c>
      <c r="AU46" s="840">
        <v>23</v>
      </c>
      <c r="AV46" s="563">
        <v>23</v>
      </c>
      <c r="AW46" s="563">
        <v>1.24</v>
      </c>
      <c r="AX46" s="563">
        <v>1.28</v>
      </c>
      <c r="AY46" s="563">
        <v>22.33</v>
      </c>
      <c r="AZ46" s="563">
        <v>22.33</v>
      </c>
      <c r="BA46" s="563">
        <v>7.0000000000000007E-2</v>
      </c>
      <c r="BB46" s="563">
        <v>0.08</v>
      </c>
      <c r="BC46" s="563">
        <v>61.07</v>
      </c>
      <c r="BD46" s="563">
        <v>61.29</v>
      </c>
      <c r="BE46" s="563">
        <v>9.34</v>
      </c>
      <c r="BF46" s="563">
        <v>9.42</v>
      </c>
      <c r="BG46" s="563">
        <v>0.51</v>
      </c>
      <c r="BH46" s="563">
        <v>0.5</v>
      </c>
      <c r="BI46" s="841" t="s">
        <v>838</v>
      </c>
      <c r="BJ46" s="1615">
        <v>86.49</v>
      </c>
      <c r="BK46" s="1615">
        <v>85.28</v>
      </c>
      <c r="BL46" s="1615">
        <v>0.16</v>
      </c>
      <c r="BM46" s="1615">
        <v>0.16</v>
      </c>
      <c r="BN46" s="1615">
        <v>117.32</v>
      </c>
      <c r="BO46" s="1615">
        <v>116.86</v>
      </c>
      <c r="BP46" s="1615">
        <v>2.57</v>
      </c>
      <c r="BQ46" s="1615">
        <v>2.59</v>
      </c>
      <c r="BR46" s="1003">
        <v>22.8</v>
      </c>
      <c r="BS46" s="1003">
        <v>22.8</v>
      </c>
      <c r="BT46" s="1615">
        <v>83.75</v>
      </c>
      <c r="BU46" s="1615">
        <v>83.75</v>
      </c>
      <c r="BV46" s="1615">
        <v>109.22</v>
      </c>
      <c r="BW46" s="1003">
        <v>109.13</v>
      </c>
    </row>
    <row r="47" spans="1:75" s="93" customFormat="1" ht="11.1" customHeight="1">
      <c r="A47" s="846" t="s">
        <v>845</v>
      </c>
      <c r="B47" s="982">
        <v>59.57</v>
      </c>
      <c r="C47" s="1553">
        <v>59.58</v>
      </c>
      <c r="D47" s="1553">
        <v>83.82</v>
      </c>
      <c r="E47" s="1553">
        <v>83.85</v>
      </c>
      <c r="F47" s="1553">
        <v>222.32</v>
      </c>
      <c r="G47" s="1553">
        <v>222.44</v>
      </c>
      <c r="H47" s="1553">
        <v>64.45</v>
      </c>
      <c r="I47" s="982">
        <v>63.97</v>
      </c>
      <c r="J47" s="1553">
        <v>12.12</v>
      </c>
      <c r="K47" s="982">
        <v>12.04</v>
      </c>
      <c r="L47" s="1553">
        <v>12.91</v>
      </c>
      <c r="M47" s="1553">
        <v>12.75</v>
      </c>
      <c r="N47" s="1553">
        <v>96.33</v>
      </c>
      <c r="O47" s="1553">
        <v>95.12</v>
      </c>
      <c r="P47" s="846" t="s">
        <v>845</v>
      </c>
      <c r="Q47" s="580">
        <v>10.69</v>
      </c>
      <c r="R47" s="580">
        <v>10.69</v>
      </c>
      <c r="S47" s="580">
        <v>1.1399999999999999</v>
      </c>
      <c r="T47" s="580">
        <v>1.1399999999999999</v>
      </c>
      <c r="U47" s="580">
        <v>0.01</v>
      </c>
      <c r="V47" s="580">
        <v>0.01</v>
      </c>
      <c r="W47" s="580">
        <v>0</v>
      </c>
      <c r="X47" s="580">
        <v>0</v>
      </c>
      <c r="Y47" s="580">
        <v>0.74</v>
      </c>
      <c r="Z47" s="580">
        <v>0.74</v>
      </c>
      <c r="AA47" s="580">
        <v>276.27999999999997</v>
      </c>
      <c r="AB47" s="580">
        <v>275.95999999999998</v>
      </c>
      <c r="AC47" s="580">
        <v>20.16</v>
      </c>
      <c r="AD47" s="580">
        <v>20.05</v>
      </c>
      <c r="AE47" s="846" t="s">
        <v>845</v>
      </c>
      <c r="AF47" s="580">
        <v>0.05</v>
      </c>
      <c r="AG47" s="580">
        <v>0.05</v>
      </c>
      <c r="AH47" s="580">
        <v>0.71</v>
      </c>
      <c r="AI47" s="580">
        <v>0.71</v>
      </c>
      <c r="AJ47" s="580">
        <v>54.72</v>
      </c>
      <c r="AK47" s="580">
        <v>54.96</v>
      </c>
      <c r="AL47" s="580">
        <v>10.16</v>
      </c>
      <c r="AM47" s="580">
        <v>9.9700000000000006</v>
      </c>
      <c r="AN47" s="580">
        <v>217.71</v>
      </c>
      <c r="AO47" s="580">
        <v>217.85</v>
      </c>
      <c r="AP47" s="580">
        <v>0.64</v>
      </c>
      <c r="AQ47" s="580">
        <v>0.63</v>
      </c>
      <c r="AR47" s="580">
        <v>1.55</v>
      </c>
      <c r="AS47" s="580">
        <v>1.57</v>
      </c>
      <c r="AT47" s="846" t="s">
        <v>845</v>
      </c>
      <c r="AU47" s="661">
        <v>23.02</v>
      </c>
      <c r="AV47" s="580">
        <v>23.03</v>
      </c>
      <c r="AW47" s="580">
        <v>1.27</v>
      </c>
      <c r="AX47" s="580">
        <v>1.28</v>
      </c>
      <c r="AY47" s="580">
        <v>22.35</v>
      </c>
      <c r="AZ47" s="580">
        <v>22.35</v>
      </c>
      <c r="BA47" s="580">
        <v>7.0000000000000007E-2</v>
      </c>
      <c r="BB47" s="580">
        <v>7.0000000000000007E-2</v>
      </c>
      <c r="BC47" s="580">
        <v>60.77</v>
      </c>
      <c r="BD47" s="580">
        <v>60.54</v>
      </c>
      <c r="BE47" s="580">
        <v>9.27</v>
      </c>
      <c r="BF47" s="580">
        <v>9.14</v>
      </c>
      <c r="BG47" s="580">
        <v>0.49</v>
      </c>
      <c r="BH47" s="580">
        <v>0.48</v>
      </c>
      <c r="BI47" s="846" t="s">
        <v>845</v>
      </c>
      <c r="BJ47" s="1553">
        <v>84.39</v>
      </c>
      <c r="BK47" s="1553">
        <v>83.42</v>
      </c>
      <c r="BL47" s="1553">
        <v>0.16</v>
      </c>
      <c r="BM47" s="1553">
        <v>0.16</v>
      </c>
      <c r="BN47" s="1553">
        <v>116.62</v>
      </c>
      <c r="BO47" s="1553">
        <v>115.89</v>
      </c>
      <c r="BP47" s="1553">
        <v>2.56</v>
      </c>
      <c r="BQ47" s="1553">
        <v>2.52</v>
      </c>
      <c r="BR47" s="982">
        <v>22.82</v>
      </c>
      <c r="BS47" s="982">
        <v>22.83</v>
      </c>
      <c r="BT47" s="1553">
        <v>83.82</v>
      </c>
      <c r="BU47" s="1553">
        <v>83.85</v>
      </c>
      <c r="BV47" s="1553">
        <v>109.23</v>
      </c>
      <c r="BW47" s="982">
        <v>106.54</v>
      </c>
    </row>
    <row r="48" spans="1:75" s="93" customFormat="1" ht="11.1" customHeight="1" thickBot="1">
      <c r="A48" s="1475" t="s">
        <v>846</v>
      </c>
      <c r="B48" s="1550">
        <v>60.76</v>
      </c>
      <c r="C48" s="1657">
        <v>61.41</v>
      </c>
      <c r="D48" s="1657">
        <v>83.87</v>
      </c>
      <c r="E48" s="1550">
        <v>83.9</v>
      </c>
      <c r="F48" s="1657">
        <v>222.48</v>
      </c>
      <c r="G48" s="1657">
        <v>222.58</v>
      </c>
      <c r="H48" s="1550">
        <v>63.6</v>
      </c>
      <c r="I48" s="1550">
        <v>63.16</v>
      </c>
      <c r="J48" s="1550">
        <v>12.1</v>
      </c>
      <c r="K48" s="1550">
        <v>12.1</v>
      </c>
      <c r="L48" s="1657">
        <v>12.78</v>
      </c>
      <c r="M48" s="1657">
        <v>12.81</v>
      </c>
      <c r="N48" s="1657">
        <v>95.34</v>
      </c>
      <c r="O48" s="1657">
        <v>95.59</v>
      </c>
      <c r="P48" s="1475" t="s">
        <v>846</v>
      </c>
      <c r="Q48" s="1658">
        <v>10.71</v>
      </c>
      <c r="R48" s="1658">
        <v>10.73</v>
      </c>
      <c r="S48" s="1658">
        <v>1.17</v>
      </c>
      <c r="T48" s="1658">
        <v>1.2</v>
      </c>
      <c r="U48" s="1658">
        <v>0.01</v>
      </c>
      <c r="V48" s="1658">
        <v>0.01</v>
      </c>
      <c r="W48" s="1658">
        <v>0</v>
      </c>
      <c r="X48" s="1658">
        <v>0</v>
      </c>
      <c r="Y48" s="1658">
        <v>0.74</v>
      </c>
      <c r="Z48" s="1658">
        <v>0.74</v>
      </c>
      <c r="AA48" s="1658">
        <v>275.87</v>
      </c>
      <c r="AB48" s="1658">
        <v>275.67</v>
      </c>
      <c r="AC48" s="1658">
        <v>20.04</v>
      </c>
      <c r="AD48" s="1658">
        <v>20.02</v>
      </c>
      <c r="AE48" s="1475" t="s">
        <v>846</v>
      </c>
      <c r="AF48" s="1658">
        <v>0.05</v>
      </c>
      <c r="AG48" s="1658">
        <v>0.05</v>
      </c>
      <c r="AH48" s="1658">
        <v>0.72</v>
      </c>
      <c r="AI48" s="1658">
        <v>0.74</v>
      </c>
      <c r="AJ48" s="1658">
        <v>56.76</v>
      </c>
      <c r="AK48" s="1658">
        <v>57.54</v>
      </c>
      <c r="AL48" s="1658">
        <v>9.9</v>
      </c>
      <c r="AM48" s="1658">
        <v>9.83</v>
      </c>
      <c r="AN48" s="1658">
        <v>217.85</v>
      </c>
      <c r="AO48" s="1658">
        <v>217.92</v>
      </c>
      <c r="AP48" s="1658">
        <v>0.63</v>
      </c>
      <c r="AQ48" s="1658">
        <v>0.62</v>
      </c>
      <c r="AR48" s="1658">
        <v>1.59</v>
      </c>
      <c r="AS48" s="1658">
        <v>1.6</v>
      </c>
      <c r="AT48" s="1475" t="s">
        <v>846</v>
      </c>
      <c r="AU48" s="1651">
        <v>23.03</v>
      </c>
      <c r="AV48" s="1658">
        <v>23.04</v>
      </c>
      <c r="AW48" s="1658">
        <v>1.26</v>
      </c>
      <c r="AX48" s="1658">
        <v>1.25</v>
      </c>
      <c r="AY48" s="1658">
        <v>22.36</v>
      </c>
      <c r="AZ48" s="1658">
        <v>22.36</v>
      </c>
      <c r="BA48" s="1658">
        <v>7.0000000000000007E-2</v>
      </c>
      <c r="BB48" s="1658">
        <v>7.0000000000000007E-2</v>
      </c>
      <c r="BC48" s="1658">
        <v>60.97</v>
      </c>
      <c r="BD48" s="1658">
        <v>61.23</v>
      </c>
      <c r="BE48" s="1658">
        <v>9.26</v>
      </c>
      <c r="BF48" s="1658">
        <v>9.2899999999999991</v>
      </c>
      <c r="BG48" s="1658">
        <v>0.47</v>
      </c>
      <c r="BH48" s="1658">
        <v>0.47</v>
      </c>
      <c r="BI48" s="1475" t="s">
        <v>846</v>
      </c>
      <c r="BJ48" s="1657">
        <v>83.77</v>
      </c>
      <c r="BK48" s="1657">
        <v>84.25</v>
      </c>
      <c r="BL48" s="1657">
        <v>0.16</v>
      </c>
      <c r="BM48" s="1657">
        <v>0.16</v>
      </c>
      <c r="BN48" s="1657">
        <v>116.13</v>
      </c>
      <c r="BO48" s="1657">
        <v>115.76</v>
      </c>
      <c r="BP48" s="1657">
        <v>2.54</v>
      </c>
      <c r="BQ48" s="1657">
        <v>2.5499999999999998</v>
      </c>
      <c r="BR48" s="1550">
        <v>22.83</v>
      </c>
      <c r="BS48" s="1550">
        <v>22.84</v>
      </c>
      <c r="BT48" s="1657">
        <v>83.87</v>
      </c>
      <c r="BU48" s="1550">
        <v>83.9</v>
      </c>
      <c r="BV48" s="1657">
        <v>108.22</v>
      </c>
      <c r="BW48" s="1550">
        <v>107.35</v>
      </c>
    </row>
    <row r="49" spans="1:75" s="93" customFormat="1" ht="12.75" customHeight="1">
      <c r="A49" s="1004" t="s">
        <v>647</v>
      </c>
      <c r="B49" s="1005" t="s">
        <v>2301</v>
      </c>
      <c r="C49" s="45"/>
      <c r="D49" s="45"/>
      <c r="E49" s="45"/>
      <c r="F49" s="45"/>
      <c r="G49" s="45"/>
      <c r="H49" s="1006" t="s">
        <v>646</v>
      </c>
      <c r="I49" s="2038" t="s">
        <v>2173</v>
      </c>
      <c r="J49" s="2038"/>
      <c r="K49" s="2038"/>
      <c r="L49" s="2038"/>
      <c r="M49" s="2038"/>
      <c r="N49" s="6"/>
      <c r="O49" s="6"/>
      <c r="P49" s="1007"/>
      <c r="Q49" s="2038"/>
      <c r="R49" s="2038"/>
      <c r="S49" s="2038"/>
      <c r="T49" s="2038"/>
      <c r="U49" s="2038"/>
      <c r="V49" s="2038"/>
      <c r="AE49" s="1007" t="s">
        <v>1087</v>
      </c>
      <c r="AF49" s="2038" t="s">
        <v>2242</v>
      </c>
      <c r="AG49" s="2038"/>
      <c r="AH49" s="2038"/>
      <c r="AI49" s="2038"/>
      <c r="AJ49" s="2038"/>
      <c r="AK49" s="2038"/>
      <c r="AT49" s="164"/>
      <c r="AU49" s="2038"/>
      <c r="AV49" s="2038"/>
      <c r="AW49" s="2038"/>
      <c r="AX49" s="2038"/>
      <c r="AY49" s="2038"/>
      <c r="AZ49" s="2038"/>
      <c r="BI49" s="1007"/>
      <c r="BJ49" s="1008"/>
      <c r="BK49" s="1008"/>
      <c r="BL49" s="1008"/>
      <c r="BM49" s="1008"/>
      <c r="BN49" s="1008"/>
      <c r="BO49" s="1008"/>
      <c r="BP49" s="1008"/>
      <c r="BQ49" s="1008"/>
      <c r="BR49" s="1008"/>
      <c r="BS49" s="1008"/>
      <c r="BT49" s="1008"/>
      <c r="BU49" s="1008"/>
      <c r="BV49" s="1008"/>
      <c r="BW49" s="1008"/>
    </row>
    <row r="50" spans="1:75" s="93" customFormat="1" ht="12.75" customHeight="1">
      <c r="A50" s="74"/>
      <c r="B50" s="295" t="s">
        <v>2415</v>
      </c>
      <c r="P50" s="74"/>
      <c r="AE50" s="196"/>
      <c r="AT50" s="74"/>
      <c r="BI50" s="74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</row>
    <row r="51" spans="1:75" s="93" customFormat="1" ht="12.75" customHeight="1">
      <c r="A51" s="74"/>
      <c r="B51" s="44" t="s">
        <v>2291</v>
      </c>
      <c r="C51" s="118"/>
      <c r="D51" s="118"/>
      <c r="E51" s="118"/>
      <c r="F51" s="118"/>
      <c r="G51" s="118"/>
      <c r="P51" s="74"/>
      <c r="AE51" s="74"/>
      <c r="AT51" s="74"/>
      <c r="BI51" s="74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</row>
    <row r="52" spans="1:75" ht="12.75" customHeight="1">
      <c r="A52" s="74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74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74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74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74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</row>
    <row r="53" spans="1:75" ht="12.75" customHeight="1">
      <c r="Q53" s="62"/>
      <c r="AG53" s="62"/>
      <c r="AW53" s="62"/>
      <c r="BM53" s="62"/>
    </row>
    <row r="54" spans="1:75">
      <c r="B54" s="246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Q54" s="62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F54" s="246"/>
      <c r="AG54" s="62"/>
      <c r="AH54" s="246"/>
      <c r="AI54" s="246"/>
      <c r="AJ54" s="246"/>
      <c r="AK54" s="246"/>
      <c r="AL54" s="246"/>
      <c r="AM54" s="246"/>
      <c r="AN54" s="246"/>
      <c r="AO54" s="246"/>
      <c r="AP54" s="246"/>
      <c r="AQ54" s="246"/>
      <c r="AR54" s="246"/>
      <c r="AS54" s="246"/>
      <c r="AU54" s="246"/>
      <c r="AV54" s="246"/>
      <c r="AW54" s="62"/>
      <c r="AX54" s="246"/>
      <c r="AY54" s="246"/>
      <c r="AZ54" s="246"/>
      <c r="BA54" s="246"/>
      <c r="BB54" s="246"/>
      <c r="BC54" s="246"/>
      <c r="BD54" s="246"/>
      <c r="BE54" s="246"/>
      <c r="BF54" s="246"/>
      <c r="BG54" s="246"/>
      <c r="BH54" s="246"/>
      <c r="BJ54" s="246"/>
      <c r="BK54" s="246"/>
      <c r="BL54" s="246"/>
      <c r="BM54" s="62"/>
      <c r="BN54" s="246"/>
      <c r="BO54" s="246"/>
      <c r="BP54" s="246"/>
      <c r="BQ54" s="246"/>
      <c r="BR54" s="246"/>
      <c r="BS54" s="246"/>
      <c r="BT54" s="246"/>
      <c r="BU54" s="246"/>
      <c r="BV54" s="246"/>
      <c r="BW54" s="246"/>
    </row>
    <row r="55" spans="1:75">
      <c r="Q55" s="62"/>
      <c r="R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G55" s="62"/>
      <c r="AI55" s="62"/>
      <c r="AM55" s="62"/>
      <c r="AO55" s="62"/>
      <c r="AQ55" s="62"/>
      <c r="AU55" s="62"/>
      <c r="AV55" s="1194"/>
      <c r="AW55" s="62"/>
      <c r="AX55" s="62"/>
      <c r="AZ55" s="62"/>
      <c r="BA55" s="62"/>
      <c r="BD55" s="62"/>
      <c r="BF55" s="62"/>
      <c r="BG55" s="62"/>
      <c r="BJ55" s="62"/>
      <c r="BK55" s="62"/>
      <c r="BM55" s="62"/>
      <c r="BN55" s="62"/>
      <c r="BQ55" s="62"/>
      <c r="BR55" s="62"/>
      <c r="BV55" s="62"/>
    </row>
    <row r="56" spans="1:75">
      <c r="B56" s="246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F56" s="246"/>
      <c r="AG56" s="246"/>
      <c r="AH56" s="246"/>
      <c r="AI56" s="246"/>
      <c r="AJ56" s="246"/>
      <c r="AK56" s="246"/>
      <c r="AL56" s="246"/>
      <c r="AM56" s="246"/>
      <c r="AN56" s="246"/>
      <c r="AO56" s="246"/>
      <c r="AP56" s="246"/>
      <c r="AQ56" s="246"/>
      <c r="AR56" s="246"/>
      <c r="AS56" s="246"/>
      <c r="AU56" s="246"/>
      <c r="AV56" s="246"/>
      <c r="AW56" s="246"/>
      <c r="AX56" s="246"/>
      <c r="AY56" s="246"/>
      <c r="AZ56" s="246"/>
      <c r="BA56" s="246"/>
      <c r="BB56" s="246"/>
      <c r="BC56" s="246"/>
      <c r="BD56" s="246"/>
      <c r="BE56" s="246"/>
      <c r="BF56" s="246"/>
      <c r="BG56" s="246"/>
      <c r="BH56" s="246"/>
      <c r="BJ56" s="246"/>
      <c r="BK56" s="246"/>
      <c r="BL56" s="246"/>
      <c r="BM56" s="246"/>
      <c r="BN56" s="246"/>
      <c r="BO56" s="246"/>
      <c r="BP56" s="246"/>
      <c r="BQ56" s="246"/>
      <c r="BR56" s="246"/>
      <c r="BS56" s="246"/>
      <c r="BT56" s="246"/>
      <c r="BU56" s="246"/>
      <c r="BV56" s="246"/>
      <c r="BW56" s="246"/>
    </row>
    <row r="57" spans="1:75"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6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J57" s="246"/>
      <c r="BK57" s="246"/>
      <c r="BL57" s="246"/>
      <c r="BM57" s="246"/>
      <c r="BN57" s="246"/>
      <c r="BO57" s="246"/>
      <c r="BP57" s="246"/>
      <c r="BQ57" s="246"/>
      <c r="BR57" s="246"/>
      <c r="BS57" s="246"/>
      <c r="BT57" s="246"/>
      <c r="BU57" s="246"/>
      <c r="BV57" s="246"/>
      <c r="BW57" s="246"/>
    </row>
    <row r="58" spans="1:75"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F58" s="246"/>
      <c r="AG58" s="246"/>
      <c r="AH58" s="246"/>
      <c r="AI58" s="246"/>
      <c r="AJ58" s="246"/>
      <c r="AK58" s="246"/>
      <c r="AL58" s="246"/>
      <c r="AM58" s="246"/>
      <c r="AN58" s="246"/>
      <c r="AO58" s="246"/>
      <c r="AP58" s="246"/>
      <c r="AQ58" s="246"/>
      <c r="AR58" s="246"/>
      <c r="AS58" s="246"/>
      <c r="AU58" s="246"/>
      <c r="AV58" s="246"/>
      <c r="AW58" s="246"/>
      <c r="AX58" s="246"/>
      <c r="AY58" s="246"/>
      <c r="AZ58" s="246"/>
      <c r="BA58" s="246"/>
      <c r="BB58" s="246"/>
      <c r="BC58" s="246"/>
      <c r="BD58" s="246"/>
      <c r="BE58" s="246"/>
      <c r="BF58" s="246"/>
      <c r="BG58" s="246"/>
      <c r="BH58" s="246"/>
      <c r="BJ58" s="246"/>
      <c r="BK58" s="246"/>
      <c r="BL58" s="246"/>
      <c r="BM58" s="246"/>
      <c r="BN58" s="246"/>
      <c r="BO58" s="246"/>
      <c r="BP58" s="246"/>
      <c r="BQ58" s="246"/>
      <c r="BR58" s="246"/>
      <c r="BS58" s="246"/>
      <c r="BT58" s="246"/>
      <c r="BU58" s="246"/>
      <c r="BV58" s="246"/>
      <c r="BW58" s="246"/>
    </row>
    <row r="59" spans="1:75"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F59" s="246"/>
      <c r="AG59" s="246"/>
      <c r="AH59" s="246"/>
      <c r="AI59" s="246"/>
      <c r="AJ59" s="246"/>
      <c r="AK59" s="246"/>
      <c r="AL59" s="246"/>
      <c r="AM59" s="246"/>
      <c r="AN59" s="246"/>
      <c r="AO59" s="246"/>
      <c r="AP59" s="246"/>
      <c r="AQ59" s="246"/>
      <c r="AR59" s="246"/>
      <c r="AS59" s="246"/>
      <c r="AU59" s="246"/>
      <c r="AV59" s="246"/>
      <c r="AW59" s="246"/>
      <c r="AX59" s="246"/>
      <c r="AY59" s="246"/>
      <c r="AZ59" s="246"/>
      <c r="BA59" s="246"/>
      <c r="BB59" s="246"/>
      <c r="BC59" s="246"/>
      <c r="BD59" s="246"/>
      <c r="BE59" s="246"/>
      <c r="BF59" s="246"/>
      <c r="BG59" s="246"/>
      <c r="BH59" s="246"/>
      <c r="BJ59" s="246"/>
      <c r="BK59" s="246"/>
      <c r="BL59" s="246"/>
      <c r="BM59" s="246"/>
      <c r="BN59" s="246"/>
      <c r="BO59" s="246"/>
      <c r="BP59" s="246"/>
      <c r="BQ59" s="246"/>
      <c r="BR59" s="246"/>
      <c r="BS59" s="246"/>
      <c r="BT59" s="246"/>
      <c r="BU59" s="246"/>
      <c r="BV59" s="246"/>
      <c r="BW59" s="246"/>
    </row>
    <row r="60" spans="1:75"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F60" s="246"/>
      <c r="AG60" s="246"/>
      <c r="AH60" s="246"/>
      <c r="AI60" s="246"/>
      <c r="AJ60" s="246"/>
      <c r="AK60" s="246"/>
      <c r="AL60" s="246"/>
      <c r="AM60" s="246"/>
      <c r="AN60" s="246"/>
      <c r="AO60" s="246"/>
      <c r="AP60" s="246"/>
      <c r="AQ60" s="246"/>
      <c r="AR60" s="246"/>
      <c r="AS60" s="246"/>
      <c r="AU60" s="246"/>
      <c r="AV60" s="246"/>
      <c r="AW60" s="246"/>
      <c r="AX60" s="246"/>
      <c r="AY60" s="246"/>
      <c r="AZ60" s="246"/>
      <c r="BA60" s="246"/>
      <c r="BB60" s="246"/>
      <c r="BC60" s="246"/>
      <c r="BD60" s="246"/>
      <c r="BE60" s="246"/>
      <c r="BF60" s="246"/>
      <c r="BG60" s="246"/>
      <c r="BH60" s="246"/>
      <c r="BJ60" s="246"/>
      <c r="BK60" s="246"/>
      <c r="BL60" s="246"/>
      <c r="BM60" s="246"/>
      <c r="BN60" s="246"/>
      <c r="BO60" s="246"/>
      <c r="BP60" s="246"/>
      <c r="BQ60" s="246"/>
      <c r="BR60" s="246"/>
      <c r="BS60" s="246"/>
      <c r="BT60" s="246"/>
      <c r="BU60" s="246"/>
      <c r="BV60" s="246"/>
      <c r="BW60" s="246"/>
    </row>
    <row r="61" spans="1:75">
      <c r="B61" s="246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Q61" s="62"/>
      <c r="S61" s="62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F61" s="246"/>
      <c r="AG61" s="62"/>
      <c r="AH61" s="246"/>
      <c r="AJ61" s="246"/>
      <c r="AK61" s="62"/>
      <c r="AL61" s="246"/>
      <c r="AM61" s="246"/>
      <c r="AN61" s="246"/>
      <c r="AO61" s="246"/>
      <c r="AP61" s="246"/>
      <c r="AQ61" s="246"/>
      <c r="AR61" s="246"/>
      <c r="AS61" s="246"/>
      <c r="AU61" s="246"/>
      <c r="AV61" s="246"/>
      <c r="AW61" s="62"/>
      <c r="AX61" s="246"/>
      <c r="AY61" s="246"/>
      <c r="BA61" s="246"/>
      <c r="BB61" s="246"/>
      <c r="BC61" s="62"/>
      <c r="BD61" s="246"/>
      <c r="BE61" s="246"/>
      <c r="BF61" s="246"/>
      <c r="BG61" s="246"/>
      <c r="BH61" s="246"/>
      <c r="BJ61" s="246"/>
      <c r="BK61" s="246"/>
      <c r="BL61" s="246"/>
      <c r="BM61" s="62"/>
      <c r="BN61" s="246"/>
      <c r="BO61" s="246"/>
      <c r="BP61" s="246"/>
      <c r="BR61" s="246"/>
      <c r="BS61" s="246"/>
      <c r="BT61" s="246"/>
      <c r="BU61" s="62"/>
      <c r="BV61" s="246"/>
      <c r="BW61" s="246"/>
    </row>
    <row r="62" spans="1:75"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  <c r="AF62" s="246"/>
      <c r="AG62" s="246"/>
      <c r="AH62" s="246"/>
      <c r="AI62" s="246"/>
      <c r="AJ62" s="246"/>
      <c r="AK62" s="246"/>
      <c r="AL62" s="246"/>
      <c r="AM62" s="246"/>
      <c r="AN62" s="246"/>
      <c r="AO62" s="246"/>
      <c r="AP62" s="246"/>
      <c r="AQ62" s="246"/>
      <c r="AR62" s="246"/>
      <c r="AS62" s="246"/>
      <c r="AT62" s="246"/>
      <c r="AU62" s="246"/>
      <c r="AV62" s="246"/>
      <c r="AW62" s="246"/>
      <c r="AX62" s="246"/>
      <c r="AY62" s="246"/>
      <c r="AZ62" s="246"/>
      <c r="BA62" s="246"/>
      <c r="BB62" s="246"/>
      <c r="BC62" s="246"/>
      <c r="BD62" s="246"/>
      <c r="BE62" s="246"/>
      <c r="BF62" s="246"/>
      <c r="BG62" s="246"/>
      <c r="BH62" s="246"/>
      <c r="BI62" s="246"/>
      <c r="BJ62" s="246"/>
      <c r="BK62" s="246"/>
      <c r="BL62" s="246"/>
      <c r="BM62" s="246"/>
      <c r="BN62" s="246"/>
      <c r="BO62" s="246"/>
      <c r="BP62" s="246"/>
      <c r="BQ62" s="246"/>
      <c r="BR62" s="246"/>
      <c r="BS62" s="246"/>
      <c r="BT62" s="246"/>
      <c r="BU62" s="246"/>
      <c r="BV62" s="246"/>
      <c r="BW62" s="246"/>
    </row>
    <row r="63" spans="1:75"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  <c r="AF63" s="246"/>
      <c r="AG63" s="246"/>
      <c r="AH63" s="246"/>
      <c r="AI63" s="246"/>
      <c r="AJ63" s="246"/>
      <c r="AK63" s="246"/>
      <c r="AL63" s="246"/>
      <c r="AM63" s="246"/>
      <c r="AN63" s="246"/>
      <c r="AO63" s="246"/>
      <c r="AP63" s="246"/>
      <c r="AQ63" s="246"/>
      <c r="AR63" s="246"/>
      <c r="AS63" s="246"/>
      <c r="AT63" s="246"/>
      <c r="AU63" s="246"/>
      <c r="AV63" s="246"/>
      <c r="AW63" s="246"/>
      <c r="AX63" s="246"/>
      <c r="AY63" s="246"/>
      <c r="AZ63" s="246"/>
      <c r="BA63" s="246"/>
      <c r="BB63" s="246"/>
      <c r="BC63" s="246"/>
      <c r="BD63" s="246"/>
      <c r="BE63" s="246"/>
      <c r="BF63" s="246"/>
      <c r="BG63" s="246"/>
      <c r="BH63" s="246"/>
      <c r="BI63" s="246"/>
      <c r="BJ63" s="246"/>
      <c r="BK63" s="246"/>
      <c r="BL63" s="246"/>
      <c r="BM63" s="246"/>
      <c r="BN63" s="246"/>
      <c r="BO63" s="246"/>
      <c r="BP63" s="246"/>
      <c r="BQ63" s="246"/>
      <c r="BR63" s="246"/>
      <c r="BS63" s="246"/>
      <c r="BT63" s="246"/>
      <c r="BU63" s="246"/>
      <c r="BV63" s="246"/>
      <c r="BW63" s="246"/>
    </row>
    <row r="64" spans="1:75"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  <c r="AH64" s="246"/>
      <c r="AI64" s="246"/>
      <c r="AJ64" s="246"/>
      <c r="AK64" s="246"/>
      <c r="AL64" s="246"/>
      <c r="AM64" s="246"/>
      <c r="AN64" s="246"/>
      <c r="AO64" s="246"/>
      <c r="AP64" s="246"/>
      <c r="AQ64" s="246"/>
      <c r="AR64" s="246"/>
      <c r="AS64" s="246"/>
      <c r="AT64" s="246"/>
      <c r="AU64" s="246"/>
      <c r="AV64" s="246"/>
      <c r="AW64" s="246"/>
      <c r="AX64" s="246"/>
      <c r="AY64" s="246"/>
      <c r="AZ64" s="246"/>
      <c r="BA64" s="246"/>
      <c r="BB64" s="246"/>
      <c r="BC64" s="246"/>
      <c r="BD64" s="246"/>
      <c r="BE64" s="246"/>
      <c r="BF64" s="246"/>
      <c r="BG64" s="246"/>
      <c r="BH64" s="246"/>
      <c r="BI64" s="246"/>
      <c r="BJ64" s="246"/>
      <c r="BK64" s="246"/>
      <c r="BL64" s="246"/>
      <c r="BM64" s="246"/>
      <c r="BN64" s="246"/>
      <c r="BO64" s="246"/>
      <c r="BP64" s="246"/>
      <c r="BQ64" s="246"/>
      <c r="BR64" s="246"/>
      <c r="BS64" s="246"/>
      <c r="BT64" s="246"/>
      <c r="BU64" s="246"/>
      <c r="BV64" s="246"/>
      <c r="BW64" s="246"/>
    </row>
    <row r="65" spans="2:75">
      <c r="B65" s="246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  <c r="AF65" s="246"/>
      <c r="AG65" s="246"/>
      <c r="AH65" s="246"/>
      <c r="AI65" s="246"/>
      <c r="AJ65" s="246"/>
      <c r="AK65" s="246"/>
      <c r="AL65" s="246"/>
      <c r="AM65" s="246"/>
      <c r="AN65" s="246"/>
      <c r="AO65" s="246"/>
      <c r="AP65" s="246"/>
      <c r="AQ65" s="246"/>
      <c r="AR65" s="246"/>
      <c r="AS65" s="246"/>
      <c r="AT65" s="246"/>
      <c r="AU65" s="246"/>
      <c r="AV65" s="246"/>
      <c r="AW65" s="246"/>
      <c r="AX65" s="246"/>
      <c r="AY65" s="246"/>
      <c r="AZ65" s="246"/>
      <c r="BA65" s="246"/>
      <c r="BB65" s="246"/>
      <c r="BC65" s="246"/>
      <c r="BD65" s="246"/>
      <c r="BE65" s="246"/>
      <c r="BF65" s="246"/>
      <c r="BG65" s="246"/>
      <c r="BH65" s="246"/>
      <c r="BI65" s="246"/>
      <c r="BJ65" s="246"/>
      <c r="BK65" s="246"/>
      <c r="BL65" s="246"/>
      <c r="BM65" s="246"/>
      <c r="BN65" s="246"/>
      <c r="BO65" s="246"/>
      <c r="BP65" s="246"/>
      <c r="BQ65" s="246"/>
      <c r="BR65" s="246"/>
      <c r="BS65" s="246"/>
      <c r="BT65" s="246"/>
      <c r="BU65" s="246"/>
      <c r="BV65" s="246"/>
      <c r="BW65" s="246"/>
    </row>
    <row r="66" spans="2:75">
      <c r="B66" s="246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  <c r="AF66" s="246"/>
      <c r="AG66" s="246"/>
      <c r="AH66" s="246"/>
      <c r="AI66" s="246"/>
      <c r="AJ66" s="246"/>
      <c r="AK66" s="246"/>
      <c r="AL66" s="246"/>
      <c r="AM66" s="246"/>
      <c r="AN66" s="246"/>
      <c r="AO66" s="246"/>
      <c r="AP66" s="246"/>
      <c r="AQ66" s="246"/>
      <c r="AR66" s="246"/>
      <c r="AS66" s="246"/>
      <c r="AT66" s="246"/>
      <c r="AU66" s="246"/>
      <c r="AV66" s="246"/>
      <c r="AW66" s="246"/>
      <c r="AX66" s="246"/>
      <c r="AY66" s="246"/>
      <c r="AZ66" s="246"/>
      <c r="BA66" s="246"/>
      <c r="BB66" s="246"/>
      <c r="BC66" s="246"/>
      <c r="BD66" s="246"/>
      <c r="BE66" s="246"/>
      <c r="BF66" s="246"/>
      <c r="BG66" s="246"/>
      <c r="BH66" s="246"/>
      <c r="BI66" s="246"/>
      <c r="BJ66" s="246"/>
      <c r="BK66" s="246"/>
      <c r="BL66" s="246"/>
      <c r="BM66" s="246"/>
      <c r="BN66" s="246"/>
      <c r="BO66" s="246"/>
      <c r="BP66" s="246"/>
      <c r="BQ66" s="246"/>
      <c r="BR66" s="246"/>
      <c r="BS66" s="246"/>
      <c r="BT66" s="246"/>
      <c r="BU66" s="246"/>
      <c r="BV66" s="246"/>
      <c r="BW66" s="246"/>
    </row>
    <row r="67" spans="2:75"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6"/>
      <c r="AK67" s="246"/>
      <c r="AL67" s="246"/>
      <c r="AM67" s="246"/>
      <c r="AN67" s="246"/>
      <c r="AO67" s="246"/>
      <c r="AP67" s="246"/>
      <c r="AQ67" s="246"/>
      <c r="AR67" s="246"/>
      <c r="AS67" s="246"/>
      <c r="AT67" s="246"/>
      <c r="AU67" s="246"/>
      <c r="AV67" s="246"/>
      <c r="AW67" s="246"/>
      <c r="AX67" s="246"/>
      <c r="AY67" s="246"/>
      <c r="AZ67" s="246"/>
      <c r="BA67" s="246"/>
      <c r="BB67" s="246"/>
      <c r="BC67" s="246"/>
      <c r="BD67" s="246"/>
      <c r="BE67" s="246"/>
      <c r="BF67" s="246"/>
      <c r="BG67" s="246"/>
      <c r="BH67" s="246"/>
      <c r="BI67" s="246"/>
      <c r="BJ67" s="246"/>
      <c r="BK67" s="246"/>
      <c r="BL67" s="246"/>
      <c r="BM67" s="246"/>
      <c r="BN67" s="246"/>
      <c r="BO67" s="246"/>
      <c r="BP67" s="246"/>
      <c r="BQ67" s="246"/>
      <c r="BR67" s="246"/>
      <c r="BS67" s="246"/>
      <c r="BT67" s="246"/>
      <c r="BU67" s="246"/>
      <c r="BV67" s="246"/>
      <c r="BW67" s="246"/>
    </row>
    <row r="68" spans="2:75"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  <c r="AQ68" s="246"/>
      <c r="AR68" s="246"/>
      <c r="AS68" s="246"/>
      <c r="AT68" s="246"/>
      <c r="AU68" s="246"/>
      <c r="AV68" s="246"/>
      <c r="AW68" s="246"/>
      <c r="AX68" s="246"/>
      <c r="AY68" s="246"/>
      <c r="AZ68" s="246"/>
      <c r="BA68" s="246"/>
      <c r="BB68" s="246"/>
      <c r="BC68" s="246"/>
      <c r="BD68" s="246"/>
      <c r="BE68" s="246"/>
      <c r="BF68" s="246"/>
      <c r="BG68" s="246"/>
      <c r="BH68" s="246"/>
      <c r="BI68" s="246"/>
      <c r="BJ68" s="246"/>
      <c r="BK68" s="246"/>
      <c r="BL68" s="246"/>
      <c r="BM68" s="246"/>
      <c r="BN68" s="246"/>
      <c r="BO68" s="246"/>
      <c r="BP68" s="246"/>
      <c r="BQ68" s="246"/>
      <c r="BR68" s="246"/>
      <c r="BS68" s="246"/>
      <c r="BT68" s="246"/>
      <c r="BU68" s="246"/>
      <c r="BV68" s="246"/>
      <c r="BW68" s="246"/>
    </row>
    <row r="69" spans="2:75"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  <c r="AN69" s="246"/>
      <c r="AO69" s="246"/>
      <c r="AP69" s="246"/>
      <c r="AQ69" s="246"/>
      <c r="AR69" s="246"/>
      <c r="AS69" s="246"/>
      <c r="AT69" s="246"/>
      <c r="AU69" s="246"/>
      <c r="AV69" s="246"/>
      <c r="AW69" s="246"/>
      <c r="AX69" s="246"/>
      <c r="AY69" s="246"/>
      <c r="AZ69" s="246"/>
      <c r="BA69" s="246"/>
      <c r="BB69" s="246"/>
      <c r="BC69" s="246"/>
      <c r="BD69" s="246"/>
      <c r="BE69" s="246"/>
      <c r="BF69" s="246"/>
      <c r="BG69" s="246"/>
      <c r="BH69" s="246"/>
      <c r="BI69" s="246"/>
      <c r="BJ69" s="246"/>
      <c r="BK69" s="246"/>
      <c r="BL69" s="246"/>
      <c r="BM69" s="246"/>
      <c r="BN69" s="246"/>
      <c r="BO69" s="246"/>
      <c r="BP69" s="246"/>
      <c r="BQ69" s="246"/>
      <c r="BR69" s="246"/>
      <c r="BS69" s="246"/>
      <c r="BT69" s="246"/>
      <c r="BU69" s="246"/>
      <c r="BV69" s="246"/>
      <c r="BW69" s="246"/>
    </row>
    <row r="70" spans="2:75"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  <c r="AQ70" s="246"/>
      <c r="AR70" s="246"/>
      <c r="AS70" s="246"/>
      <c r="AT70" s="246"/>
      <c r="AU70" s="246"/>
      <c r="AV70" s="246"/>
      <c r="AW70" s="246"/>
      <c r="AX70" s="246"/>
      <c r="AY70" s="246"/>
      <c r="AZ70" s="246"/>
      <c r="BA70" s="246"/>
      <c r="BB70" s="246"/>
      <c r="BC70" s="246"/>
      <c r="BD70" s="246"/>
      <c r="BE70" s="246"/>
      <c r="BF70" s="246"/>
      <c r="BG70" s="246"/>
      <c r="BH70" s="246"/>
      <c r="BI70" s="246"/>
      <c r="BJ70" s="246"/>
      <c r="BK70" s="246"/>
      <c r="BL70" s="246"/>
      <c r="BM70" s="246"/>
      <c r="BN70" s="246"/>
      <c r="BO70" s="246"/>
      <c r="BP70" s="246"/>
      <c r="BQ70" s="246"/>
      <c r="BR70" s="246"/>
      <c r="BS70" s="246"/>
      <c r="BT70" s="246"/>
      <c r="BU70" s="246"/>
      <c r="BV70" s="246"/>
      <c r="BW70" s="246"/>
    </row>
    <row r="71" spans="2:75"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246"/>
      <c r="BA71" s="246"/>
      <c r="BB71" s="246"/>
      <c r="BC71" s="246"/>
      <c r="BD71" s="246"/>
      <c r="BE71" s="246"/>
      <c r="BF71" s="246"/>
      <c r="BG71" s="246"/>
      <c r="BH71" s="246"/>
      <c r="BI71" s="246"/>
      <c r="BJ71" s="246"/>
      <c r="BK71" s="246"/>
      <c r="BL71" s="246"/>
      <c r="BM71" s="246"/>
      <c r="BN71" s="246"/>
      <c r="BO71" s="246"/>
      <c r="BP71" s="246"/>
      <c r="BQ71" s="246"/>
      <c r="BR71" s="246"/>
      <c r="BS71" s="246"/>
      <c r="BT71" s="246"/>
      <c r="BU71" s="246"/>
      <c r="BV71" s="246"/>
      <c r="BW71" s="246"/>
    </row>
    <row r="72" spans="2:75"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/>
      <c r="AR72" s="246"/>
      <c r="AS72" s="246"/>
      <c r="AT72" s="246"/>
      <c r="AU72" s="246"/>
      <c r="AV72" s="246"/>
      <c r="AW72" s="246"/>
      <c r="AX72" s="246"/>
      <c r="AY72" s="246"/>
      <c r="AZ72" s="246"/>
      <c r="BA72" s="246"/>
      <c r="BB72" s="246"/>
      <c r="BC72" s="246"/>
      <c r="BD72" s="246"/>
      <c r="BE72" s="246"/>
      <c r="BF72" s="246"/>
      <c r="BG72" s="246"/>
      <c r="BH72" s="246"/>
      <c r="BI72" s="246"/>
      <c r="BJ72" s="246"/>
      <c r="BK72" s="246"/>
      <c r="BL72" s="246"/>
      <c r="BM72" s="246"/>
      <c r="BN72" s="246"/>
      <c r="BO72" s="246"/>
      <c r="BP72" s="246"/>
      <c r="BQ72" s="246"/>
      <c r="BR72" s="246"/>
      <c r="BS72" s="246"/>
      <c r="BT72" s="246"/>
      <c r="BU72" s="246"/>
      <c r="BV72" s="246"/>
      <c r="BW72" s="246"/>
    </row>
    <row r="73" spans="2:75">
      <c r="B73" s="246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  <c r="AF73" s="246"/>
      <c r="AG73" s="246"/>
      <c r="AH73" s="246"/>
      <c r="AI73" s="246"/>
      <c r="AJ73" s="246"/>
      <c r="AK73" s="246"/>
      <c r="AL73" s="246"/>
      <c r="AM73" s="246"/>
      <c r="AN73" s="246"/>
      <c r="AO73" s="246"/>
      <c r="AP73" s="246"/>
      <c r="AQ73" s="246"/>
      <c r="AR73" s="246"/>
      <c r="AS73" s="246"/>
      <c r="AT73" s="246"/>
      <c r="AU73" s="246"/>
      <c r="AV73" s="246"/>
      <c r="AW73" s="246"/>
      <c r="AX73" s="246"/>
      <c r="AY73" s="246"/>
      <c r="AZ73" s="246"/>
      <c r="BA73" s="246"/>
      <c r="BB73" s="246"/>
      <c r="BC73" s="246"/>
      <c r="BD73" s="246"/>
      <c r="BE73" s="246"/>
      <c r="BF73" s="246"/>
      <c r="BG73" s="246"/>
      <c r="BH73" s="246"/>
      <c r="BI73" s="246"/>
      <c r="BJ73" s="246"/>
      <c r="BK73" s="246"/>
      <c r="BL73" s="246"/>
      <c r="BM73" s="246"/>
      <c r="BN73" s="246"/>
      <c r="BO73" s="246"/>
      <c r="BP73" s="246"/>
      <c r="BQ73" s="246"/>
      <c r="BR73" s="246"/>
      <c r="BS73" s="246"/>
      <c r="BT73" s="246"/>
      <c r="BU73" s="246"/>
      <c r="BV73" s="246"/>
      <c r="BW73" s="246"/>
    </row>
    <row r="74" spans="2:75">
      <c r="B74" s="246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6"/>
      <c r="AJ74" s="246"/>
      <c r="AK74" s="246"/>
      <c r="AL74" s="246"/>
      <c r="AM74" s="246"/>
      <c r="AN74" s="246"/>
      <c r="AO74" s="246"/>
      <c r="AP74" s="246"/>
      <c r="AQ74" s="246"/>
      <c r="AR74" s="246"/>
      <c r="AS74" s="246"/>
      <c r="AT74" s="246"/>
      <c r="AU74" s="246"/>
      <c r="AV74" s="246"/>
      <c r="AW74" s="246"/>
      <c r="AX74" s="246"/>
      <c r="AY74" s="246"/>
      <c r="AZ74" s="246"/>
      <c r="BA74" s="246"/>
      <c r="BB74" s="246"/>
      <c r="BC74" s="246"/>
      <c r="BD74" s="246"/>
      <c r="BE74" s="246"/>
      <c r="BF74" s="246"/>
      <c r="BG74" s="246"/>
      <c r="BH74" s="246"/>
      <c r="BI74" s="246"/>
      <c r="BJ74" s="246"/>
      <c r="BK74" s="246"/>
      <c r="BL74" s="246"/>
      <c r="BM74" s="246"/>
      <c r="BN74" s="246"/>
      <c r="BO74" s="246"/>
      <c r="BP74" s="246"/>
      <c r="BQ74" s="246"/>
      <c r="BR74" s="246"/>
      <c r="BS74" s="246"/>
      <c r="BT74" s="246"/>
      <c r="BU74" s="246"/>
      <c r="BV74" s="246"/>
      <c r="BW74" s="246"/>
    </row>
    <row r="75" spans="2:75"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246"/>
      <c r="AP75" s="246"/>
      <c r="AQ75" s="246"/>
      <c r="AR75" s="246"/>
      <c r="AS75" s="246"/>
      <c r="AT75" s="246"/>
      <c r="AU75" s="246"/>
      <c r="AV75" s="246"/>
      <c r="AW75" s="246"/>
      <c r="AX75" s="246"/>
      <c r="AY75" s="246"/>
      <c r="AZ75" s="246"/>
      <c r="BA75" s="246"/>
      <c r="BB75" s="246"/>
      <c r="BC75" s="246"/>
      <c r="BD75" s="246"/>
      <c r="BE75" s="246"/>
      <c r="BF75" s="246"/>
      <c r="BG75" s="246"/>
      <c r="BH75" s="246"/>
      <c r="BI75" s="246"/>
      <c r="BJ75" s="246"/>
      <c r="BK75" s="246"/>
      <c r="BL75" s="246"/>
      <c r="BM75" s="246"/>
      <c r="BN75" s="246"/>
      <c r="BO75" s="246"/>
      <c r="BP75" s="246"/>
      <c r="BQ75" s="246"/>
      <c r="BR75" s="246"/>
      <c r="BS75" s="246"/>
      <c r="BT75" s="246"/>
      <c r="BU75" s="246"/>
      <c r="BV75" s="246"/>
      <c r="BW75" s="246"/>
    </row>
    <row r="76" spans="2:75"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  <c r="AF76" s="246"/>
      <c r="AG76" s="246"/>
      <c r="AH76" s="246"/>
      <c r="AI76" s="246"/>
      <c r="AJ76" s="246"/>
      <c r="AK76" s="246"/>
      <c r="AL76" s="246"/>
      <c r="AM76" s="246"/>
      <c r="AN76" s="246"/>
      <c r="AO76" s="246"/>
      <c r="AP76" s="246"/>
      <c r="AQ76" s="246"/>
      <c r="AR76" s="246"/>
      <c r="AS76" s="246"/>
      <c r="AT76" s="246"/>
      <c r="AU76" s="246"/>
      <c r="AV76" s="246"/>
      <c r="AW76" s="246"/>
      <c r="AX76" s="246"/>
      <c r="AY76" s="246"/>
      <c r="AZ76" s="246"/>
      <c r="BA76" s="246"/>
      <c r="BB76" s="246"/>
      <c r="BC76" s="246"/>
      <c r="BD76" s="246"/>
      <c r="BE76" s="246"/>
      <c r="BF76" s="246"/>
      <c r="BG76" s="246"/>
      <c r="BH76" s="246"/>
      <c r="BI76" s="246"/>
      <c r="BJ76" s="246"/>
      <c r="BK76" s="246"/>
      <c r="BL76" s="246"/>
      <c r="BM76" s="246"/>
      <c r="BN76" s="246"/>
      <c r="BO76" s="246"/>
      <c r="BP76" s="246"/>
      <c r="BQ76" s="246"/>
      <c r="BR76" s="246"/>
      <c r="BS76" s="246"/>
      <c r="BT76" s="246"/>
      <c r="BU76" s="246"/>
      <c r="BV76" s="246"/>
      <c r="BW76" s="246"/>
    </row>
    <row r="77" spans="2:75"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  <c r="AF77" s="246"/>
      <c r="AG77" s="246"/>
      <c r="AH77" s="246"/>
      <c r="AI77" s="246"/>
      <c r="AJ77" s="246"/>
      <c r="AK77" s="246"/>
      <c r="AL77" s="246"/>
      <c r="AM77" s="246"/>
      <c r="AN77" s="246"/>
      <c r="AO77" s="246"/>
      <c r="AP77" s="246"/>
      <c r="AQ77" s="246"/>
      <c r="AR77" s="246"/>
      <c r="AS77" s="246"/>
      <c r="AT77" s="246"/>
      <c r="AU77" s="246"/>
      <c r="AV77" s="246"/>
      <c r="AW77" s="246"/>
      <c r="AX77" s="246"/>
      <c r="AY77" s="246"/>
      <c r="AZ77" s="246"/>
      <c r="BA77" s="246"/>
      <c r="BB77" s="246"/>
      <c r="BC77" s="246"/>
      <c r="BD77" s="246"/>
      <c r="BE77" s="246"/>
      <c r="BF77" s="246"/>
      <c r="BG77" s="246"/>
      <c r="BH77" s="246"/>
      <c r="BI77" s="246"/>
      <c r="BJ77" s="246"/>
      <c r="BK77" s="246"/>
      <c r="BL77" s="246"/>
      <c r="BM77" s="246"/>
      <c r="BN77" s="246"/>
      <c r="BO77" s="246"/>
      <c r="BP77" s="246"/>
      <c r="BQ77" s="246"/>
      <c r="BR77" s="246"/>
      <c r="BS77" s="246"/>
      <c r="BT77" s="246"/>
      <c r="BU77" s="246"/>
      <c r="BV77" s="246"/>
      <c r="BW77" s="246"/>
    </row>
    <row r="78" spans="2:75"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  <c r="AF78" s="246"/>
      <c r="AG78" s="246"/>
      <c r="AH78" s="246"/>
      <c r="AI78" s="246"/>
      <c r="AJ78" s="246"/>
      <c r="AK78" s="246"/>
      <c r="AL78" s="246"/>
      <c r="AM78" s="246"/>
      <c r="AN78" s="246"/>
      <c r="AO78" s="246"/>
      <c r="AP78" s="246"/>
      <c r="AQ78" s="246"/>
      <c r="AR78" s="246"/>
      <c r="AS78" s="246"/>
      <c r="AT78" s="246"/>
      <c r="AU78" s="246"/>
      <c r="AV78" s="246"/>
      <c r="AW78" s="246"/>
      <c r="AX78" s="246"/>
      <c r="AY78" s="246"/>
      <c r="AZ78" s="246"/>
      <c r="BA78" s="246"/>
      <c r="BB78" s="246"/>
      <c r="BC78" s="246"/>
      <c r="BD78" s="246"/>
      <c r="BE78" s="246"/>
      <c r="BF78" s="246"/>
      <c r="BG78" s="246"/>
      <c r="BH78" s="246"/>
      <c r="BI78" s="246"/>
      <c r="BJ78" s="246"/>
      <c r="BK78" s="246"/>
      <c r="BL78" s="246"/>
      <c r="BM78" s="246"/>
      <c r="BN78" s="246"/>
      <c r="BO78" s="246"/>
      <c r="BP78" s="246"/>
      <c r="BQ78" s="246"/>
      <c r="BR78" s="246"/>
      <c r="BS78" s="246"/>
      <c r="BT78" s="246"/>
      <c r="BU78" s="246"/>
      <c r="BV78" s="246"/>
      <c r="BW78" s="246"/>
    </row>
    <row r="79" spans="2:75">
      <c r="B79" s="246"/>
    </row>
  </sheetData>
  <mergeCells count="125">
    <mergeCell ref="BW4:BW5"/>
    <mergeCell ref="I49:M49"/>
    <mergeCell ref="Q49:V49"/>
    <mergeCell ref="AF49:AK49"/>
    <mergeCell ref="AU49:AZ49"/>
    <mergeCell ref="BQ4:BQ5"/>
    <mergeCell ref="BR4:BR5"/>
    <mergeCell ref="BS4:BS5"/>
    <mergeCell ref="BT4:BT5"/>
    <mergeCell ref="BU4:BU5"/>
    <mergeCell ref="BV4:BV5"/>
    <mergeCell ref="BK4:BK5"/>
    <mergeCell ref="BL4:BL5"/>
    <mergeCell ref="BM4:BM5"/>
    <mergeCell ref="BN4:BN5"/>
    <mergeCell ref="BO4:BO5"/>
    <mergeCell ref="BP4:BP5"/>
    <mergeCell ref="AZ4:AZ5"/>
    <mergeCell ref="BA4:BA5"/>
    <mergeCell ref="BB4:BB5"/>
    <mergeCell ref="BC4:BC5"/>
    <mergeCell ref="BD4:BD5"/>
    <mergeCell ref="BE4:BE5"/>
    <mergeCell ref="AO4:AO5"/>
    <mergeCell ref="Z4:Z5"/>
    <mergeCell ref="AA4:AA5"/>
    <mergeCell ref="AP4:AP5"/>
    <mergeCell ref="AQ4:AQ5"/>
    <mergeCell ref="AR4:AR5"/>
    <mergeCell ref="AS4:AS5"/>
    <mergeCell ref="AU4:AU5"/>
    <mergeCell ref="AI4:AI5"/>
    <mergeCell ref="AJ4:AJ5"/>
    <mergeCell ref="AK4:AK5"/>
    <mergeCell ref="AL4:AL5"/>
    <mergeCell ref="AM4:AM5"/>
    <mergeCell ref="AN4:AN5"/>
    <mergeCell ref="BP3:BQ3"/>
    <mergeCell ref="BR3:BS3"/>
    <mergeCell ref="AW4:AW5"/>
    <mergeCell ref="AX4:AX5"/>
    <mergeCell ref="AY4:AY5"/>
    <mergeCell ref="AF3:AG3"/>
    <mergeCell ref="AH3:AI3"/>
    <mergeCell ref="AJ3:AK3"/>
    <mergeCell ref="AL3:AM3"/>
    <mergeCell ref="AN3:AO3"/>
    <mergeCell ref="AP3:AQ3"/>
    <mergeCell ref="AF4:AF5"/>
    <mergeCell ref="AG4:AG5"/>
    <mergeCell ref="AH4:AH5"/>
    <mergeCell ref="BA3:BB3"/>
    <mergeCell ref="AV4:AV5"/>
    <mergeCell ref="I4:I5"/>
    <mergeCell ref="J4:J5"/>
    <mergeCell ref="K4:K5"/>
    <mergeCell ref="L4:L5"/>
    <mergeCell ref="BN3:BO3"/>
    <mergeCell ref="U3:V3"/>
    <mergeCell ref="W3:X3"/>
    <mergeCell ref="Y3:Z3"/>
    <mergeCell ref="AA3:AB3"/>
    <mergeCell ref="AC3:AD3"/>
    <mergeCell ref="AE3:AE6"/>
    <mergeCell ref="AB4:AB5"/>
    <mergeCell ref="AC4:AC5"/>
    <mergeCell ref="AD4:AD5"/>
    <mergeCell ref="R4:R5"/>
    <mergeCell ref="S4:S5"/>
    <mergeCell ref="T4:T5"/>
    <mergeCell ref="U4:U5"/>
    <mergeCell ref="V4:V5"/>
    <mergeCell ref="W4:W5"/>
    <mergeCell ref="O4:O5"/>
    <mergeCell ref="Q4:Q5"/>
    <mergeCell ref="X4:X5"/>
    <mergeCell ref="Y4:Y5"/>
    <mergeCell ref="BT3:BU3"/>
    <mergeCell ref="BV3:BW3"/>
    <mergeCell ref="B4:B5"/>
    <mergeCell ref="C4:C5"/>
    <mergeCell ref="D4:D5"/>
    <mergeCell ref="E4:E5"/>
    <mergeCell ref="F4:F5"/>
    <mergeCell ref="BC3:BD3"/>
    <mergeCell ref="BE3:BF3"/>
    <mergeCell ref="BG3:BH3"/>
    <mergeCell ref="BI3:BI6"/>
    <mergeCell ref="BJ3:BK3"/>
    <mergeCell ref="BL3:BM3"/>
    <mergeCell ref="BF4:BF5"/>
    <mergeCell ref="BG4:BG5"/>
    <mergeCell ref="BH4:BH5"/>
    <mergeCell ref="BJ4:BJ5"/>
    <mergeCell ref="AR3:AS3"/>
    <mergeCell ref="AT3:AT6"/>
    <mergeCell ref="AU3:AV3"/>
    <mergeCell ref="AW3:AX3"/>
    <mergeCell ref="AY3:AZ3"/>
    <mergeCell ref="G4:G5"/>
    <mergeCell ref="H4:H5"/>
    <mergeCell ref="AY1:AZ1"/>
    <mergeCell ref="BF1:BH1"/>
    <mergeCell ref="BN1:BO1"/>
    <mergeCell ref="BU1:BW1"/>
    <mergeCell ref="AC2:AD2"/>
    <mergeCell ref="A3:A6"/>
    <mergeCell ref="B3:C3"/>
    <mergeCell ref="D3:E3"/>
    <mergeCell ref="F3:G3"/>
    <mergeCell ref="H3:I3"/>
    <mergeCell ref="F1:G1"/>
    <mergeCell ref="M1:O1"/>
    <mergeCell ref="U1:V1"/>
    <mergeCell ref="AB1:AD1"/>
    <mergeCell ref="AJ1:AK1"/>
    <mergeCell ref="AQ1:AS1"/>
    <mergeCell ref="J3:K3"/>
    <mergeCell ref="L3:M3"/>
    <mergeCell ref="N3:O3"/>
    <mergeCell ref="P3:P6"/>
    <mergeCell ref="Q3:R3"/>
    <mergeCell ref="S3:T3"/>
    <mergeCell ref="M4:M5"/>
    <mergeCell ref="N4:N5"/>
  </mergeCells>
  <pageMargins left="0.70866141732283505" right="0.70866141732283505" top="0.74803149606299202" bottom="0.74803149606299202" header="0.31496062992126" footer="0.511811023622047"/>
  <pageSetup paperSize="141" firstPageNumber="86" orientation="portrait" useFirstPageNumber="1" r:id="rId1"/>
  <headerFooter>
    <oddFooter>&amp;C&amp;"Times New Roman,Regular"&amp;8&amp;P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4"/>
  <dimension ref="A1:AJ73"/>
  <sheetViews>
    <sheetView zoomScale="130" zoomScaleNormal="13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XFD4"/>
    </sheetView>
  </sheetViews>
  <sheetFormatPr defaultColWidth="9.140625" defaultRowHeight="11.25"/>
  <cols>
    <col min="1" max="1" width="12.7109375" style="10" customWidth="1"/>
    <col min="2" max="2" width="9.42578125" style="10" customWidth="1"/>
    <col min="3" max="3" width="10.140625" style="10" customWidth="1"/>
    <col min="4" max="4" width="9.140625" style="10" customWidth="1"/>
    <col min="5" max="5" width="8.140625" style="10" customWidth="1"/>
    <col min="6" max="6" width="8.85546875" style="10" customWidth="1"/>
    <col min="7" max="7" width="8.42578125" style="10" customWidth="1"/>
    <col min="8" max="8" width="7.7109375" style="10" customWidth="1"/>
    <col min="9" max="9" width="8.42578125" style="10" customWidth="1"/>
    <col min="10" max="10" width="7.28515625" style="10" customWidth="1"/>
    <col min="11" max="11" width="7.140625" style="10" customWidth="1"/>
    <col min="12" max="12" width="7.7109375" style="10" customWidth="1"/>
    <col min="13" max="13" width="7.85546875" style="10" customWidth="1"/>
    <col min="14" max="14" width="7.5703125" style="10" customWidth="1"/>
    <col min="15" max="15" width="7.42578125" style="10" customWidth="1"/>
    <col min="16" max="17" width="7.28515625" style="10" customWidth="1"/>
    <col min="18" max="18" width="9" style="10" customWidth="1"/>
    <col min="19" max="19" width="9.28515625" style="10" customWidth="1"/>
    <col min="20" max="20" width="8.28515625" style="10" customWidth="1"/>
    <col min="21" max="21" width="8.42578125" style="10" customWidth="1"/>
    <col min="22" max="22" width="8.5703125" style="10" customWidth="1"/>
    <col min="23" max="23" width="8.28515625" style="10" customWidth="1"/>
    <col min="24" max="24" width="8.85546875" style="10" customWidth="1"/>
    <col min="25" max="25" width="8.140625" style="10" customWidth="1"/>
    <col min="26" max="26" width="8.5703125" style="10" customWidth="1"/>
    <col min="27" max="27" width="9" style="10" customWidth="1"/>
    <col min="28" max="28" width="9.140625" style="10" customWidth="1"/>
    <col min="29" max="29" width="8.5703125" style="10" customWidth="1"/>
    <col min="30" max="30" width="9.42578125" style="10" customWidth="1"/>
    <col min="31" max="31" width="9" style="10" customWidth="1"/>
    <col min="32" max="32" width="8.28515625" style="10" customWidth="1"/>
    <col min="33" max="33" width="7.7109375" style="10" customWidth="1"/>
    <col min="34" max="34" width="8.5703125" style="10" customWidth="1"/>
    <col min="35" max="35" width="7.42578125" style="10" customWidth="1"/>
    <col min="36" max="36" width="8.5703125" style="10" customWidth="1"/>
    <col min="37" max="37" width="10" style="10" customWidth="1"/>
    <col min="38" max="38" width="13.28515625" style="10" customWidth="1"/>
    <col min="39" max="39" width="15.42578125" style="10" customWidth="1"/>
    <col min="40" max="40" width="12.7109375" style="10" customWidth="1"/>
    <col min="41" max="42" width="9.140625" style="10"/>
    <col min="43" max="43" width="12.140625" style="10" customWidth="1"/>
    <col min="44" max="16384" width="9.140625" style="10"/>
  </cols>
  <sheetData>
    <row r="1" spans="1:36" s="193" customFormat="1" ht="15" customHeight="1">
      <c r="A1" s="2189" t="s">
        <v>558</v>
      </c>
      <c r="B1" s="2189"/>
      <c r="C1" s="2189"/>
      <c r="D1" s="2189"/>
      <c r="E1" s="2189"/>
      <c r="F1" s="2189"/>
      <c r="G1" s="2189"/>
      <c r="H1" s="2189"/>
      <c r="I1" s="2190" t="s">
        <v>559</v>
      </c>
      <c r="J1" s="2190"/>
      <c r="K1" s="2190"/>
      <c r="L1" s="2190"/>
      <c r="M1" s="2190"/>
      <c r="N1" s="2190"/>
      <c r="O1" s="534"/>
      <c r="P1" s="2188" t="s">
        <v>1865</v>
      </c>
      <c r="Q1" s="2188"/>
      <c r="R1" s="2188"/>
      <c r="S1" s="2189" t="s">
        <v>1387</v>
      </c>
      <c r="T1" s="2189"/>
      <c r="U1" s="2189"/>
      <c r="V1" s="2189"/>
      <c r="W1" s="2189"/>
      <c r="X1" s="2189"/>
      <c r="Y1" s="2189"/>
      <c r="Z1" s="2189"/>
      <c r="AA1" s="2189"/>
      <c r="AB1" s="2190" t="s">
        <v>559</v>
      </c>
      <c r="AC1" s="2190"/>
      <c r="AD1" s="2190"/>
      <c r="AE1" s="2190"/>
      <c r="AF1" s="2190"/>
      <c r="AG1" s="534"/>
      <c r="AH1" s="2188" t="s">
        <v>1866</v>
      </c>
      <c r="AI1" s="2188"/>
      <c r="AJ1" s="2188"/>
    </row>
    <row r="2" spans="1:36" s="23" customFormat="1" ht="10.5" customHeight="1">
      <c r="A2" s="62"/>
      <c r="B2" s="62"/>
      <c r="C2" s="62"/>
      <c r="E2" s="181"/>
      <c r="H2" s="97"/>
      <c r="I2" s="107"/>
      <c r="J2" s="97"/>
      <c r="K2" s="97"/>
      <c r="L2" s="97"/>
      <c r="M2" s="97"/>
      <c r="N2" s="97"/>
      <c r="O2" s="62"/>
      <c r="P2" s="62"/>
      <c r="Q2" s="2165" t="s">
        <v>918</v>
      </c>
      <c r="R2" s="2165"/>
      <c r="W2" s="181"/>
      <c r="AI2" s="2165" t="s">
        <v>918</v>
      </c>
      <c r="AJ2" s="2165"/>
    </row>
    <row r="3" spans="1:36" s="123" customFormat="1" ht="39" customHeight="1">
      <c r="A3" s="27" t="s">
        <v>1525</v>
      </c>
      <c r="B3" s="27" t="s">
        <v>919</v>
      </c>
      <c r="C3" s="27" t="s">
        <v>643</v>
      </c>
      <c r="D3" s="27" t="s">
        <v>799</v>
      </c>
      <c r="E3" s="27" t="s">
        <v>800</v>
      </c>
      <c r="F3" s="27" t="s">
        <v>1369</v>
      </c>
      <c r="G3" s="27" t="s">
        <v>1370</v>
      </c>
      <c r="H3" s="27" t="s">
        <v>538</v>
      </c>
      <c r="I3" s="27" t="s">
        <v>1371</v>
      </c>
      <c r="J3" s="27" t="s">
        <v>802</v>
      </c>
      <c r="K3" s="27" t="s">
        <v>1372</v>
      </c>
      <c r="L3" s="27" t="s">
        <v>306</v>
      </c>
      <c r="M3" s="27" t="s">
        <v>1373</v>
      </c>
      <c r="N3" s="27" t="s">
        <v>1374</v>
      </c>
      <c r="O3" s="27" t="s">
        <v>1375</v>
      </c>
      <c r="P3" s="27" t="s">
        <v>1376</v>
      </c>
      <c r="Q3" s="27" t="s">
        <v>805</v>
      </c>
      <c r="R3" s="27" t="s">
        <v>806</v>
      </c>
      <c r="S3" s="27" t="s">
        <v>1522</v>
      </c>
      <c r="T3" s="1221" t="s">
        <v>807</v>
      </c>
      <c r="U3" s="27" t="s">
        <v>808</v>
      </c>
      <c r="V3" s="27" t="s">
        <v>1377</v>
      </c>
      <c r="W3" s="1221" t="s">
        <v>810</v>
      </c>
      <c r="X3" s="27" t="s">
        <v>1221</v>
      </c>
      <c r="Y3" s="27" t="s">
        <v>1378</v>
      </c>
      <c r="Z3" s="27" t="s">
        <v>1379</v>
      </c>
      <c r="AA3" s="27" t="s">
        <v>644</v>
      </c>
      <c r="AB3" s="27" t="s">
        <v>1380</v>
      </c>
      <c r="AC3" s="27" t="s">
        <v>1381</v>
      </c>
      <c r="AD3" s="126" t="s">
        <v>1382</v>
      </c>
      <c r="AE3" s="27" t="s">
        <v>1222</v>
      </c>
      <c r="AF3" s="27" t="s">
        <v>921</v>
      </c>
      <c r="AG3" s="1127" t="s">
        <v>816</v>
      </c>
      <c r="AH3" s="27" t="s">
        <v>1383</v>
      </c>
      <c r="AI3" s="1127" t="s">
        <v>2244</v>
      </c>
      <c r="AJ3" s="1127" t="s">
        <v>2243</v>
      </c>
    </row>
    <row r="4" spans="1:36" ht="13.5" customHeight="1">
      <c r="A4" s="459" t="s">
        <v>851</v>
      </c>
      <c r="B4" s="480">
        <v>16.3</v>
      </c>
      <c r="C4" s="480">
        <v>1.26</v>
      </c>
      <c r="D4" s="480">
        <v>-0.42</v>
      </c>
      <c r="E4" s="480">
        <v>5.37</v>
      </c>
      <c r="F4" s="480">
        <v>5.05</v>
      </c>
      <c r="G4" s="480">
        <v>8.02</v>
      </c>
      <c r="H4" s="480">
        <v>7.78</v>
      </c>
      <c r="I4" s="480">
        <v>-1.58</v>
      </c>
      <c r="J4" s="480">
        <v>14.15</v>
      </c>
      <c r="K4" s="480">
        <v>3.38</v>
      </c>
      <c r="L4" s="480">
        <v>-1.19</v>
      </c>
      <c r="M4" s="480">
        <v>-5.5</v>
      </c>
      <c r="N4" s="480">
        <v>0.02</v>
      </c>
      <c r="O4" s="480">
        <v>6.79</v>
      </c>
      <c r="P4" s="480">
        <v>-31.96</v>
      </c>
      <c r="Q4" s="480">
        <v>13.1</v>
      </c>
      <c r="R4" s="480">
        <v>29.3</v>
      </c>
      <c r="S4" s="459" t="s">
        <v>851</v>
      </c>
      <c r="T4" s="480">
        <v>6.58</v>
      </c>
      <c r="U4" s="480">
        <v>0.03</v>
      </c>
      <c r="V4" s="480">
        <v>-0.55000000000000004</v>
      </c>
      <c r="W4" s="480">
        <v>15.82</v>
      </c>
      <c r="X4" s="480">
        <v>0.01</v>
      </c>
      <c r="Y4" s="480">
        <v>5.31</v>
      </c>
      <c r="Z4" s="480">
        <v>-0.01</v>
      </c>
      <c r="AA4" s="480">
        <v>3.7</v>
      </c>
      <c r="AB4" s="480">
        <v>4.43</v>
      </c>
      <c r="AC4" s="480">
        <v>7.59</v>
      </c>
      <c r="AD4" s="480">
        <v>-6.47</v>
      </c>
      <c r="AE4" s="480">
        <v>1.91</v>
      </c>
      <c r="AF4" s="480">
        <v>-0.38</v>
      </c>
      <c r="AG4" s="480">
        <v>3.11</v>
      </c>
      <c r="AH4" s="480">
        <v>21.23</v>
      </c>
      <c r="AI4" s="480">
        <v>0.91</v>
      </c>
      <c r="AJ4" s="480">
        <v>10.4</v>
      </c>
    </row>
    <row r="5" spans="1:36" ht="13.5" customHeight="1">
      <c r="A5" s="12" t="s">
        <v>574</v>
      </c>
      <c r="B5" s="21">
        <v>13.2</v>
      </c>
      <c r="C5" s="21">
        <v>0.42</v>
      </c>
      <c r="D5" s="21">
        <v>0.41</v>
      </c>
      <c r="E5" s="21">
        <v>5.37</v>
      </c>
      <c r="F5" s="21">
        <v>11.03</v>
      </c>
      <c r="G5" s="21">
        <v>16.41</v>
      </c>
      <c r="H5" s="21">
        <v>16.670000000000002</v>
      </c>
      <c r="I5" s="21">
        <v>1.1499999999999999</v>
      </c>
      <c r="J5" s="21">
        <v>-5.29</v>
      </c>
      <c r="K5" s="21">
        <v>-2.06</v>
      </c>
      <c r="L5" s="21">
        <v>0.89</v>
      </c>
      <c r="M5" s="21">
        <v>16.16</v>
      </c>
      <c r="N5" s="21">
        <v>8.73</v>
      </c>
      <c r="O5" s="21">
        <v>5.69</v>
      </c>
      <c r="P5" s="21">
        <v>0</v>
      </c>
      <c r="Q5" s="21">
        <v>-4.0199999999999996</v>
      </c>
      <c r="R5" s="21">
        <v>-1.44</v>
      </c>
      <c r="S5" s="12" t="s">
        <v>574</v>
      </c>
      <c r="T5" s="21">
        <v>16.48</v>
      </c>
      <c r="U5" s="21">
        <v>-0.01</v>
      </c>
      <c r="V5" s="21">
        <v>-11.54</v>
      </c>
      <c r="W5" s="21">
        <v>3.53</v>
      </c>
      <c r="X5" s="243">
        <v>0.06</v>
      </c>
      <c r="Y5" s="243">
        <v>9.7899999999999991</v>
      </c>
      <c r="Z5" s="243">
        <v>0.01</v>
      </c>
      <c r="AA5" s="243">
        <v>-11.04</v>
      </c>
      <c r="AB5" s="243">
        <v>12.34</v>
      </c>
      <c r="AC5" s="243">
        <v>14.38</v>
      </c>
      <c r="AD5" s="243">
        <v>3.29</v>
      </c>
      <c r="AE5" s="243">
        <v>20.059999999999999</v>
      </c>
      <c r="AF5" s="243">
        <v>2.76</v>
      </c>
      <c r="AG5" s="243">
        <v>7.55</v>
      </c>
      <c r="AH5" s="243">
        <v>-5.43</v>
      </c>
      <c r="AI5" s="243">
        <v>-0.9</v>
      </c>
      <c r="AJ5" s="243">
        <v>-0.67</v>
      </c>
    </row>
    <row r="6" spans="1:36" ht="13.5" customHeight="1">
      <c r="A6" s="451" t="s">
        <v>114</v>
      </c>
      <c r="B6" s="445">
        <v>-15.831</v>
      </c>
      <c r="C6" s="445">
        <v>-0.78800000000000003</v>
      </c>
      <c r="D6" s="445">
        <v>-2.5999999999999999E-2</v>
      </c>
      <c r="E6" s="445">
        <v>-12.601000000000001</v>
      </c>
      <c r="F6" s="445">
        <v>0.39800000000000002</v>
      </c>
      <c r="G6" s="445">
        <v>-10.66</v>
      </c>
      <c r="H6" s="445">
        <v>-10.802</v>
      </c>
      <c r="I6" s="445">
        <v>0.68500000000000005</v>
      </c>
      <c r="J6" s="445">
        <v>-10.9</v>
      </c>
      <c r="K6" s="445">
        <v>-9.6910000000000007</v>
      </c>
      <c r="L6" s="445">
        <v>-7.6079999999999997</v>
      </c>
      <c r="M6" s="445">
        <v>10.449</v>
      </c>
      <c r="N6" s="445">
        <v>-8.2469999999999999</v>
      </c>
      <c r="O6" s="445">
        <v>-7.2830000000000004</v>
      </c>
      <c r="P6" s="445">
        <v>0</v>
      </c>
      <c r="Q6" s="445">
        <v>-12.002000000000001</v>
      </c>
      <c r="R6" s="445">
        <v>-14.455</v>
      </c>
      <c r="S6" s="451" t="s">
        <v>114</v>
      </c>
      <c r="T6" s="445">
        <v>-22.157</v>
      </c>
      <c r="U6" s="445">
        <v>0</v>
      </c>
      <c r="V6" s="445">
        <v>-15.763</v>
      </c>
      <c r="W6" s="445">
        <v>-7.3670999999999998</v>
      </c>
      <c r="X6" s="445">
        <v>-4.1000000000000002E-2</v>
      </c>
      <c r="Y6" s="473">
        <v>-24.79</v>
      </c>
      <c r="Z6" s="473">
        <v>0</v>
      </c>
      <c r="AA6" s="473">
        <v>-19.683</v>
      </c>
      <c r="AB6" s="473">
        <v>-6.07</v>
      </c>
      <c r="AC6" s="473">
        <v>-21.937999999999999</v>
      </c>
      <c r="AD6" s="473">
        <v>-6.3259999999999996</v>
      </c>
      <c r="AE6" s="473">
        <v>-5.9569999999999999</v>
      </c>
      <c r="AF6" s="473">
        <v>10.749000000000001</v>
      </c>
      <c r="AG6" s="473">
        <v>-4.883</v>
      </c>
      <c r="AH6" s="473">
        <v>-1.542</v>
      </c>
      <c r="AI6" s="473">
        <v>-4.0840219448168291E-3</v>
      </c>
      <c r="AJ6" s="473">
        <v>-16.933</v>
      </c>
    </row>
    <row r="7" spans="1:36" ht="13.5" customHeight="1">
      <c r="A7" s="11" t="s">
        <v>110</v>
      </c>
      <c r="B7" s="21">
        <v>5.01</v>
      </c>
      <c r="C7" s="21">
        <v>-0.55000000000000004</v>
      </c>
      <c r="D7" s="21">
        <v>-0.01</v>
      </c>
      <c r="E7" s="21">
        <v>9.3800000000000008</v>
      </c>
      <c r="F7" s="21">
        <v>0.6</v>
      </c>
      <c r="G7" s="21">
        <v>-13.47</v>
      </c>
      <c r="H7" s="21">
        <v>-13.43</v>
      </c>
      <c r="I7" s="21">
        <v>-0.44</v>
      </c>
      <c r="J7" s="21">
        <v>3.45</v>
      </c>
      <c r="K7" s="21">
        <v>12.64</v>
      </c>
      <c r="L7" s="21">
        <v>-0.55000000000000004</v>
      </c>
      <c r="M7" s="21">
        <v>8.43</v>
      </c>
      <c r="N7" s="21">
        <v>-0.31</v>
      </c>
      <c r="O7" s="21">
        <v>8.1999999999999993</v>
      </c>
      <c r="P7" s="21">
        <v>0</v>
      </c>
      <c r="Q7" s="21">
        <v>4.55</v>
      </c>
      <c r="R7" s="21">
        <v>6.39</v>
      </c>
      <c r="S7" s="11" t="s">
        <v>110</v>
      </c>
      <c r="T7" s="21">
        <v>-0.04</v>
      </c>
      <c r="U7" s="21">
        <v>0.01</v>
      </c>
      <c r="V7" s="21">
        <v>-4.92</v>
      </c>
      <c r="W7" s="21">
        <v>4.01</v>
      </c>
      <c r="X7" s="21">
        <v>-0.01</v>
      </c>
      <c r="Y7" s="243">
        <v>-0.52</v>
      </c>
      <c r="Z7" s="243">
        <v>-0.01</v>
      </c>
      <c r="AA7" s="243">
        <v>5.81</v>
      </c>
      <c r="AB7" s="243">
        <v>3.45</v>
      </c>
      <c r="AC7" s="243">
        <v>-1.58</v>
      </c>
      <c r="AD7" s="243">
        <v>1.3</v>
      </c>
      <c r="AE7" s="243">
        <v>0.06</v>
      </c>
      <c r="AF7" s="243">
        <v>1.92</v>
      </c>
      <c r="AG7" s="243">
        <v>-4.8499999999999996</v>
      </c>
      <c r="AH7" s="243">
        <v>5.0599999999999996</v>
      </c>
      <c r="AI7" s="243">
        <v>0</v>
      </c>
      <c r="AJ7" s="243">
        <v>-9.07</v>
      </c>
    </row>
    <row r="8" spans="1:36" ht="13.5" customHeight="1">
      <c r="A8" s="451" t="s">
        <v>253</v>
      </c>
      <c r="B8" s="445">
        <v>25.89</v>
      </c>
      <c r="C8" s="445">
        <v>-6.34</v>
      </c>
      <c r="D8" s="445">
        <v>-0.01</v>
      </c>
      <c r="E8" s="445">
        <v>8.98</v>
      </c>
      <c r="F8" s="445">
        <v>4.93</v>
      </c>
      <c r="G8" s="445">
        <v>18.23</v>
      </c>
      <c r="H8" s="445">
        <v>18.39</v>
      </c>
      <c r="I8" s="445">
        <v>0.01</v>
      </c>
      <c r="J8" s="445">
        <v>3.74</v>
      </c>
      <c r="K8" s="445">
        <v>5.5</v>
      </c>
      <c r="L8" s="445">
        <v>-6.22</v>
      </c>
      <c r="M8" s="445">
        <v>9.65</v>
      </c>
      <c r="N8" s="445">
        <v>5.92</v>
      </c>
      <c r="O8" s="445">
        <v>7.84</v>
      </c>
      <c r="P8" s="445">
        <v>0</v>
      </c>
      <c r="Q8" s="445">
        <v>3.05</v>
      </c>
      <c r="R8" s="445">
        <v>19.25</v>
      </c>
      <c r="S8" s="451" t="s">
        <v>253</v>
      </c>
      <c r="T8" s="445">
        <v>20.96</v>
      </c>
      <c r="U8" s="445">
        <v>0</v>
      </c>
      <c r="V8" s="445">
        <v>-0.84</v>
      </c>
      <c r="W8" s="445">
        <v>6.77</v>
      </c>
      <c r="X8" s="445">
        <v>-0.05</v>
      </c>
      <c r="Y8" s="473">
        <v>11.69</v>
      </c>
      <c r="Z8" s="473">
        <v>0.01</v>
      </c>
      <c r="AA8" s="473">
        <v>12.92</v>
      </c>
      <c r="AB8" s="473">
        <v>13.77</v>
      </c>
      <c r="AC8" s="473">
        <v>23.15</v>
      </c>
      <c r="AD8" s="473">
        <v>3.56</v>
      </c>
      <c r="AE8" s="473">
        <v>29.66</v>
      </c>
      <c r="AF8" s="473">
        <v>-1.1399999999999999</v>
      </c>
      <c r="AG8" s="473">
        <v>8.27</v>
      </c>
      <c r="AH8" s="473">
        <v>5.23</v>
      </c>
      <c r="AI8" s="473">
        <v>0</v>
      </c>
      <c r="AJ8" s="473">
        <v>6.65</v>
      </c>
    </row>
    <row r="9" spans="1:36" s="254" customFormat="1" ht="13.5" customHeight="1">
      <c r="A9" s="252" t="s">
        <v>1169</v>
      </c>
      <c r="B9" s="40">
        <v>-4.16</v>
      </c>
      <c r="C9" s="40">
        <v>-9.3800000000000008</v>
      </c>
      <c r="D9" s="40">
        <v>0.01</v>
      </c>
      <c r="E9" s="40">
        <v>-4.59</v>
      </c>
      <c r="F9" s="40">
        <v>2.3199999999999998</v>
      </c>
      <c r="G9" s="40">
        <v>-12.1</v>
      </c>
      <c r="H9" s="40">
        <v>-12.4</v>
      </c>
      <c r="I9" s="40">
        <v>0.38</v>
      </c>
      <c r="J9" s="40">
        <v>-19.38</v>
      </c>
      <c r="K9" s="40">
        <v>8.4700000000000006</v>
      </c>
      <c r="L9" s="40">
        <v>-13.15</v>
      </c>
      <c r="M9" s="40">
        <v>1.1100000000000001</v>
      </c>
      <c r="N9" s="40">
        <v>-1.96</v>
      </c>
      <c r="O9" s="40">
        <v>-4.7699999999999996</v>
      </c>
      <c r="P9" s="40">
        <v>0</v>
      </c>
      <c r="Q9" s="40">
        <v>-20.63</v>
      </c>
      <c r="R9" s="40">
        <v>-2.97</v>
      </c>
      <c r="S9" s="252" t="s">
        <v>1169</v>
      </c>
      <c r="T9" s="40">
        <v>-9.77</v>
      </c>
      <c r="U9" s="40">
        <v>0</v>
      </c>
      <c r="V9" s="40">
        <v>-8.94</v>
      </c>
      <c r="W9" s="40">
        <v>3.29</v>
      </c>
      <c r="X9" s="40">
        <v>0.02</v>
      </c>
      <c r="Y9" s="761">
        <v>-14.8</v>
      </c>
      <c r="Z9" s="761">
        <v>-0.01</v>
      </c>
      <c r="AA9" s="761">
        <v>-6.01</v>
      </c>
      <c r="AB9" s="761">
        <v>-2.57</v>
      </c>
      <c r="AC9" s="761">
        <v>-8.85</v>
      </c>
      <c r="AD9" s="761">
        <v>-17.760000000000002</v>
      </c>
      <c r="AE9" s="761">
        <v>-12.17</v>
      </c>
      <c r="AF9" s="761">
        <v>-25.91</v>
      </c>
      <c r="AG9" s="761">
        <v>-4.99</v>
      </c>
      <c r="AH9" s="761">
        <v>-2.56</v>
      </c>
      <c r="AI9" s="761">
        <v>0</v>
      </c>
      <c r="AJ9" s="761">
        <v>-2.48</v>
      </c>
    </row>
    <row r="10" spans="1:36" s="254" customFormat="1" ht="13.5" customHeight="1">
      <c r="A10" s="451" t="s">
        <v>1361</v>
      </c>
      <c r="B10" s="445">
        <v>-10.71</v>
      </c>
      <c r="C10" s="445">
        <v>5.21</v>
      </c>
      <c r="D10" s="445">
        <v>0</v>
      </c>
      <c r="E10" s="445">
        <v>-3.35</v>
      </c>
      <c r="F10" s="445">
        <v>2.37</v>
      </c>
      <c r="G10" s="445">
        <v>2.58</v>
      </c>
      <c r="H10" s="445">
        <v>2.92</v>
      </c>
      <c r="I10" s="445">
        <v>0.02</v>
      </c>
      <c r="J10" s="445">
        <v>-6.75</v>
      </c>
      <c r="K10" s="445">
        <v>-5.37</v>
      </c>
      <c r="L10" s="445">
        <v>0.04</v>
      </c>
      <c r="M10" s="445">
        <v>-19.53</v>
      </c>
      <c r="N10" s="445">
        <v>-1.86</v>
      </c>
      <c r="O10" s="445">
        <v>0.35</v>
      </c>
      <c r="P10" s="445">
        <v>0</v>
      </c>
      <c r="Q10" s="445">
        <v>-4.8600000000000003</v>
      </c>
      <c r="R10" s="445">
        <v>-3.26</v>
      </c>
      <c r="S10" s="451" t="s">
        <v>1361</v>
      </c>
      <c r="T10" s="445">
        <v>-1.79</v>
      </c>
      <c r="U10" s="445">
        <v>0</v>
      </c>
      <c r="V10" s="445">
        <v>-4.99</v>
      </c>
      <c r="W10" s="445">
        <v>-2.56</v>
      </c>
      <c r="X10" s="445">
        <v>0.01</v>
      </c>
      <c r="Y10" s="473">
        <v>-0.22</v>
      </c>
      <c r="Z10" s="473">
        <v>0.01</v>
      </c>
      <c r="AA10" s="473">
        <v>0.3</v>
      </c>
      <c r="AB10" s="473">
        <v>-0.15</v>
      </c>
      <c r="AC10" s="473">
        <v>3.24</v>
      </c>
      <c r="AD10" s="473">
        <v>2.04</v>
      </c>
      <c r="AE10" s="473">
        <v>0.57999999999999996</v>
      </c>
      <c r="AF10" s="473">
        <v>-36.24</v>
      </c>
      <c r="AG10" s="473">
        <v>-0.89</v>
      </c>
      <c r="AH10" s="473">
        <v>1.76</v>
      </c>
      <c r="AI10" s="473">
        <v>0</v>
      </c>
      <c r="AJ10" s="473">
        <v>-2.96</v>
      </c>
    </row>
    <row r="11" spans="1:36" s="393" customFormat="1" ht="13.5" customHeight="1">
      <c r="A11" s="1187" t="s">
        <v>1693</v>
      </c>
      <c r="B11" s="349">
        <v>3.09</v>
      </c>
      <c r="C11" s="349">
        <v>0.17</v>
      </c>
      <c r="D11" s="349">
        <v>0</v>
      </c>
      <c r="E11" s="349">
        <v>-1.3</v>
      </c>
      <c r="F11" s="349">
        <v>0.42</v>
      </c>
      <c r="G11" s="349">
        <v>4.9400000000000004</v>
      </c>
      <c r="H11" s="349">
        <v>4.9000000000000004</v>
      </c>
      <c r="I11" s="349">
        <v>0.06</v>
      </c>
      <c r="J11" s="349">
        <v>-0.86</v>
      </c>
      <c r="K11" s="349">
        <v>-17.149999999999999</v>
      </c>
      <c r="L11" s="349">
        <v>-52.09</v>
      </c>
      <c r="M11" s="349">
        <v>-2.16</v>
      </c>
      <c r="N11" s="349">
        <v>1.22</v>
      </c>
      <c r="O11" s="349">
        <v>-1.54</v>
      </c>
      <c r="P11" s="349">
        <v>0</v>
      </c>
      <c r="Q11" s="349">
        <v>-0.71</v>
      </c>
      <c r="R11" s="349">
        <v>13.34</v>
      </c>
      <c r="S11" s="1187" t="s">
        <v>1693</v>
      </c>
      <c r="T11" s="349">
        <v>-0.86</v>
      </c>
      <c r="U11" s="349">
        <v>0</v>
      </c>
      <c r="V11" s="349">
        <v>0.86</v>
      </c>
      <c r="W11" s="349">
        <v>-1.28</v>
      </c>
      <c r="X11" s="349">
        <v>-0.02</v>
      </c>
      <c r="Y11" s="349">
        <v>-2.2799999999999998</v>
      </c>
      <c r="Z11" s="349">
        <v>-0.01</v>
      </c>
      <c r="AA11" s="349">
        <v>12.42</v>
      </c>
      <c r="AB11" s="349">
        <v>1.42</v>
      </c>
      <c r="AC11" s="349">
        <v>-0.51</v>
      </c>
      <c r="AD11" s="349">
        <v>0.16</v>
      </c>
      <c r="AE11" s="349">
        <v>6.06</v>
      </c>
      <c r="AF11" s="349">
        <v>-32.82</v>
      </c>
      <c r="AG11" s="349">
        <v>2.67</v>
      </c>
      <c r="AH11" s="349">
        <v>-4.33</v>
      </c>
      <c r="AI11" s="349">
        <v>0.01</v>
      </c>
      <c r="AJ11" s="349">
        <v>12.04</v>
      </c>
    </row>
    <row r="12" spans="1:36" s="393" customFormat="1" ht="13.5" customHeight="1">
      <c r="A12" s="1471" t="s">
        <v>1795</v>
      </c>
      <c r="B12" s="580">
        <v>-18.440000000000001</v>
      </c>
      <c r="C12" s="580">
        <v>-0.22</v>
      </c>
      <c r="D12" s="580">
        <v>-0.01</v>
      </c>
      <c r="E12" s="580">
        <v>-13.97</v>
      </c>
      <c r="F12" s="580">
        <v>0.64</v>
      </c>
      <c r="G12" s="580">
        <v>-17.73</v>
      </c>
      <c r="H12" s="580">
        <v>-17.670000000000002</v>
      </c>
      <c r="I12" s="580">
        <v>-0.01</v>
      </c>
      <c r="J12" s="580">
        <v>-5.75</v>
      </c>
      <c r="K12" s="580">
        <v>-10.130000000000001</v>
      </c>
      <c r="L12" s="580">
        <v>-12.59</v>
      </c>
      <c r="M12" s="580">
        <v>-17.21</v>
      </c>
      <c r="N12" s="580">
        <v>-6.77</v>
      </c>
      <c r="O12" s="580">
        <v>-15.23</v>
      </c>
      <c r="P12" s="580">
        <v>-99.43</v>
      </c>
      <c r="Q12" s="580">
        <v>-5.44</v>
      </c>
      <c r="R12" s="580">
        <v>-21.92</v>
      </c>
      <c r="S12" s="1471" t="s">
        <v>1795</v>
      </c>
      <c r="T12" s="580">
        <v>-22.06</v>
      </c>
      <c r="U12" s="580">
        <v>0.01</v>
      </c>
      <c r="V12" s="580">
        <v>-3.09</v>
      </c>
      <c r="W12" s="580">
        <v>-3.09</v>
      </c>
      <c r="X12" s="580">
        <v>-0.01</v>
      </c>
      <c r="Y12" s="580">
        <v>-39.450000000000003</v>
      </c>
      <c r="Z12" s="580">
        <v>-0.01</v>
      </c>
      <c r="AA12" s="580">
        <v>-9.57</v>
      </c>
      <c r="AB12" s="580">
        <v>-7.17</v>
      </c>
      <c r="AC12" s="580">
        <v>-18.239999999999998</v>
      </c>
      <c r="AD12" s="580">
        <v>-2.5499999999999998</v>
      </c>
      <c r="AE12" s="580">
        <v>-3.8</v>
      </c>
      <c r="AF12" s="580">
        <v>-31.24</v>
      </c>
      <c r="AG12" s="580">
        <v>-9.1199999999999992</v>
      </c>
      <c r="AH12" s="580">
        <v>-3.91</v>
      </c>
      <c r="AI12" s="580">
        <v>0</v>
      </c>
      <c r="AJ12" s="580">
        <v>-7.63</v>
      </c>
    </row>
    <row r="13" spans="1:36" s="393" customFormat="1" ht="13.5" customHeight="1">
      <c r="A13" s="950" t="s">
        <v>1996</v>
      </c>
      <c r="B13" s="1045">
        <v>-3.89</v>
      </c>
      <c r="C13" s="1045">
        <v>-0.76</v>
      </c>
      <c r="D13" s="1045">
        <v>-0.08</v>
      </c>
      <c r="E13" s="1045">
        <v>-4.84</v>
      </c>
      <c r="F13" s="1045">
        <v>-7.82</v>
      </c>
      <c r="G13" s="1045">
        <v>-1.31</v>
      </c>
      <c r="H13" s="1045">
        <v>-1.52</v>
      </c>
      <c r="I13" s="1045">
        <v>-0.08</v>
      </c>
      <c r="J13" s="1045">
        <v>-5.91</v>
      </c>
      <c r="K13" s="1045">
        <v>1.28</v>
      </c>
      <c r="L13" s="1045">
        <v>-2.61</v>
      </c>
      <c r="M13" s="1045">
        <v>19.25</v>
      </c>
      <c r="N13" s="1045">
        <v>0.05</v>
      </c>
      <c r="O13" s="1045">
        <v>-6.68</v>
      </c>
      <c r="P13" s="1045">
        <v>-5.53</v>
      </c>
      <c r="Q13" s="1045">
        <v>-6.41</v>
      </c>
      <c r="R13" s="1045">
        <v>2.8</v>
      </c>
      <c r="S13" s="950" t="s">
        <v>1996</v>
      </c>
      <c r="T13" s="1045">
        <v>-7.3</v>
      </c>
      <c r="U13" s="1045">
        <v>-0.01</v>
      </c>
      <c r="V13" s="1045">
        <v>-2.68</v>
      </c>
      <c r="W13" s="1045">
        <v>-3.89</v>
      </c>
      <c r="X13" s="1045">
        <v>0</v>
      </c>
      <c r="Y13" s="1045">
        <v>-13.36</v>
      </c>
      <c r="Z13" s="1045">
        <v>0.01</v>
      </c>
      <c r="AA13" s="1045">
        <v>-3.69</v>
      </c>
      <c r="AB13" s="1045">
        <v>-0.55000000000000004</v>
      </c>
      <c r="AC13" s="1045">
        <v>-3.04</v>
      </c>
      <c r="AD13" s="1045">
        <v>-9.5299999999999994</v>
      </c>
      <c r="AE13" s="1045">
        <v>-5.73</v>
      </c>
      <c r="AF13" s="1045">
        <v>0.35</v>
      </c>
      <c r="AG13" s="1045">
        <v>-0.56999999999999995</v>
      </c>
      <c r="AH13" s="1045">
        <v>-4.17</v>
      </c>
      <c r="AI13" s="1045">
        <v>0</v>
      </c>
      <c r="AJ13" s="1045">
        <v>-15.21</v>
      </c>
    </row>
    <row r="14" spans="1:36" s="393" customFormat="1" ht="13.5" customHeight="1">
      <c r="A14" s="1042" t="s">
        <v>2092</v>
      </c>
      <c r="B14" s="929">
        <v>4.01</v>
      </c>
      <c r="C14" s="929">
        <v>-2.72</v>
      </c>
      <c r="D14" s="929">
        <v>0.03</v>
      </c>
      <c r="E14" s="929">
        <v>0.15</v>
      </c>
      <c r="F14" s="929">
        <v>-2.1</v>
      </c>
      <c r="G14" s="929">
        <v>3.51</v>
      </c>
      <c r="H14" s="929">
        <v>3.38</v>
      </c>
      <c r="I14" s="929">
        <v>-0.6</v>
      </c>
      <c r="J14" s="929">
        <v>4.72</v>
      </c>
      <c r="K14" s="929">
        <v>-1.24</v>
      </c>
      <c r="L14" s="929">
        <v>-7.34</v>
      </c>
      <c r="M14" s="929">
        <v>-8.4</v>
      </c>
      <c r="N14" s="929">
        <v>-0.4</v>
      </c>
      <c r="O14" s="929">
        <v>-5.53</v>
      </c>
      <c r="P14" s="929">
        <v>-13.2</v>
      </c>
      <c r="Q14" s="929">
        <v>5.32</v>
      </c>
      <c r="R14" s="929">
        <v>3.58</v>
      </c>
      <c r="S14" s="1042" t="s">
        <v>2092</v>
      </c>
      <c r="T14" s="929">
        <v>1.07</v>
      </c>
      <c r="U14" s="929">
        <v>-0.05</v>
      </c>
      <c r="V14" s="929">
        <v>-0.2</v>
      </c>
      <c r="W14" s="929">
        <v>-6.8</v>
      </c>
      <c r="X14" s="929">
        <v>-2.5099999999999998</v>
      </c>
      <c r="Y14" s="929">
        <v>8.65</v>
      </c>
      <c r="Z14" s="929">
        <v>0.01</v>
      </c>
      <c r="AA14" s="929">
        <v>1.68</v>
      </c>
      <c r="AB14" s="929">
        <v>-1.86</v>
      </c>
      <c r="AC14" s="929">
        <v>0.46</v>
      </c>
      <c r="AD14" s="929">
        <v>-3.74</v>
      </c>
      <c r="AE14" s="929">
        <v>2.76</v>
      </c>
      <c r="AF14" s="929">
        <v>-57.91</v>
      </c>
      <c r="AG14" s="929">
        <v>-0.33</v>
      </c>
      <c r="AH14" s="929">
        <v>3.75</v>
      </c>
      <c r="AI14" s="929">
        <v>-0.01</v>
      </c>
      <c r="AJ14" s="929">
        <v>-2.52</v>
      </c>
    </row>
    <row r="15" spans="1:36" s="393" customFormat="1" ht="13.5" customHeight="1">
      <c r="A15" s="1057" t="s">
        <v>843</v>
      </c>
      <c r="B15" s="563">
        <v>2.83</v>
      </c>
      <c r="C15" s="563">
        <v>0</v>
      </c>
      <c r="D15" s="563">
        <v>0.04</v>
      </c>
      <c r="E15" s="563">
        <v>-0.05</v>
      </c>
      <c r="F15" s="563">
        <v>-0.28000000000000003</v>
      </c>
      <c r="G15" s="563">
        <v>1.06</v>
      </c>
      <c r="H15" s="563">
        <v>0.97</v>
      </c>
      <c r="I15" s="563">
        <v>0.01</v>
      </c>
      <c r="J15" s="563">
        <v>1.59</v>
      </c>
      <c r="K15" s="563">
        <v>0.49</v>
      </c>
      <c r="L15" s="563">
        <v>0.13</v>
      </c>
      <c r="M15" s="563">
        <v>0.68</v>
      </c>
      <c r="N15" s="563">
        <v>-0.1</v>
      </c>
      <c r="O15" s="563">
        <v>-0.34</v>
      </c>
      <c r="P15" s="563">
        <v>-0.08</v>
      </c>
      <c r="Q15" s="563">
        <v>1.36</v>
      </c>
      <c r="R15" s="563">
        <v>2.27</v>
      </c>
      <c r="S15" s="1057" t="s">
        <v>843</v>
      </c>
      <c r="T15" s="563">
        <v>0.32</v>
      </c>
      <c r="U15" s="563">
        <v>-0.04</v>
      </c>
      <c r="V15" s="563">
        <v>-0.16</v>
      </c>
      <c r="W15" s="563">
        <v>-0.13</v>
      </c>
      <c r="X15" s="563">
        <v>0</v>
      </c>
      <c r="Y15" s="563">
        <v>-2.52</v>
      </c>
      <c r="Z15" s="563">
        <v>0</v>
      </c>
      <c r="AA15" s="563">
        <v>4.5</v>
      </c>
      <c r="AB15" s="563">
        <v>1.03</v>
      </c>
      <c r="AC15" s="563">
        <v>-0.62</v>
      </c>
      <c r="AD15" s="563">
        <v>1.6</v>
      </c>
      <c r="AE15" s="563">
        <v>1.33</v>
      </c>
      <c r="AF15" s="563">
        <v>0.57999999999999996</v>
      </c>
      <c r="AG15" s="563">
        <v>-0.14000000000000001</v>
      </c>
      <c r="AH15" s="563">
        <v>1.38</v>
      </c>
      <c r="AI15" s="563">
        <v>-0.01</v>
      </c>
      <c r="AJ15" s="563">
        <v>-0.83</v>
      </c>
    </row>
    <row r="16" spans="1:36" s="393" customFormat="1" ht="13.5" customHeight="1">
      <c r="A16" s="1056" t="s">
        <v>844</v>
      </c>
      <c r="B16" s="580">
        <v>-1.1499999999999999</v>
      </c>
      <c r="C16" s="580">
        <v>0</v>
      </c>
      <c r="D16" s="580">
        <v>0.04</v>
      </c>
      <c r="E16" s="580">
        <v>-0.53</v>
      </c>
      <c r="F16" s="580">
        <v>-0.59</v>
      </c>
      <c r="G16" s="580">
        <v>-0.36</v>
      </c>
      <c r="H16" s="580">
        <v>-0.27</v>
      </c>
      <c r="I16" s="580">
        <v>0</v>
      </c>
      <c r="J16" s="580">
        <v>-0.73</v>
      </c>
      <c r="K16" s="580">
        <v>-1.39</v>
      </c>
      <c r="L16" s="580">
        <v>-0.1</v>
      </c>
      <c r="M16" s="580">
        <v>-0.87</v>
      </c>
      <c r="N16" s="580">
        <v>0.17</v>
      </c>
      <c r="O16" s="580">
        <v>0.49</v>
      </c>
      <c r="P16" s="580">
        <v>-2.0299999999999998</v>
      </c>
      <c r="Q16" s="580">
        <v>-0.02</v>
      </c>
      <c r="R16" s="580">
        <v>0.16</v>
      </c>
      <c r="S16" s="1056" t="s">
        <v>844</v>
      </c>
      <c r="T16" s="580">
        <v>1.26</v>
      </c>
      <c r="U16" s="580">
        <v>0.04</v>
      </c>
      <c r="V16" s="580">
        <v>0.02</v>
      </c>
      <c r="W16" s="580">
        <v>1.01</v>
      </c>
      <c r="X16" s="580">
        <v>0.01</v>
      </c>
      <c r="Y16" s="580">
        <v>1.07</v>
      </c>
      <c r="Z16" s="580">
        <v>0</v>
      </c>
      <c r="AA16" s="580">
        <v>-0.5</v>
      </c>
      <c r="AB16" s="580">
        <v>-1.83</v>
      </c>
      <c r="AC16" s="580">
        <v>0.35</v>
      </c>
      <c r="AD16" s="580">
        <v>0</v>
      </c>
      <c r="AE16" s="580">
        <v>-1.48</v>
      </c>
      <c r="AF16" s="580">
        <v>0.44</v>
      </c>
      <c r="AG16" s="580">
        <v>0.18</v>
      </c>
      <c r="AH16" s="580">
        <v>0.43</v>
      </c>
      <c r="AI16" s="580">
        <v>-0.01</v>
      </c>
      <c r="AJ16" s="580">
        <v>-1.1200000000000001</v>
      </c>
    </row>
    <row r="17" spans="1:36" s="393" customFormat="1" ht="13.5" customHeight="1">
      <c r="A17" s="1057" t="s">
        <v>838</v>
      </c>
      <c r="B17" s="563">
        <v>1.68</v>
      </c>
      <c r="C17" s="563">
        <v>0</v>
      </c>
      <c r="D17" s="563">
        <v>0.01</v>
      </c>
      <c r="E17" s="563">
        <v>-0.33</v>
      </c>
      <c r="F17" s="563">
        <v>0.19</v>
      </c>
      <c r="G17" s="563">
        <v>0.62</v>
      </c>
      <c r="H17" s="563">
        <v>0.72</v>
      </c>
      <c r="I17" s="563">
        <v>0.02</v>
      </c>
      <c r="J17" s="563">
        <v>0.5</v>
      </c>
      <c r="K17" s="563">
        <v>2.1800000000000002</v>
      </c>
      <c r="L17" s="563">
        <v>0.12</v>
      </c>
      <c r="M17" s="563">
        <v>1.92</v>
      </c>
      <c r="N17" s="563">
        <v>0.18</v>
      </c>
      <c r="O17" s="563">
        <v>-2.2400000000000002</v>
      </c>
      <c r="P17" s="563">
        <v>-4.2</v>
      </c>
      <c r="Q17" s="563">
        <v>0.56000000000000005</v>
      </c>
      <c r="R17" s="563">
        <v>0.47</v>
      </c>
      <c r="S17" s="1057" t="s">
        <v>838</v>
      </c>
      <c r="T17" s="563">
        <v>3.67</v>
      </c>
      <c r="U17" s="563">
        <v>0</v>
      </c>
      <c r="V17" s="563">
        <v>0.13</v>
      </c>
      <c r="W17" s="563">
        <v>-3.83</v>
      </c>
      <c r="X17" s="563">
        <v>-0.01</v>
      </c>
      <c r="Y17" s="563">
        <v>3.35</v>
      </c>
      <c r="Z17" s="563">
        <v>-0.13</v>
      </c>
      <c r="AA17" s="563">
        <v>1.65</v>
      </c>
      <c r="AB17" s="563">
        <v>0.03</v>
      </c>
      <c r="AC17" s="563">
        <v>-0.6</v>
      </c>
      <c r="AD17" s="563">
        <v>-0.92</v>
      </c>
      <c r="AE17" s="563">
        <v>1.84</v>
      </c>
      <c r="AF17" s="563">
        <v>0.51</v>
      </c>
      <c r="AG17" s="563">
        <v>0.17</v>
      </c>
      <c r="AH17" s="563">
        <v>-0.23</v>
      </c>
      <c r="AI17" s="563">
        <v>0</v>
      </c>
      <c r="AJ17" s="563">
        <v>-0.87</v>
      </c>
    </row>
    <row r="18" spans="1:36" s="393" customFormat="1" ht="13.5" customHeight="1">
      <c r="A18" s="1056" t="s">
        <v>845</v>
      </c>
      <c r="B18" s="580">
        <v>-0.47</v>
      </c>
      <c r="C18" s="580">
        <v>-0.02</v>
      </c>
      <c r="D18" s="580">
        <v>-0.01</v>
      </c>
      <c r="E18" s="580">
        <v>-1.91</v>
      </c>
      <c r="F18" s="580">
        <v>-1.28</v>
      </c>
      <c r="G18" s="580">
        <v>-1.96</v>
      </c>
      <c r="H18" s="580">
        <v>-2.1</v>
      </c>
      <c r="I18" s="580">
        <v>0.01</v>
      </c>
      <c r="J18" s="580">
        <v>0.05</v>
      </c>
      <c r="K18" s="580">
        <v>-0.36</v>
      </c>
      <c r="L18" s="580">
        <v>-5.32</v>
      </c>
      <c r="M18" s="580">
        <v>-3.51</v>
      </c>
      <c r="N18" s="580">
        <v>-0.63</v>
      </c>
      <c r="O18" s="580">
        <v>-1.42</v>
      </c>
      <c r="P18" s="580">
        <v>-2.09</v>
      </c>
      <c r="Q18" s="580">
        <v>-0.27</v>
      </c>
      <c r="R18" s="580">
        <v>-1.25</v>
      </c>
      <c r="S18" s="1056" t="s">
        <v>845</v>
      </c>
      <c r="T18" s="580">
        <v>-2.61</v>
      </c>
      <c r="U18" s="580">
        <v>0</v>
      </c>
      <c r="V18" s="580">
        <v>-0.04</v>
      </c>
      <c r="W18" s="580">
        <v>-0.02</v>
      </c>
      <c r="X18" s="580">
        <v>0.01</v>
      </c>
      <c r="Y18" s="580">
        <v>0.13</v>
      </c>
      <c r="Z18" s="580">
        <v>0.12</v>
      </c>
      <c r="AA18" s="580">
        <v>-3.82</v>
      </c>
      <c r="AB18" s="580">
        <v>-1.99</v>
      </c>
      <c r="AC18" s="580">
        <v>-4.93</v>
      </c>
      <c r="AD18" s="580">
        <v>-0.61</v>
      </c>
      <c r="AE18" s="580">
        <v>-2.2799999999999998</v>
      </c>
      <c r="AF18" s="580">
        <v>-58.71</v>
      </c>
      <c r="AG18" s="580">
        <v>-1.89</v>
      </c>
      <c r="AH18" s="580">
        <v>-0.87</v>
      </c>
      <c r="AI18" s="580">
        <v>0</v>
      </c>
      <c r="AJ18" s="580">
        <v>-6.05</v>
      </c>
    </row>
    <row r="19" spans="1:36" s="393" customFormat="1" ht="13.5" customHeight="1">
      <c r="A19" s="1057" t="s">
        <v>846</v>
      </c>
      <c r="B19" s="563">
        <v>-1.53</v>
      </c>
      <c r="C19" s="563">
        <v>-0.38</v>
      </c>
      <c r="D19" s="563">
        <v>0.03</v>
      </c>
      <c r="E19" s="563">
        <v>-0.25</v>
      </c>
      <c r="F19" s="563">
        <v>-1.78</v>
      </c>
      <c r="G19" s="563">
        <v>-3.06</v>
      </c>
      <c r="H19" s="563">
        <v>-3.07</v>
      </c>
      <c r="I19" s="563">
        <v>-0.02</v>
      </c>
      <c r="J19" s="563">
        <v>-2.68</v>
      </c>
      <c r="K19" s="563">
        <v>-3.81</v>
      </c>
      <c r="L19" s="563">
        <v>-1.06</v>
      </c>
      <c r="M19" s="563">
        <v>-6.83</v>
      </c>
      <c r="N19" s="563">
        <v>-0.59</v>
      </c>
      <c r="O19" s="563">
        <v>-5.89</v>
      </c>
      <c r="P19" s="563">
        <v>-1.86</v>
      </c>
      <c r="Q19" s="563">
        <v>-2.33</v>
      </c>
      <c r="R19" s="563">
        <v>-0.51</v>
      </c>
      <c r="S19" s="1057" t="s">
        <v>846</v>
      </c>
      <c r="T19" s="563">
        <v>-3.14</v>
      </c>
      <c r="U19" s="563">
        <v>0</v>
      </c>
      <c r="V19" s="563">
        <v>-0.2</v>
      </c>
      <c r="W19" s="563">
        <v>-2.57</v>
      </c>
      <c r="X19" s="563">
        <v>0</v>
      </c>
      <c r="Y19" s="563">
        <v>-3.36</v>
      </c>
      <c r="Z19" s="563">
        <v>0</v>
      </c>
      <c r="AA19" s="563">
        <v>-2.16</v>
      </c>
      <c r="AB19" s="563">
        <v>-2.3199999999999998</v>
      </c>
      <c r="AC19" s="563">
        <v>-1.84</v>
      </c>
      <c r="AD19" s="563">
        <v>-0.77</v>
      </c>
      <c r="AE19" s="563">
        <v>-2.2799999999999998</v>
      </c>
      <c r="AF19" s="563">
        <v>0.39</v>
      </c>
      <c r="AG19" s="563">
        <v>-1.43</v>
      </c>
      <c r="AH19" s="563">
        <v>-1.73</v>
      </c>
      <c r="AI19" s="563">
        <v>0</v>
      </c>
      <c r="AJ19" s="563">
        <v>2.5</v>
      </c>
    </row>
    <row r="20" spans="1:36" s="393" customFormat="1" ht="13.5" customHeight="1">
      <c r="A20" s="1056" t="s">
        <v>839</v>
      </c>
      <c r="B20" s="580">
        <v>-4.0999999999999996</v>
      </c>
      <c r="C20" s="580">
        <v>-0.03</v>
      </c>
      <c r="D20" s="580">
        <v>-0.03</v>
      </c>
      <c r="E20" s="580">
        <v>-0.95</v>
      </c>
      <c r="F20" s="580">
        <v>-0.91</v>
      </c>
      <c r="G20" s="580">
        <v>-2.14</v>
      </c>
      <c r="H20" s="580">
        <v>-2.2400000000000002</v>
      </c>
      <c r="I20" s="580">
        <v>-0.02</v>
      </c>
      <c r="J20" s="580">
        <v>0.56000000000000005</v>
      </c>
      <c r="K20" s="580">
        <v>0.68</v>
      </c>
      <c r="L20" s="580">
        <v>-0.79</v>
      </c>
      <c r="M20" s="580">
        <v>-4.1500000000000004</v>
      </c>
      <c r="N20" s="580">
        <v>-0.36</v>
      </c>
      <c r="O20" s="580">
        <v>-0.41</v>
      </c>
      <c r="P20" s="580">
        <v>-3.98</v>
      </c>
      <c r="Q20" s="580">
        <v>0.98</v>
      </c>
      <c r="R20" s="580">
        <v>-2.89</v>
      </c>
      <c r="S20" s="1056" t="s">
        <v>839</v>
      </c>
      <c r="T20" s="580">
        <v>-2.2000000000000002</v>
      </c>
      <c r="U20" s="580">
        <v>0</v>
      </c>
      <c r="V20" s="580">
        <v>7.0000000000000007E-2</v>
      </c>
      <c r="W20" s="580">
        <v>-0.21</v>
      </c>
      <c r="X20" s="580">
        <v>-0.01</v>
      </c>
      <c r="Y20" s="580">
        <v>7.82</v>
      </c>
      <c r="Z20" s="580">
        <v>0.02</v>
      </c>
      <c r="AA20" s="580">
        <v>-3.28</v>
      </c>
      <c r="AB20" s="580">
        <v>-1.75</v>
      </c>
      <c r="AC20" s="580">
        <v>0.26</v>
      </c>
      <c r="AD20" s="580">
        <v>-0.72</v>
      </c>
      <c r="AE20" s="580">
        <v>-1.62</v>
      </c>
      <c r="AF20" s="580">
        <v>0</v>
      </c>
      <c r="AG20" s="580">
        <v>-1.07</v>
      </c>
      <c r="AH20" s="580">
        <v>-1</v>
      </c>
      <c r="AI20" s="580">
        <v>0</v>
      </c>
      <c r="AJ20" s="580">
        <v>-2.11</v>
      </c>
    </row>
    <row r="21" spans="1:36" s="393" customFormat="1" ht="13.5" customHeight="1">
      <c r="A21" s="1057" t="s">
        <v>847</v>
      </c>
      <c r="B21" s="563">
        <v>5.27</v>
      </c>
      <c r="C21" s="563">
        <v>-0.41</v>
      </c>
      <c r="D21" s="563">
        <v>0.01</v>
      </c>
      <c r="E21" s="563">
        <v>3.38</v>
      </c>
      <c r="F21" s="563">
        <v>1.33</v>
      </c>
      <c r="G21" s="563">
        <v>2.66</v>
      </c>
      <c r="H21" s="563">
        <v>2.72</v>
      </c>
      <c r="I21" s="563">
        <v>0</v>
      </c>
      <c r="J21" s="563">
        <v>0.6</v>
      </c>
      <c r="K21" s="563">
        <v>1</v>
      </c>
      <c r="L21" s="563">
        <v>-0.05</v>
      </c>
      <c r="M21" s="563">
        <v>3.06</v>
      </c>
      <c r="N21" s="563">
        <v>0.46</v>
      </c>
      <c r="O21" s="563">
        <v>1.24</v>
      </c>
      <c r="P21" s="563">
        <v>1.37</v>
      </c>
      <c r="Q21" s="563">
        <v>-0.42</v>
      </c>
      <c r="R21" s="563">
        <v>5.27</v>
      </c>
      <c r="S21" s="1057" t="s">
        <v>847</v>
      </c>
      <c r="T21" s="563">
        <v>4.92</v>
      </c>
      <c r="U21" s="563">
        <v>0</v>
      </c>
      <c r="V21" s="563">
        <v>0.05</v>
      </c>
      <c r="W21" s="563">
        <v>0.08</v>
      </c>
      <c r="X21" s="563">
        <v>0</v>
      </c>
      <c r="Y21" s="563">
        <v>1.1100000000000001</v>
      </c>
      <c r="Z21" s="563">
        <v>0</v>
      </c>
      <c r="AA21" s="563">
        <v>3.69</v>
      </c>
      <c r="AB21" s="563">
        <v>2.06</v>
      </c>
      <c r="AC21" s="563">
        <v>3.82</v>
      </c>
      <c r="AD21" s="563">
        <v>-0.2</v>
      </c>
      <c r="AE21" s="563">
        <v>3.34</v>
      </c>
      <c r="AF21" s="563">
        <v>0</v>
      </c>
      <c r="AG21" s="563">
        <v>1.26</v>
      </c>
      <c r="AH21" s="563">
        <v>2.2599999999999998</v>
      </c>
      <c r="AI21" s="563">
        <v>0</v>
      </c>
      <c r="AJ21" s="563">
        <v>2.13</v>
      </c>
    </row>
    <row r="22" spans="1:36" s="393" customFormat="1" ht="13.5" customHeight="1">
      <c r="A22" s="1056" t="s">
        <v>848</v>
      </c>
      <c r="B22" s="580">
        <v>1.56</v>
      </c>
      <c r="C22" s="580">
        <v>-0.38</v>
      </c>
      <c r="D22" s="580">
        <v>-0.01</v>
      </c>
      <c r="E22" s="580">
        <v>-0.49</v>
      </c>
      <c r="F22" s="580">
        <v>-0.24</v>
      </c>
      <c r="G22" s="580">
        <v>-0.95</v>
      </c>
      <c r="H22" s="580">
        <v>-1</v>
      </c>
      <c r="I22" s="580">
        <v>-0.04</v>
      </c>
      <c r="J22" s="580">
        <v>1.69</v>
      </c>
      <c r="K22" s="580">
        <v>-0.02</v>
      </c>
      <c r="L22" s="580">
        <v>-0.13</v>
      </c>
      <c r="M22" s="580">
        <v>0.95</v>
      </c>
      <c r="N22" s="580">
        <v>-0.21</v>
      </c>
      <c r="O22" s="580">
        <v>-0.35</v>
      </c>
      <c r="P22" s="580">
        <v>-1.42</v>
      </c>
      <c r="Q22" s="580">
        <v>1.86</v>
      </c>
      <c r="R22" s="580">
        <v>-1.28</v>
      </c>
      <c r="S22" s="1056" t="s">
        <v>848</v>
      </c>
      <c r="T22" s="580">
        <v>-0.66</v>
      </c>
      <c r="U22" s="580">
        <v>0</v>
      </c>
      <c r="V22" s="580">
        <v>-0.01</v>
      </c>
      <c r="W22" s="580">
        <v>-1.05</v>
      </c>
      <c r="X22" s="580">
        <v>0.01</v>
      </c>
      <c r="Y22" s="580">
        <v>3.36</v>
      </c>
      <c r="Z22" s="580">
        <v>0</v>
      </c>
      <c r="AA22" s="580">
        <v>2.85</v>
      </c>
      <c r="AB22" s="580">
        <v>1.2</v>
      </c>
      <c r="AC22" s="580">
        <v>-2.58</v>
      </c>
      <c r="AD22" s="580">
        <v>-1.02</v>
      </c>
      <c r="AE22" s="580">
        <v>-1.36</v>
      </c>
      <c r="AF22" s="580">
        <v>0</v>
      </c>
      <c r="AG22" s="580">
        <v>-0.12</v>
      </c>
      <c r="AH22" s="580">
        <v>0.8</v>
      </c>
      <c r="AI22" s="580">
        <v>0.01</v>
      </c>
      <c r="AJ22" s="580">
        <v>-0.34</v>
      </c>
    </row>
    <row r="23" spans="1:36" s="393" customFormat="1" ht="13.5" customHeight="1">
      <c r="A23" s="1057" t="s">
        <v>840</v>
      </c>
      <c r="B23" s="563">
        <v>-0.59</v>
      </c>
      <c r="C23" s="563">
        <v>-0.38</v>
      </c>
      <c r="D23" s="563">
        <v>-0.03</v>
      </c>
      <c r="E23" s="563">
        <v>-0.98</v>
      </c>
      <c r="F23" s="563">
        <v>-0.35</v>
      </c>
      <c r="G23" s="563">
        <v>0.56000000000000005</v>
      </c>
      <c r="H23" s="563">
        <v>0.61</v>
      </c>
      <c r="I23" s="563">
        <v>-0.12</v>
      </c>
      <c r="J23" s="563">
        <v>2.84</v>
      </c>
      <c r="K23" s="563">
        <v>0.13</v>
      </c>
      <c r="L23" s="563">
        <v>-0.06</v>
      </c>
      <c r="M23" s="563">
        <v>1.18</v>
      </c>
      <c r="N23" s="563">
        <v>0.15</v>
      </c>
      <c r="O23" s="563">
        <v>0.44</v>
      </c>
      <c r="P23" s="563">
        <v>0.55000000000000004</v>
      </c>
      <c r="Q23" s="563">
        <v>2.71</v>
      </c>
      <c r="R23" s="563">
        <v>-2.23</v>
      </c>
      <c r="S23" s="1057" t="s">
        <v>840</v>
      </c>
      <c r="T23" s="563">
        <v>-2.63</v>
      </c>
      <c r="U23" s="563">
        <v>-0.04</v>
      </c>
      <c r="V23" s="563">
        <v>-0.02</v>
      </c>
      <c r="W23" s="563">
        <v>0.21</v>
      </c>
      <c r="X23" s="563">
        <v>0.01</v>
      </c>
      <c r="Y23" s="563">
        <v>2.15</v>
      </c>
      <c r="Z23" s="563">
        <v>-0.01</v>
      </c>
      <c r="AA23" s="563">
        <v>1.36</v>
      </c>
      <c r="AB23" s="563">
        <v>0.52</v>
      </c>
      <c r="AC23" s="563">
        <v>1.02</v>
      </c>
      <c r="AD23" s="563">
        <v>-0.2</v>
      </c>
      <c r="AE23" s="563">
        <v>0.57999999999999996</v>
      </c>
      <c r="AF23" s="563">
        <v>0</v>
      </c>
      <c r="AG23" s="563">
        <v>0.53</v>
      </c>
      <c r="AH23" s="563">
        <v>1.62</v>
      </c>
      <c r="AI23" s="563">
        <v>-0.01</v>
      </c>
      <c r="AJ23" s="563">
        <v>0.85</v>
      </c>
    </row>
    <row r="24" spans="1:36" s="393" customFormat="1" ht="13.5" customHeight="1">
      <c r="A24" s="1056" t="s">
        <v>849</v>
      </c>
      <c r="B24" s="580">
        <v>-1.84</v>
      </c>
      <c r="C24" s="580">
        <v>-0.7</v>
      </c>
      <c r="D24" s="580">
        <v>0.04</v>
      </c>
      <c r="E24" s="580">
        <v>-2.48</v>
      </c>
      <c r="F24" s="580">
        <v>0.09</v>
      </c>
      <c r="G24" s="580">
        <v>2.2599999999999998</v>
      </c>
      <c r="H24" s="580">
        <v>2.2999999999999998</v>
      </c>
      <c r="I24" s="580">
        <v>-0.1</v>
      </c>
      <c r="J24" s="580">
        <v>0.89</v>
      </c>
      <c r="K24" s="580">
        <v>-0.03</v>
      </c>
      <c r="L24" s="580">
        <v>-0.05</v>
      </c>
      <c r="M24" s="580">
        <v>-0.13</v>
      </c>
      <c r="N24" s="580">
        <v>0.23</v>
      </c>
      <c r="O24" s="580">
        <v>1.95</v>
      </c>
      <c r="P24" s="580">
        <v>0</v>
      </c>
      <c r="Q24" s="580">
        <v>1.48</v>
      </c>
      <c r="R24" s="580">
        <v>-2.33</v>
      </c>
      <c r="S24" s="1056" t="s">
        <v>849</v>
      </c>
      <c r="T24" s="580">
        <v>0.15</v>
      </c>
      <c r="U24" s="580">
        <v>0.01</v>
      </c>
      <c r="V24" s="580">
        <v>0.08</v>
      </c>
      <c r="W24" s="580">
        <v>-7.0000000000000007E-2</v>
      </c>
      <c r="X24" s="580">
        <v>-0.01</v>
      </c>
      <c r="Y24" s="580">
        <v>-0.43</v>
      </c>
      <c r="Z24" s="580">
        <v>0.01</v>
      </c>
      <c r="AA24" s="580">
        <v>-1.78</v>
      </c>
      <c r="AB24" s="580">
        <v>0</v>
      </c>
      <c r="AC24" s="580">
        <v>1.31</v>
      </c>
      <c r="AD24" s="580">
        <v>-0.2</v>
      </c>
      <c r="AE24" s="580">
        <v>0.79</v>
      </c>
      <c r="AF24" s="580">
        <v>0</v>
      </c>
      <c r="AG24" s="580">
        <v>0.81</v>
      </c>
      <c r="AH24" s="580">
        <v>-0.69</v>
      </c>
      <c r="AI24" s="580">
        <v>0</v>
      </c>
      <c r="AJ24" s="580">
        <v>3.19</v>
      </c>
    </row>
    <row r="25" spans="1:36" s="393" customFormat="1" ht="13.5" customHeight="1">
      <c r="A25" s="1057" t="s">
        <v>850</v>
      </c>
      <c r="B25" s="563">
        <v>-0.31</v>
      </c>
      <c r="C25" s="563">
        <v>-0.41</v>
      </c>
      <c r="D25" s="563">
        <v>-0.01</v>
      </c>
      <c r="E25" s="563">
        <v>1.43</v>
      </c>
      <c r="F25" s="563">
        <v>0.43</v>
      </c>
      <c r="G25" s="563">
        <v>2.66</v>
      </c>
      <c r="H25" s="563">
        <v>2.65</v>
      </c>
      <c r="I25" s="563">
        <v>-0.19</v>
      </c>
      <c r="J25" s="563">
        <v>-0.53</v>
      </c>
      <c r="K25" s="563">
        <v>0.05</v>
      </c>
      <c r="L25" s="563">
        <v>-0.04</v>
      </c>
      <c r="M25" s="563">
        <v>0.63</v>
      </c>
      <c r="N25" s="563">
        <v>0.26</v>
      </c>
      <c r="O25" s="563">
        <v>1.52</v>
      </c>
      <c r="P25" s="563">
        <v>0.37</v>
      </c>
      <c r="Q25" s="563">
        <v>-0.67</v>
      </c>
      <c r="R25" s="563">
        <v>3.32</v>
      </c>
      <c r="S25" s="1057" t="s">
        <v>850</v>
      </c>
      <c r="T25" s="563">
        <v>1.8</v>
      </c>
      <c r="U25" s="563">
        <v>0.03</v>
      </c>
      <c r="V25" s="563">
        <v>-0.1</v>
      </c>
      <c r="W25" s="563">
        <v>0.97</v>
      </c>
      <c r="X25" s="563">
        <v>0</v>
      </c>
      <c r="Y25" s="563">
        <v>0.48</v>
      </c>
      <c r="Z25" s="563">
        <v>-0.01</v>
      </c>
      <c r="AA25" s="563">
        <v>1.47</v>
      </c>
      <c r="AB25" s="563">
        <v>0.91</v>
      </c>
      <c r="AC25" s="563">
        <v>1.44</v>
      </c>
      <c r="AD25" s="563">
        <v>-0.13</v>
      </c>
      <c r="AE25" s="563">
        <v>2.1</v>
      </c>
      <c r="AF25" s="563">
        <v>0</v>
      </c>
      <c r="AG25" s="563">
        <v>0.7</v>
      </c>
      <c r="AH25" s="563">
        <v>1.38</v>
      </c>
      <c r="AI25" s="563">
        <v>0</v>
      </c>
      <c r="AJ25" s="563">
        <v>-0.71</v>
      </c>
    </row>
    <row r="26" spans="1:36" s="393" customFormat="1" ht="13.5" customHeight="1">
      <c r="A26" s="1056" t="s">
        <v>841</v>
      </c>
      <c r="B26" s="580">
        <v>2.93</v>
      </c>
      <c r="C26" s="580">
        <v>-0.04</v>
      </c>
      <c r="D26" s="580">
        <v>-0.05</v>
      </c>
      <c r="E26" s="580">
        <v>3.51</v>
      </c>
      <c r="F26" s="580">
        <v>1.31</v>
      </c>
      <c r="G26" s="580">
        <v>2.33</v>
      </c>
      <c r="H26" s="580">
        <v>2.2799999999999998</v>
      </c>
      <c r="I26" s="580">
        <v>-0.16</v>
      </c>
      <c r="J26" s="580">
        <v>-0.04</v>
      </c>
      <c r="K26" s="580">
        <v>-0.04</v>
      </c>
      <c r="L26" s="580">
        <v>-0.11</v>
      </c>
      <c r="M26" s="580">
        <v>-1.19</v>
      </c>
      <c r="N26" s="580">
        <v>0.05</v>
      </c>
      <c r="O26" s="580">
        <v>-0.42</v>
      </c>
      <c r="P26" s="580">
        <v>-0.51</v>
      </c>
      <c r="Q26" s="580">
        <v>0.05</v>
      </c>
      <c r="R26" s="580">
        <v>2.88</v>
      </c>
      <c r="S26" s="1056" t="s">
        <v>841</v>
      </c>
      <c r="T26" s="580">
        <v>0.55000000000000004</v>
      </c>
      <c r="U26" s="580">
        <v>-0.05</v>
      </c>
      <c r="V26" s="580">
        <v>-0.03</v>
      </c>
      <c r="W26" s="580">
        <v>-1.29</v>
      </c>
      <c r="X26" s="580">
        <v>-2.5</v>
      </c>
      <c r="Y26" s="580">
        <v>-4.24</v>
      </c>
      <c r="Z26" s="580">
        <v>0.01</v>
      </c>
      <c r="AA26" s="580">
        <v>-1.89</v>
      </c>
      <c r="AB26" s="580">
        <v>0.37</v>
      </c>
      <c r="AC26" s="580">
        <v>3.15</v>
      </c>
      <c r="AD26" s="580">
        <v>-0.62</v>
      </c>
      <c r="AE26" s="580">
        <v>1.98</v>
      </c>
      <c r="AF26" s="580">
        <v>0</v>
      </c>
      <c r="AG26" s="580">
        <v>0.72</v>
      </c>
      <c r="AH26" s="580">
        <v>0.43</v>
      </c>
      <c r="AI26" s="580">
        <v>0.01</v>
      </c>
      <c r="AJ26" s="580">
        <v>1.1499999999999999</v>
      </c>
    </row>
    <row r="27" spans="1:36" s="393" customFormat="1" ht="13.5" customHeight="1">
      <c r="A27" s="1186" t="s">
        <v>2320</v>
      </c>
      <c r="B27" s="1045">
        <v>-4.29</v>
      </c>
      <c r="C27" s="1045">
        <v>-3.74</v>
      </c>
      <c r="D27" s="1045">
        <v>-0.21</v>
      </c>
      <c r="E27" s="1045">
        <v>-1.83</v>
      </c>
      <c r="F27" s="1045">
        <v>2.38</v>
      </c>
      <c r="G27" s="1045">
        <v>0.88</v>
      </c>
      <c r="H27" s="1045">
        <v>1.1200000000000001</v>
      </c>
      <c r="I27" s="1045">
        <v>-0.54</v>
      </c>
      <c r="J27" s="1045">
        <v>-6.07</v>
      </c>
      <c r="K27" s="1045">
        <v>-7.22</v>
      </c>
      <c r="L27" s="1045">
        <v>-23.72</v>
      </c>
      <c r="M27" s="1045">
        <v>1.52</v>
      </c>
      <c r="N27" s="1045">
        <v>0.28000000000000003</v>
      </c>
      <c r="O27" s="1045">
        <v>6.39</v>
      </c>
      <c r="P27" s="1045">
        <v>-3.88</v>
      </c>
      <c r="Q27" s="1045">
        <v>-5.28</v>
      </c>
      <c r="R27" s="1045">
        <v>-7.46</v>
      </c>
      <c r="S27" s="1186" t="s">
        <v>2320</v>
      </c>
      <c r="T27" s="1045">
        <v>2.41</v>
      </c>
      <c r="U27" s="1045">
        <v>0.05</v>
      </c>
      <c r="V27" s="1045">
        <v>-13.86</v>
      </c>
      <c r="W27" s="1045">
        <v>-5.49</v>
      </c>
      <c r="X27" s="1045">
        <v>2.58</v>
      </c>
      <c r="Y27" s="1045">
        <v>-6.27</v>
      </c>
      <c r="Z27" s="1045">
        <v>-0.01</v>
      </c>
      <c r="AA27" s="1045">
        <v>2.57</v>
      </c>
      <c r="AB27" s="1045">
        <v>0.84</v>
      </c>
      <c r="AC27" s="1045">
        <v>-5.58</v>
      </c>
      <c r="AD27" s="1045">
        <v>-3.02</v>
      </c>
      <c r="AE27" s="1045">
        <v>-4.18</v>
      </c>
      <c r="AF27" s="1045">
        <v>0</v>
      </c>
      <c r="AG27" s="1045">
        <v>1.03</v>
      </c>
      <c r="AH27" s="1045">
        <v>2.52</v>
      </c>
      <c r="AI27" s="1045">
        <v>-0.01</v>
      </c>
      <c r="AJ27" s="1045">
        <v>0.55000000000000004</v>
      </c>
    </row>
    <row r="28" spans="1:36" s="393" customFormat="1" ht="13.5" customHeight="1">
      <c r="A28" s="1056" t="s">
        <v>843</v>
      </c>
      <c r="B28" s="580">
        <v>3.94</v>
      </c>
      <c r="C28" s="580">
        <v>-0.08</v>
      </c>
      <c r="D28" s="580">
        <v>0.04</v>
      </c>
      <c r="E28" s="580">
        <v>4.58</v>
      </c>
      <c r="F28" s="580">
        <v>0.69</v>
      </c>
      <c r="G28" s="580">
        <v>2.7</v>
      </c>
      <c r="H28" s="580">
        <v>2.72</v>
      </c>
      <c r="I28" s="580">
        <v>-0.05</v>
      </c>
      <c r="J28" s="580">
        <v>0.85</v>
      </c>
      <c r="K28" s="580">
        <v>0.02</v>
      </c>
      <c r="L28" s="580">
        <v>-0.69</v>
      </c>
      <c r="M28" s="580">
        <v>1.37</v>
      </c>
      <c r="N28" s="580">
        <v>0.41</v>
      </c>
      <c r="O28" s="580">
        <v>0.35</v>
      </c>
      <c r="P28" s="580">
        <v>-0.51</v>
      </c>
      <c r="Q28" s="580">
        <v>0.62</v>
      </c>
      <c r="R28" s="580">
        <v>2.91</v>
      </c>
      <c r="S28" s="1056" t="s">
        <v>843</v>
      </c>
      <c r="T28" s="580">
        <v>5.98</v>
      </c>
      <c r="U28" s="580">
        <v>0.05</v>
      </c>
      <c r="V28" s="580">
        <v>-0.47</v>
      </c>
      <c r="W28" s="580">
        <v>-0.24</v>
      </c>
      <c r="X28" s="580">
        <v>2.5499999999999998</v>
      </c>
      <c r="Y28" s="580">
        <v>-0.64</v>
      </c>
      <c r="Z28" s="580">
        <v>0</v>
      </c>
      <c r="AA28" s="580">
        <v>1.87</v>
      </c>
      <c r="AB28" s="580">
        <v>1.67</v>
      </c>
      <c r="AC28" s="580">
        <v>4.18</v>
      </c>
      <c r="AD28" s="580">
        <v>-0.08</v>
      </c>
      <c r="AE28" s="580">
        <v>-1.34</v>
      </c>
      <c r="AF28" s="580">
        <v>0</v>
      </c>
      <c r="AG28" s="580">
        <v>1.07</v>
      </c>
      <c r="AH28" s="580">
        <v>1.97</v>
      </c>
      <c r="AI28" s="580">
        <v>0</v>
      </c>
      <c r="AJ28" s="580">
        <v>0.99</v>
      </c>
    </row>
    <row r="29" spans="1:36" s="393" customFormat="1" ht="13.5" customHeight="1">
      <c r="A29" s="1057" t="s">
        <v>844</v>
      </c>
      <c r="B29" s="563">
        <v>-1.03</v>
      </c>
      <c r="C29" s="563">
        <v>-0.05</v>
      </c>
      <c r="D29" s="563">
        <v>0.01</v>
      </c>
      <c r="E29" s="563">
        <v>-1.48</v>
      </c>
      <c r="F29" s="563">
        <v>1.93</v>
      </c>
      <c r="G29" s="563">
        <v>1.1000000000000001</v>
      </c>
      <c r="H29" s="563">
        <v>1.1100000000000001</v>
      </c>
      <c r="I29" s="563">
        <v>-0.2</v>
      </c>
      <c r="J29" s="563">
        <v>0.2</v>
      </c>
      <c r="K29" s="563">
        <v>-0.17</v>
      </c>
      <c r="L29" s="563">
        <v>-1.37</v>
      </c>
      <c r="M29" s="563">
        <v>0.39</v>
      </c>
      <c r="N29" s="563">
        <v>0.2</v>
      </c>
      <c r="O29" s="563">
        <v>0.2</v>
      </c>
      <c r="P29" s="563">
        <v>0.62</v>
      </c>
      <c r="Q29" s="563">
        <v>0.34</v>
      </c>
      <c r="R29" s="563">
        <v>-4.13</v>
      </c>
      <c r="S29" s="1057" t="s">
        <v>844</v>
      </c>
      <c r="T29" s="563">
        <v>1.3</v>
      </c>
      <c r="U29" s="563">
        <v>0</v>
      </c>
      <c r="V29" s="563">
        <v>0.13</v>
      </c>
      <c r="W29" s="563">
        <v>-1.29</v>
      </c>
      <c r="X29" s="563">
        <v>-0.99</v>
      </c>
      <c r="Y29" s="563">
        <v>1.78</v>
      </c>
      <c r="Z29" s="563">
        <v>0</v>
      </c>
      <c r="AA29" s="563">
        <v>-0.3</v>
      </c>
      <c r="AB29" s="563">
        <v>-0.14000000000000001</v>
      </c>
      <c r="AC29" s="563">
        <v>1.7</v>
      </c>
      <c r="AD29" s="563">
        <v>0.56999999999999995</v>
      </c>
      <c r="AE29" s="563">
        <v>0.54</v>
      </c>
      <c r="AF29" s="563">
        <v>0</v>
      </c>
      <c r="AG29" s="563">
        <v>0.91</v>
      </c>
      <c r="AH29" s="563">
        <v>0.3</v>
      </c>
      <c r="AI29" s="563">
        <v>0</v>
      </c>
      <c r="AJ29" s="563">
        <v>-1.59</v>
      </c>
    </row>
    <row r="30" spans="1:36" s="393" customFormat="1" ht="13.5" customHeight="1">
      <c r="A30" s="1056" t="s">
        <v>838</v>
      </c>
      <c r="B30" s="580">
        <v>-0.71</v>
      </c>
      <c r="C30" s="580">
        <v>-0.12</v>
      </c>
      <c r="D30" s="580">
        <v>-0.03</v>
      </c>
      <c r="E30" s="580">
        <v>1.18</v>
      </c>
      <c r="F30" s="580">
        <v>-0.41</v>
      </c>
      <c r="G30" s="580">
        <v>-1.22</v>
      </c>
      <c r="H30" s="580">
        <v>-1.17</v>
      </c>
      <c r="I30" s="580">
        <v>0.2</v>
      </c>
      <c r="J30" s="580">
        <v>-2.62</v>
      </c>
      <c r="K30" s="580">
        <v>-1.45</v>
      </c>
      <c r="L30" s="580">
        <v>-1.74</v>
      </c>
      <c r="M30" s="580">
        <v>-2.2999999999999998</v>
      </c>
      <c r="N30" s="580">
        <v>0.03</v>
      </c>
      <c r="O30" s="580">
        <v>0.92</v>
      </c>
      <c r="P30" s="580">
        <v>0.18</v>
      </c>
      <c r="Q30" s="580">
        <v>-1.84</v>
      </c>
      <c r="R30" s="580">
        <v>-0.03</v>
      </c>
      <c r="S30" s="1056" t="s">
        <v>838</v>
      </c>
      <c r="T30" s="580">
        <v>-1.8</v>
      </c>
      <c r="U30" s="580">
        <v>0</v>
      </c>
      <c r="V30" s="580">
        <v>-0.2</v>
      </c>
      <c r="W30" s="580">
        <v>0.11</v>
      </c>
      <c r="X30" s="580">
        <v>-0.99</v>
      </c>
      <c r="Y30" s="580">
        <v>0.6</v>
      </c>
      <c r="Z30" s="580">
        <v>0</v>
      </c>
      <c r="AA30" s="580">
        <v>-1.96</v>
      </c>
      <c r="AB30" s="580">
        <v>-0.08</v>
      </c>
      <c r="AC30" s="580">
        <v>-2.19</v>
      </c>
      <c r="AD30" s="580">
        <v>-0.15</v>
      </c>
      <c r="AE30" s="580">
        <v>-0.88</v>
      </c>
      <c r="AF30" s="580">
        <v>0</v>
      </c>
      <c r="AG30" s="580">
        <v>-0.47</v>
      </c>
      <c r="AH30" s="580">
        <v>-0.73</v>
      </c>
      <c r="AI30" s="580">
        <v>0</v>
      </c>
      <c r="AJ30" s="580">
        <v>3.57</v>
      </c>
    </row>
    <row r="31" spans="1:36" s="393" customFormat="1" ht="13.5" customHeight="1">
      <c r="A31" s="1057" t="s">
        <v>845</v>
      </c>
      <c r="B31" s="563">
        <v>-2.0499999999999998</v>
      </c>
      <c r="C31" s="563">
        <v>-7.0000000000000007E-2</v>
      </c>
      <c r="D31" s="563">
        <v>-0.03</v>
      </c>
      <c r="E31" s="563">
        <v>-2.77</v>
      </c>
      <c r="F31" s="563">
        <v>-0.17</v>
      </c>
      <c r="G31" s="563">
        <v>-0.79</v>
      </c>
      <c r="H31" s="563">
        <v>-0.8</v>
      </c>
      <c r="I31" s="563">
        <v>0.13</v>
      </c>
      <c r="J31" s="563">
        <v>1.32</v>
      </c>
      <c r="K31" s="563">
        <v>-0.16</v>
      </c>
      <c r="L31" s="563">
        <v>-3.22</v>
      </c>
      <c r="M31" s="563">
        <v>-0.31</v>
      </c>
      <c r="N31" s="563">
        <v>-0.3</v>
      </c>
      <c r="O31" s="563">
        <v>0.02</v>
      </c>
      <c r="P31" s="563">
        <v>-0.62</v>
      </c>
      <c r="Q31" s="563">
        <v>0.43</v>
      </c>
      <c r="R31" s="563">
        <v>-4.5</v>
      </c>
      <c r="S31" s="1057" t="s">
        <v>845</v>
      </c>
      <c r="T31" s="563">
        <v>-2.42</v>
      </c>
      <c r="U31" s="563">
        <v>0</v>
      </c>
      <c r="V31" s="563">
        <v>0.1</v>
      </c>
      <c r="W31" s="563">
        <v>-0.96</v>
      </c>
      <c r="X31" s="563">
        <v>-3.26</v>
      </c>
      <c r="Y31" s="563">
        <v>0.35</v>
      </c>
      <c r="Z31" s="563">
        <v>0</v>
      </c>
      <c r="AA31" s="563">
        <v>2.4300000000000002</v>
      </c>
      <c r="AB31" s="563">
        <v>-0.08</v>
      </c>
      <c r="AC31" s="563">
        <v>-2.3199999999999998</v>
      </c>
      <c r="AD31" s="563">
        <v>-0.36</v>
      </c>
      <c r="AE31" s="563">
        <v>-2.2400000000000002</v>
      </c>
      <c r="AF31" s="563">
        <v>0</v>
      </c>
      <c r="AG31" s="563">
        <v>-0.57999999999999996</v>
      </c>
      <c r="AH31" s="563">
        <v>0.71</v>
      </c>
      <c r="AI31" s="563">
        <v>-0.01</v>
      </c>
      <c r="AJ31" s="563">
        <v>-1.34</v>
      </c>
    </row>
    <row r="32" spans="1:36" s="393" customFormat="1" ht="13.5" customHeight="1">
      <c r="A32" s="1056" t="s">
        <v>846</v>
      </c>
      <c r="B32" s="580">
        <v>-1.52</v>
      </c>
      <c r="C32" s="580">
        <v>-1.75</v>
      </c>
      <c r="D32" s="580">
        <v>0</v>
      </c>
      <c r="E32" s="580">
        <v>-0.27</v>
      </c>
      <c r="F32" s="580">
        <v>0.55000000000000004</v>
      </c>
      <c r="G32" s="580">
        <v>1.67</v>
      </c>
      <c r="H32" s="580">
        <v>1.69</v>
      </c>
      <c r="I32" s="580">
        <v>-0.12</v>
      </c>
      <c r="J32" s="580">
        <v>0.78</v>
      </c>
      <c r="K32" s="580">
        <v>0.36</v>
      </c>
      <c r="L32" s="580">
        <v>-1.06</v>
      </c>
      <c r="M32" s="580">
        <v>1.1200000000000001</v>
      </c>
      <c r="N32" s="580">
        <v>0.18</v>
      </c>
      <c r="O32" s="580">
        <v>3.51</v>
      </c>
      <c r="P32" s="580">
        <v>0.85</v>
      </c>
      <c r="Q32" s="580">
        <v>0.5</v>
      </c>
      <c r="R32" s="580">
        <v>0.06</v>
      </c>
      <c r="S32" s="1056" t="s">
        <v>846</v>
      </c>
      <c r="T32" s="580">
        <v>-1.28</v>
      </c>
      <c r="U32" s="580">
        <v>0</v>
      </c>
      <c r="V32" s="580">
        <v>-0.09</v>
      </c>
      <c r="W32" s="580">
        <v>2.5099999999999998</v>
      </c>
      <c r="X32" s="580">
        <v>5.47</v>
      </c>
      <c r="Y32" s="580">
        <v>-0.95</v>
      </c>
      <c r="Z32" s="580">
        <v>0</v>
      </c>
      <c r="AA32" s="580">
        <v>3.11</v>
      </c>
      <c r="AB32" s="580">
        <v>1.02</v>
      </c>
      <c r="AC32" s="580">
        <v>-0.08</v>
      </c>
      <c r="AD32" s="580">
        <v>-0.13</v>
      </c>
      <c r="AE32" s="580">
        <v>1</v>
      </c>
      <c r="AF32" s="580">
        <v>0</v>
      </c>
      <c r="AG32" s="580">
        <v>0.92</v>
      </c>
      <c r="AH32" s="580">
        <v>1.78</v>
      </c>
      <c r="AI32" s="580">
        <v>0.01</v>
      </c>
      <c r="AJ32" s="580">
        <v>1.52</v>
      </c>
    </row>
    <row r="33" spans="1:36" s="393" customFormat="1" ht="13.5" customHeight="1">
      <c r="A33" s="1057" t="s">
        <v>839</v>
      </c>
      <c r="B33" s="563">
        <v>3.04</v>
      </c>
      <c r="C33" s="563">
        <v>-0.48</v>
      </c>
      <c r="D33" s="563">
        <v>0.04</v>
      </c>
      <c r="E33" s="563">
        <v>2.27</v>
      </c>
      <c r="F33" s="563">
        <v>1.06</v>
      </c>
      <c r="G33" s="563">
        <v>1.25</v>
      </c>
      <c r="H33" s="563">
        <v>1.27</v>
      </c>
      <c r="I33" s="563">
        <v>-0.05</v>
      </c>
      <c r="J33" s="563">
        <v>0.81</v>
      </c>
      <c r="K33" s="563">
        <v>-0.37</v>
      </c>
      <c r="L33" s="563">
        <v>-2.2799999999999998</v>
      </c>
      <c r="M33" s="563">
        <v>-0.67</v>
      </c>
      <c r="N33" s="563">
        <v>7.0000000000000007E-2</v>
      </c>
      <c r="O33" s="563">
        <v>0.99</v>
      </c>
      <c r="P33" s="563">
        <v>-0.77</v>
      </c>
      <c r="Q33" s="563">
        <v>0.71</v>
      </c>
      <c r="R33" s="563">
        <v>2.99</v>
      </c>
      <c r="S33" s="1057" t="s">
        <v>839</v>
      </c>
      <c r="T33" s="563">
        <v>0.56000000000000005</v>
      </c>
      <c r="U33" s="563">
        <v>-0.01</v>
      </c>
      <c r="V33" s="563">
        <v>-4.7699999999999996</v>
      </c>
      <c r="W33" s="563">
        <v>0.65</v>
      </c>
      <c r="X33" s="563">
        <v>-0.03</v>
      </c>
      <c r="Y33" s="563">
        <v>1.46</v>
      </c>
      <c r="Z33" s="563">
        <v>0</v>
      </c>
      <c r="AA33" s="563">
        <v>1.82</v>
      </c>
      <c r="AB33" s="563">
        <v>0.72</v>
      </c>
      <c r="AC33" s="563">
        <v>1.97</v>
      </c>
      <c r="AD33" s="563">
        <v>0.2</v>
      </c>
      <c r="AE33" s="563">
        <v>1.05</v>
      </c>
      <c r="AF33" s="563">
        <v>0</v>
      </c>
      <c r="AG33" s="563">
        <v>0.54</v>
      </c>
      <c r="AH33" s="563">
        <v>0.28000000000000003</v>
      </c>
      <c r="AI33" s="563">
        <v>0</v>
      </c>
      <c r="AJ33" s="563">
        <v>0.79</v>
      </c>
    </row>
    <row r="34" spans="1:36" s="393" customFormat="1" ht="13.5" customHeight="1">
      <c r="A34" s="1056" t="s">
        <v>847</v>
      </c>
      <c r="B34" s="580">
        <v>3.6</v>
      </c>
      <c r="C34" s="580">
        <v>-0.24</v>
      </c>
      <c r="D34" s="580">
        <v>0.03</v>
      </c>
      <c r="E34" s="580">
        <v>1.99</v>
      </c>
      <c r="F34" s="580">
        <v>3.16</v>
      </c>
      <c r="G34" s="580">
        <v>3.4</v>
      </c>
      <c r="H34" s="580">
        <v>3.37</v>
      </c>
      <c r="I34" s="580">
        <v>-0.1</v>
      </c>
      <c r="J34" s="580">
        <v>0.24</v>
      </c>
      <c r="K34" s="580">
        <v>1.32</v>
      </c>
      <c r="L34" s="580">
        <v>-2.25</v>
      </c>
      <c r="M34" s="580">
        <v>3.59</v>
      </c>
      <c r="N34" s="580">
        <v>0.62</v>
      </c>
      <c r="O34" s="580">
        <v>3.74</v>
      </c>
      <c r="P34" s="580">
        <v>2.78</v>
      </c>
      <c r="Q34" s="580">
        <v>0.79</v>
      </c>
      <c r="R34" s="580">
        <v>3.44</v>
      </c>
      <c r="S34" s="1056" t="s">
        <v>847</v>
      </c>
      <c r="T34" s="580">
        <v>6.31</v>
      </c>
      <c r="U34" s="580">
        <v>0.01</v>
      </c>
      <c r="V34" s="580">
        <v>-0.05</v>
      </c>
      <c r="W34" s="580">
        <v>-2.5</v>
      </c>
      <c r="X34" s="580">
        <v>0.03</v>
      </c>
      <c r="Y34" s="580">
        <v>2.48</v>
      </c>
      <c r="Z34" s="580">
        <v>0</v>
      </c>
      <c r="AA34" s="580">
        <v>-0.23</v>
      </c>
      <c r="AB34" s="580">
        <v>1.98</v>
      </c>
      <c r="AC34" s="580">
        <v>4.1500000000000004</v>
      </c>
      <c r="AD34" s="580">
        <v>-0.31</v>
      </c>
      <c r="AE34" s="580">
        <v>4.29</v>
      </c>
      <c r="AF34" s="580">
        <v>0</v>
      </c>
      <c r="AG34" s="580">
        <v>2.1800000000000002</v>
      </c>
      <c r="AH34" s="580">
        <v>3.83</v>
      </c>
      <c r="AI34" s="580">
        <v>0</v>
      </c>
      <c r="AJ34" s="580">
        <v>4.68</v>
      </c>
    </row>
    <row r="35" spans="1:36" s="393" customFormat="1" ht="13.5" customHeight="1">
      <c r="A35" s="1057" t="s">
        <v>848</v>
      </c>
      <c r="B35" s="563">
        <v>-3.63</v>
      </c>
      <c r="C35" s="563">
        <v>-7.0000000000000007E-2</v>
      </c>
      <c r="D35" s="563">
        <v>0</v>
      </c>
      <c r="E35" s="563">
        <v>-3.46</v>
      </c>
      <c r="F35" s="563">
        <v>7.0000000000000007E-2</v>
      </c>
      <c r="G35" s="563">
        <v>-1.41</v>
      </c>
      <c r="H35" s="563">
        <v>-1.37</v>
      </c>
      <c r="I35" s="563">
        <v>-0.08</v>
      </c>
      <c r="J35" s="563">
        <v>-1.89</v>
      </c>
      <c r="K35" s="563">
        <v>-2.36</v>
      </c>
      <c r="L35" s="563">
        <v>-0.96</v>
      </c>
      <c r="M35" s="563">
        <v>1.35</v>
      </c>
      <c r="N35" s="563">
        <v>0</v>
      </c>
      <c r="O35" s="563">
        <v>-0.62</v>
      </c>
      <c r="P35" s="563">
        <v>-0.78</v>
      </c>
      <c r="Q35" s="563">
        <v>-1.84</v>
      </c>
      <c r="R35" s="563">
        <v>-1.3</v>
      </c>
      <c r="S35" s="1057" t="s">
        <v>848</v>
      </c>
      <c r="T35" s="563">
        <v>-1.86</v>
      </c>
      <c r="U35" s="563">
        <v>0</v>
      </c>
      <c r="V35" s="563">
        <v>0</v>
      </c>
      <c r="W35" s="563">
        <v>-1.43</v>
      </c>
      <c r="X35" s="563">
        <v>0</v>
      </c>
      <c r="Y35" s="563">
        <v>-0.05</v>
      </c>
      <c r="Z35" s="563">
        <v>0</v>
      </c>
      <c r="AA35" s="563">
        <v>-1.26</v>
      </c>
      <c r="AB35" s="563">
        <v>-0.97</v>
      </c>
      <c r="AC35" s="563">
        <v>-4.3099999999999996</v>
      </c>
      <c r="AD35" s="563">
        <v>-0.6</v>
      </c>
      <c r="AE35" s="563">
        <v>-0.51</v>
      </c>
      <c r="AF35" s="563">
        <v>0</v>
      </c>
      <c r="AG35" s="563">
        <v>-0.26</v>
      </c>
      <c r="AH35" s="563">
        <v>-0.35</v>
      </c>
      <c r="AI35" s="563">
        <v>0</v>
      </c>
      <c r="AJ35" s="563">
        <v>-1.68</v>
      </c>
    </row>
    <row r="36" spans="1:36" s="393" customFormat="1" ht="13.5" customHeight="1">
      <c r="A36" s="1056" t="s">
        <v>840</v>
      </c>
      <c r="B36" s="580">
        <v>-1.64</v>
      </c>
      <c r="C36" s="580">
        <v>0</v>
      </c>
      <c r="D36" s="580">
        <v>-0.03</v>
      </c>
      <c r="E36" s="580">
        <v>-1.1399999999999999</v>
      </c>
      <c r="F36" s="580">
        <v>0.39</v>
      </c>
      <c r="G36" s="580">
        <v>0.54</v>
      </c>
      <c r="H36" s="580">
        <v>0.62</v>
      </c>
      <c r="I36" s="580">
        <v>-0.25</v>
      </c>
      <c r="J36" s="580">
        <v>-0.37</v>
      </c>
      <c r="K36" s="580">
        <v>-0.27</v>
      </c>
      <c r="L36" s="580">
        <v>-1.1399999999999999</v>
      </c>
      <c r="M36" s="580">
        <v>0.44</v>
      </c>
      <c r="N36" s="580">
        <v>0.1</v>
      </c>
      <c r="O36" s="580">
        <v>1.49</v>
      </c>
      <c r="P36" s="580">
        <v>0.45</v>
      </c>
      <c r="Q36" s="580">
        <v>-0.2</v>
      </c>
      <c r="R36" s="580">
        <v>-0.32</v>
      </c>
      <c r="S36" s="1056" t="s">
        <v>840</v>
      </c>
      <c r="T36" s="580">
        <v>0.08</v>
      </c>
      <c r="U36" s="580">
        <v>0</v>
      </c>
      <c r="V36" s="580">
        <v>-4.2699999999999996</v>
      </c>
      <c r="W36" s="580">
        <v>-0.48</v>
      </c>
      <c r="X36" s="580">
        <v>0</v>
      </c>
      <c r="Y36" s="580">
        <v>-2.44</v>
      </c>
      <c r="Z36" s="580">
        <v>0.01</v>
      </c>
      <c r="AA36" s="580">
        <v>1.52</v>
      </c>
      <c r="AB36" s="580">
        <v>0.95</v>
      </c>
      <c r="AC36" s="580">
        <v>-1.33</v>
      </c>
      <c r="AD36" s="580">
        <v>-0.5</v>
      </c>
      <c r="AE36" s="580">
        <v>-1.85</v>
      </c>
      <c r="AF36" s="580">
        <v>0</v>
      </c>
      <c r="AG36" s="580">
        <v>0.16</v>
      </c>
      <c r="AH36" s="580">
        <v>0.7</v>
      </c>
      <c r="AI36" s="580">
        <v>0</v>
      </c>
      <c r="AJ36" s="580">
        <v>1.21</v>
      </c>
    </row>
    <row r="37" spans="1:36" s="393" customFormat="1" ht="13.5" customHeight="1">
      <c r="A37" s="1057" t="s">
        <v>849</v>
      </c>
      <c r="B37" s="563">
        <v>-1.04</v>
      </c>
      <c r="C37" s="563">
        <v>-0.02</v>
      </c>
      <c r="D37" s="563">
        <v>0.01</v>
      </c>
      <c r="E37" s="563">
        <v>0.74</v>
      </c>
      <c r="F37" s="563">
        <v>-0.55000000000000004</v>
      </c>
      <c r="G37" s="563">
        <v>-1.43</v>
      </c>
      <c r="H37" s="563">
        <v>-1.45</v>
      </c>
      <c r="I37" s="563">
        <v>0</v>
      </c>
      <c r="J37" s="563">
        <v>-2.19</v>
      </c>
      <c r="K37" s="563">
        <v>-0.88</v>
      </c>
      <c r="L37" s="563">
        <v>-10.25</v>
      </c>
      <c r="M37" s="563">
        <v>-2.0099999999999998</v>
      </c>
      <c r="N37" s="563">
        <v>-0.55000000000000004</v>
      </c>
      <c r="O37" s="563">
        <v>-1.31</v>
      </c>
      <c r="P37" s="563">
        <v>0</v>
      </c>
      <c r="Q37" s="563">
        <v>-2.4300000000000002</v>
      </c>
      <c r="R37" s="563">
        <v>-1.76</v>
      </c>
      <c r="S37" s="1057" t="s">
        <v>849</v>
      </c>
      <c r="T37" s="563">
        <v>-1.22</v>
      </c>
      <c r="U37" s="563">
        <v>0</v>
      </c>
      <c r="V37" s="563">
        <v>-0.06</v>
      </c>
      <c r="W37" s="563">
        <v>1.07</v>
      </c>
      <c r="X37" s="563">
        <v>0</v>
      </c>
      <c r="Y37" s="563">
        <v>-7.26</v>
      </c>
      <c r="Z37" s="563">
        <v>-0.01</v>
      </c>
      <c r="AA37" s="563">
        <v>0.11</v>
      </c>
      <c r="AB37" s="563">
        <v>-0.9</v>
      </c>
      <c r="AC37" s="563">
        <v>-3.77</v>
      </c>
      <c r="AD37" s="563">
        <v>-1.28</v>
      </c>
      <c r="AE37" s="563">
        <v>-3.16</v>
      </c>
      <c r="AF37" s="563">
        <v>0</v>
      </c>
      <c r="AG37" s="563">
        <v>-1.0900000000000001</v>
      </c>
      <c r="AH37" s="563">
        <v>-0.83</v>
      </c>
      <c r="AI37" s="563">
        <v>-0.01</v>
      </c>
      <c r="AJ37" s="563">
        <v>-2.11</v>
      </c>
    </row>
    <row r="38" spans="1:36" s="393" customFormat="1" ht="13.5" customHeight="1">
      <c r="A38" s="1056" t="s">
        <v>850</v>
      </c>
      <c r="B38" s="580">
        <v>-0.06</v>
      </c>
      <c r="C38" s="580">
        <v>-0.86</v>
      </c>
      <c r="D38" s="580">
        <v>-0.15</v>
      </c>
      <c r="E38" s="580">
        <v>-0.35</v>
      </c>
      <c r="F38" s="580">
        <v>-1.17</v>
      </c>
      <c r="G38" s="580">
        <v>-3.74</v>
      </c>
      <c r="H38" s="580">
        <v>-3.85</v>
      </c>
      <c r="I38" s="580">
        <v>0</v>
      </c>
      <c r="J38" s="580">
        <v>-1.22</v>
      </c>
      <c r="K38" s="580">
        <v>-0.17</v>
      </c>
      <c r="L38" s="580">
        <v>-0.34</v>
      </c>
      <c r="M38" s="580">
        <v>0.13</v>
      </c>
      <c r="N38" s="580">
        <v>-0.48</v>
      </c>
      <c r="O38" s="580">
        <v>-1.48</v>
      </c>
      <c r="P38" s="580">
        <v>-1.48</v>
      </c>
      <c r="Q38" s="580">
        <v>-1.42</v>
      </c>
      <c r="R38" s="580">
        <v>-1.36</v>
      </c>
      <c r="S38" s="1056" t="s">
        <v>850</v>
      </c>
      <c r="T38" s="580">
        <v>-2.72</v>
      </c>
      <c r="U38" s="580">
        <v>0</v>
      </c>
      <c r="V38" s="580">
        <v>0</v>
      </c>
      <c r="W38" s="580">
        <v>-1.49</v>
      </c>
      <c r="X38" s="580">
        <v>0</v>
      </c>
      <c r="Y38" s="580">
        <v>0.11</v>
      </c>
      <c r="Z38" s="580">
        <v>0</v>
      </c>
      <c r="AA38" s="580">
        <v>-0.75</v>
      </c>
      <c r="AB38" s="580">
        <v>-1.1499999999999999</v>
      </c>
      <c r="AC38" s="580">
        <v>-1.64</v>
      </c>
      <c r="AD38" s="580">
        <v>-0.35</v>
      </c>
      <c r="AE38" s="580">
        <v>-0.13</v>
      </c>
      <c r="AF38" s="580">
        <v>0</v>
      </c>
      <c r="AG38" s="580">
        <v>-1.64</v>
      </c>
      <c r="AH38" s="580">
        <v>-1.47</v>
      </c>
      <c r="AI38" s="580">
        <v>0</v>
      </c>
      <c r="AJ38" s="580">
        <v>-3.54</v>
      </c>
    </row>
    <row r="39" spans="1:36" s="393" customFormat="1" ht="13.5" customHeight="1">
      <c r="A39" s="1057" t="s">
        <v>841</v>
      </c>
      <c r="B39" s="563">
        <v>-2.94</v>
      </c>
      <c r="C39" s="563">
        <v>-0.03</v>
      </c>
      <c r="D39" s="563">
        <v>-0.12</v>
      </c>
      <c r="E39" s="563">
        <v>-2.81</v>
      </c>
      <c r="F39" s="563">
        <v>-3.06</v>
      </c>
      <c r="G39" s="563">
        <v>-0.96</v>
      </c>
      <c r="H39" s="563">
        <v>-0.81</v>
      </c>
      <c r="I39" s="563">
        <v>-0.01</v>
      </c>
      <c r="J39" s="563">
        <v>-2.0299999999999998</v>
      </c>
      <c r="K39" s="563">
        <v>-3.25</v>
      </c>
      <c r="L39" s="563">
        <v>-1.05</v>
      </c>
      <c r="M39" s="563">
        <v>-1.44</v>
      </c>
      <c r="N39" s="563">
        <v>0</v>
      </c>
      <c r="O39" s="563">
        <v>-1.42</v>
      </c>
      <c r="P39" s="563">
        <v>-4.51</v>
      </c>
      <c r="Q39" s="563">
        <v>-1.01</v>
      </c>
      <c r="R39" s="563">
        <v>-3.33</v>
      </c>
      <c r="S39" s="1057" t="s">
        <v>841</v>
      </c>
      <c r="T39" s="563">
        <v>-7.0000000000000007E-2</v>
      </c>
      <c r="U39" s="563">
        <v>0</v>
      </c>
      <c r="V39" s="563">
        <v>-4.9000000000000004</v>
      </c>
      <c r="W39" s="563">
        <v>-1.49</v>
      </c>
      <c r="X39" s="563">
        <v>0</v>
      </c>
      <c r="Y39" s="563">
        <v>-1.55</v>
      </c>
      <c r="Z39" s="563">
        <v>0</v>
      </c>
      <c r="AA39" s="563">
        <v>-3.6</v>
      </c>
      <c r="AB39" s="563">
        <v>-2.09</v>
      </c>
      <c r="AC39" s="563">
        <v>-1.66</v>
      </c>
      <c r="AD39" s="563">
        <v>-0.06</v>
      </c>
      <c r="AE39" s="563">
        <v>-0.83</v>
      </c>
      <c r="AF39" s="563">
        <v>0</v>
      </c>
      <c r="AG39" s="563">
        <v>-0.66</v>
      </c>
      <c r="AH39" s="563">
        <v>-3.5</v>
      </c>
      <c r="AI39" s="563">
        <v>0</v>
      </c>
      <c r="AJ39" s="563">
        <v>-1.61</v>
      </c>
    </row>
    <row r="40" spans="1:36" s="393" customFormat="1" ht="13.5" customHeight="1">
      <c r="A40" s="847" t="s">
        <v>2585</v>
      </c>
      <c r="B40" s="580"/>
      <c r="C40" s="580"/>
      <c r="D40" s="580"/>
      <c r="E40" s="580"/>
      <c r="F40" s="580"/>
      <c r="G40" s="580"/>
      <c r="H40" s="580"/>
      <c r="I40" s="580"/>
      <c r="J40" s="580"/>
      <c r="K40" s="580"/>
      <c r="L40" s="580"/>
      <c r="M40" s="580"/>
      <c r="N40" s="580"/>
      <c r="O40" s="580"/>
      <c r="P40" s="580"/>
      <c r="Q40" s="580"/>
      <c r="R40" s="580"/>
      <c r="S40" s="847" t="s">
        <v>2585</v>
      </c>
      <c r="T40" s="580"/>
      <c r="U40" s="580"/>
      <c r="V40" s="580"/>
      <c r="W40" s="580"/>
      <c r="X40" s="580"/>
      <c r="Y40" s="580"/>
      <c r="Z40" s="580"/>
      <c r="AA40" s="580"/>
      <c r="AB40" s="580"/>
      <c r="AC40" s="580"/>
      <c r="AD40" s="580"/>
      <c r="AE40" s="580"/>
      <c r="AF40" s="580"/>
      <c r="AG40" s="580"/>
      <c r="AH40" s="580"/>
      <c r="AI40" s="580"/>
      <c r="AJ40" s="580"/>
    </row>
    <row r="41" spans="1:36" s="393" customFormat="1" ht="13.5" customHeight="1">
      <c r="A41" s="841" t="s">
        <v>843</v>
      </c>
      <c r="B41" s="563">
        <v>0.71</v>
      </c>
      <c r="C41" s="563">
        <v>-0.03</v>
      </c>
      <c r="D41" s="563">
        <v>0.03</v>
      </c>
      <c r="E41" s="563">
        <v>1.61</v>
      </c>
      <c r="F41" s="563">
        <v>-2.93</v>
      </c>
      <c r="G41" s="563">
        <v>1.25</v>
      </c>
      <c r="H41" s="563">
        <v>1.18</v>
      </c>
      <c r="I41" s="563">
        <v>-0.01</v>
      </c>
      <c r="J41" s="563">
        <v>0.34</v>
      </c>
      <c r="K41" s="563">
        <v>-0.4</v>
      </c>
      <c r="L41" s="563">
        <v>-3.31</v>
      </c>
      <c r="M41" s="563">
        <v>-0.52</v>
      </c>
      <c r="N41" s="563">
        <v>-0.08</v>
      </c>
      <c r="O41" s="563">
        <v>-0.6</v>
      </c>
      <c r="P41" s="563">
        <v>-2.4700000000000002</v>
      </c>
      <c r="Q41" s="563">
        <v>-0.79</v>
      </c>
      <c r="R41" s="563">
        <v>0.99</v>
      </c>
      <c r="S41" s="841" t="s">
        <v>843</v>
      </c>
      <c r="T41" s="563">
        <v>0.66</v>
      </c>
      <c r="U41" s="563">
        <v>0.01</v>
      </c>
      <c r="V41" s="563">
        <v>0.1</v>
      </c>
      <c r="W41" s="563">
        <v>0.26</v>
      </c>
      <c r="X41" s="563">
        <v>0</v>
      </c>
      <c r="Y41" s="563">
        <v>1.4</v>
      </c>
      <c r="Z41" s="563">
        <v>0</v>
      </c>
      <c r="AA41" s="563">
        <v>-0.45</v>
      </c>
      <c r="AB41" s="563">
        <v>0.5</v>
      </c>
      <c r="AC41" s="563">
        <v>2.2999999999999998</v>
      </c>
      <c r="AD41" s="563">
        <v>-0.85</v>
      </c>
      <c r="AE41" s="563">
        <v>0.93</v>
      </c>
      <c r="AF41" s="563">
        <v>0</v>
      </c>
      <c r="AG41" s="563">
        <v>-0.11</v>
      </c>
      <c r="AH41" s="563">
        <v>-0.53</v>
      </c>
      <c r="AI41" s="563">
        <v>0</v>
      </c>
      <c r="AJ41" s="563">
        <v>0.42</v>
      </c>
    </row>
    <row r="42" spans="1:36" s="393" customFormat="1" ht="13.5" customHeight="1">
      <c r="A42" s="846" t="s">
        <v>844</v>
      </c>
      <c r="B42" s="580">
        <v>-1.3</v>
      </c>
      <c r="C42" s="580">
        <v>0</v>
      </c>
      <c r="D42" s="580">
        <v>0.2</v>
      </c>
      <c r="E42" s="580">
        <v>1.02</v>
      </c>
      <c r="F42" s="580">
        <v>0.08</v>
      </c>
      <c r="G42" s="580">
        <v>-0.11</v>
      </c>
      <c r="H42" s="580">
        <v>0.02</v>
      </c>
      <c r="I42" s="580">
        <v>0</v>
      </c>
      <c r="J42" s="580">
        <v>-2.74</v>
      </c>
      <c r="K42" s="580">
        <v>-1.6</v>
      </c>
      <c r="L42" s="580">
        <v>4.88</v>
      </c>
      <c r="M42" s="580">
        <v>-0.54</v>
      </c>
      <c r="N42" s="580">
        <v>0.02</v>
      </c>
      <c r="O42" s="580">
        <v>-1.1399999999999999</v>
      </c>
      <c r="P42" s="580">
        <v>-5.37</v>
      </c>
      <c r="Q42" s="580">
        <v>-2.13</v>
      </c>
      <c r="R42" s="580">
        <v>-1.55</v>
      </c>
      <c r="S42" s="846" t="s">
        <v>844</v>
      </c>
      <c r="T42" s="580">
        <v>-2.36</v>
      </c>
      <c r="U42" s="580">
        <v>-0.01</v>
      </c>
      <c r="V42" s="580">
        <v>-1.1399999999999999</v>
      </c>
      <c r="W42" s="580">
        <v>-0.51</v>
      </c>
      <c r="X42" s="580">
        <v>0</v>
      </c>
      <c r="Y42" s="580">
        <v>-8.5299999999999994</v>
      </c>
      <c r="Z42" s="580">
        <v>-0.01</v>
      </c>
      <c r="AA42" s="580">
        <v>0.91</v>
      </c>
      <c r="AB42" s="580">
        <v>-0.26</v>
      </c>
      <c r="AC42" s="580">
        <v>-4.22</v>
      </c>
      <c r="AD42" s="580">
        <v>-1.1100000000000001</v>
      </c>
      <c r="AE42" s="580">
        <v>1.83</v>
      </c>
      <c r="AF42" s="580">
        <v>0</v>
      </c>
      <c r="AG42" s="580">
        <v>-7.0000000000000007E-2</v>
      </c>
      <c r="AH42" s="580">
        <v>1.79</v>
      </c>
      <c r="AI42" s="580">
        <v>0</v>
      </c>
      <c r="AJ42" s="580">
        <v>-0.81</v>
      </c>
    </row>
    <row r="43" spans="1:36" s="18" customFormat="1" ht="12" customHeight="1">
      <c r="A43" s="841" t="s">
        <v>838</v>
      </c>
      <c r="B43" s="563">
        <v>-1.0900000000000001</v>
      </c>
      <c r="C43" s="563">
        <v>0</v>
      </c>
      <c r="D43" s="563">
        <v>0.05</v>
      </c>
      <c r="E43" s="563">
        <v>-0.02</v>
      </c>
      <c r="F43" s="563">
        <v>-0.99</v>
      </c>
      <c r="G43" s="563">
        <v>-0.89</v>
      </c>
      <c r="H43" s="563">
        <v>-0.85</v>
      </c>
      <c r="I43" s="563">
        <v>0.27</v>
      </c>
      <c r="J43" s="563">
        <v>-2.72</v>
      </c>
      <c r="K43" s="563">
        <v>-1.64</v>
      </c>
      <c r="L43" s="563">
        <v>0</v>
      </c>
      <c r="M43" s="563">
        <v>-1.78</v>
      </c>
      <c r="N43" s="563">
        <v>-0.2</v>
      </c>
      <c r="O43" s="563">
        <v>-0.75</v>
      </c>
      <c r="P43" s="563">
        <v>-1.1299999999999999</v>
      </c>
      <c r="Q43" s="563">
        <v>-3.35</v>
      </c>
      <c r="R43" s="563">
        <v>-1.47</v>
      </c>
      <c r="S43" s="841" t="s">
        <v>838</v>
      </c>
      <c r="T43" s="563">
        <v>2.25</v>
      </c>
      <c r="U43" s="563">
        <v>0</v>
      </c>
      <c r="V43" s="563">
        <v>-0.46</v>
      </c>
      <c r="W43" s="563">
        <v>-0.98</v>
      </c>
      <c r="X43" s="563">
        <v>-0.02</v>
      </c>
      <c r="Y43" s="563">
        <v>3.78</v>
      </c>
      <c r="Z43" s="563">
        <v>0.01</v>
      </c>
      <c r="AA43" s="563">
        <v>-0.08</v>
      </c>
      <c r="AB43" s="563">
        <v>-0.15</v>
      </c>
      <c r="AC43" s="563">
        <v>2.9</v>
      </c>
      <c r="AD43" s="563">
        <v>-4.5199999999999996</v>
      </c>
      <c r="AE43" s="563">
        <v>-1.18</v>
      </c>
      <c r="AF43" s="563">
        <v>0</v>
      </c>
      <c r="AG43" s="563">
        <v>-0.5</v>
      </c>
      <c r="AH43" s="563">
        <v>1.24</v>
      </c>
      <c r="AI43" s="563">
        <v>0</v>
      </c>
      <c r="AJ43" s="563">
        <v>0.03</v>
      </c>
    </row>
    <row r="44" spans="1:36" s="18" customFormat="1" ht="12" customHeight="1">
      <c r="A44" s="846" t="s">
        <v>845</v>
      </c>
      <c r="B44" s="580">
        <v>-1.72</v>
      </c>
      <c r="C44" s="580">
        <v>-0.12</v>
      </c>
      <c r="D44" s="580">
        <v>0.01</v>
      </c>
      <c r="E44" s="580">
        <v>-1.53</v>
      </c>
      <c r="F44" s="580">
        <v>-1.23</v>
      </c>
      <c r="G44" s="580">
        <v>-2.29</v>
      </c>
      <c r="H44" s="580">
        <v>-2.2799999999999998</v>
      </c>
      <c r="I44" s="580">
        <v>-0.2</v>
      </c>
      <c r="J44" s="580">
        <v>-1.59</v>
      </c>
      <c r="K44" s="580">
        <v>-2.09</v>
      </c>
      <c r="L44" s="580">
        <v>0</v>
      </c>
      <c r="M44" s="580">
        <v>0.53</v>
      </c>
      <c r="N44" s="580">
        <v>-0.2</v>
      </c>
      <c r="O44" s="580">
        <v>-1.05</v>
      </c>
      <c r="P44" s="580">
        <v>-3.15</v>
      </c>
      <c r="Q44" s="580">
        <v>-1.18</v>
      </c>
      <c r="R44" s="580">
        <v>-0.97</v>
      </c>
      <c r="S44" s="846" t="s">
        <v>845</v>
      </c>
      <c r="T44" s="580">
        <v>-3.17</v>
      </c>
      <c r="U44" s="580">
        <v>0.03</v>
      </c>
      <c r="V44" s="580">
        <v>-7.55</v>
      </c>
      <c r="W44" s="580">
        <v>0.85</v>
      </c>
      <c r="X44" s="580">
        <v>0.03</v>
      </c>
      <c r="Y44" s="580">
        <v>-0.02</v>
      </c>
      <c r="Z44" s="580">
        <v>-0.02</v>
      </c>
      <c r="AA44" s="580">
        <v>-2.6</v>
      </c>
      <c r="AB44" s="580">
        <v>-1.33</v>
      </c>
      <c r="AC44" s="580">
        <v>-3.15</v>
      </c>
      <c r="AD44" s="580">
        <v>-3.04</v>
      </c>
      <c r="AE44" s="580">
        <v>-2.29</v>
      </c>
      <c r="AF44" s="580">
        <v>0</v>
      </c>
      <c r="AG44" s="580">
        <v>-0.94</v>
      </c>
      <c r="AH44" s="580">
        <v>-2.8</v>
      </c>
      <c r="AI44" s="580">
        <v>0</v>
      </c>
      <c r="AJ44" s="580">
        <v>-2.4900000000000002</v>
      </c>
    </row>
    <row r="45" spans="1:36" s="18" customFormat="1" ht="12" customHeight="1" thickBot="1">
      <c r="A45" s="1475" t="s">
        <v>846</v>
      </c>
      <c r="B45" s="1658">
        <v>3</v>
      </c>
      <c r="C45" s="1658">
        <v>-0.06</v>
      </c>
      <c r="D45" s="1658">
        <v>0</v>
      </c>
      <c r="E45" s="1658">
        <v>-1.33</v>
      </c>
      <c r="F45" s="1658">
        <v>0.42</v>
      </c>
      <c r="G45" s="1658">
        <v>0.41</v>
      </c>
      <c r="H45" s="1658">
        <v>0.43</v>
      </c>
      <c r="I45" s="1658">
        <v>0.28000000000000003</v>
      </c>
      <c r="J45" s="1658">
        <v>5.59</v>
      </c>
      <c r="K45" s="1658">
        <v>6.03</v>
      </c>
      <c r="L45" s="1658">
        <v>0</v>
      </c>
      <c r="M45" s="1658">
        <v>-0.34</v>
      </c>
      <c r="N45" s="1658">
        <v>-0.16</v>
      </c>
      <c r="O45" s="1658">
        <v>-0.18</v>
      </c>
      <c r="P45" s="1658">
        <v>1.1299999999999999</v>
      </c>
      <c r="Q45" s="1658">
        <v>3.65</v>
      </c>
      <c r="R45" s="1658">
        <v>4.6399999999999997</v>
      </c>
      <c r="S45" s="1475" t="s">
        <v>846</v>
      </c>
      <c r="T45" s="1658">
        <v>-1.43</v>
      </c>
      <c r="U45" s="1658">
        <v>-0.03</v>
      </c>
      <c r="V45" s="1658">
        <v>-0.59</v>
      </c>
      <c r="W45" s="1658">
        <v>2.2200000000000002</v>
      </c>
      <c r="X45" s="1658">
        <v>-0.02</v>
      </c>
      <c r="Y45" s="1658">
        <v>-2.13</v>
      </c>
      <c r="Z45" s="1658">
        <v>-0.03</v>
      </c>
      <c r="AA45" s="1658">
        <v>1.78</v>
      </c>
      <c r="AB45" s="1658">
        <v>1.08</v>
      </c>
      <c r="AC45" s="1658">
        <v>1.63</v>
      </c>
      <c r="AD45" s="1658">
        <v>-2.89</v>
      </c>
      <c r="AE45" s="1658">
        <v>0.93</v>
      </c>
      <c r="AF45" s="1658">
        <v>0</v>
      </c>
      <c r="AG45" s="1658">
        <v>-0.18</v>
      </c>
      <c r="AH45" s="1658">
        <v>1.1200000000000001</v>
      </c>
      <c r="AI45" s="1658">
        <v>0</v>
      </c>
      <c r="AJ45" s="1658">
        <v>0.69</v>
      </c>
    </row>
    <row r="46" spans="1:36" s="18" customFormat="1" ht="12" customHeight="1">
      <c r="A46" s="312" t="s">
        <v>897</v>
      </c>
      <c r="B46" s="2187" t="s">
        <v>2302</v>
      </c>
      <c r="C46" s="2187"/>
      <c r="D46" s="2187"/>
      <c r="E46" s="2187"/>
      <c r="F46" s="2187"/>
      <c r="G46" s="2187"/>
      <c r="H46" s="313"/>
      <c r="I46" s="315" t="s">
        <v>465</v>
      </c>
      <c r="J46" s="313" t="s">
        <v>2188</v>
      </c>
      <c r="S46" s="315" t="s">
        <v>465</v>
      </c>
      <c r="T46" s="313" t="s">
        <v>2188</v>
      </c>
    </row>
    <row r="47" spans="1:36">
      <c r="A47" s="18"/>
      <c r="B47" s="1128"/>
      <c r="C47" s="1128"/>
      <c r="D47" s="1128"/>
      <c r="E47" s="1128"/>
      <c r="F47" s="1128"/>
      <c r="G47" s="1128"/>
      <c r="H47" s="112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</row>
    <row r="50" spans="2:36">
      <c r="K50" s="848"/>
    </row>
    <row r="51" spans="2:36"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</row>
    <row r="52" spans="2:36"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</row>
    <row r="53" spans="2:36" ht="10.9" customHeight="1"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</row>
    <row r="54" spans="2:36"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</row>
    <row r="55" spans="2:36"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</row>
    <row r="56" spans="2:36"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</row>
    <row r="57" spans="2:36"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</row>
    <row r="58" spans="2:36"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</row>
    <row r="59" spans="2:36"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</row>
    <row r="60" spans="2:36"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</row>
    <row r="61" spans="2:36"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</row>
    <row r="62" spans="2:36"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</row>
    <row r="63" spans="2:36"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</row>
    <row r="64" spans="2:36"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</row>
    <row r="65" spans="2:36"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</row>
    <row r="66" spans="2:36"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</row>
    <row r="67" spans="2:36"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</row>
    <row r="68" spans="2:36"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</row>
    <row r="69" spans="2:36"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</row>
    <row r="70" spans="2:36"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</row>
    <row r="71" spans="2:36"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</row>
    <row r="72" spans="2:36"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</row>
    <row r="73" spans="2:36"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</row>
  </sheetData>
  <mergeCells count="9">
    <mergeCell ref="B46:G46"/>
    <mergeCell ref="AI2:AJ2"/>
    <mergeCell ref="AH1:AJ1"/>
    <mergeCell ref="A1:H1"/>
    <mergeCell ref="I1:N1"/>
    <mergeCell ref="P1:R1"/>
    <mergeCell ref="Q2:R2"/>
    <mergeCell ref="AB1:AF1"/>
    <mergeCell ref="S1:AA1"/>
  </mergeCells>
  <phoneticPr fontId="46" type="noConversion"/>
  <pageMargins left="0.62992125984252001" right="0.511811023622047" top="0.511811023622047" bottom="0.511811023622047" header="0" footer="0.143700787"/>
  <pageSetup paperSize="141" firstPageNumber="96" orientation="portrait" useFirstPageNumber="1" r:id="rId1"/>
  <headerFooter>
    <oddFooter>&amp;C&amp;"Times New Roman,Regular"&amp;8&amp;P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5"/>
  <dimension ref="A1:X76"/>
  <sheetViews>
    <sheetView zoomScale="150" zoomScaleNormal="150" workbookViewId="0">
      <pane xSplit="1" ySplit="4" topLeftCell="B41" activePane="bottomRight" state="frozen"/>
      <selection pane="topRight" activeCell="B1" sqref="B1"/>
      <selection pane="bottomLeft" activeCell="A6" sqref="A6"/>
      <selection pane="bottomRight" activeCell="G63" sqref="G63"/>
    </sheetView>
  </sheetViews>
  <sheetFormatPr defaultColWidth="9.140625" defaultRowHeight="11.25"/>
  <cols>
    <col min="1" max="1" width="7.85546875" style="23" customWidth="1"/>
    <col min="2" max="2" width="8.5703125" style="10" customWidth="1"/>
    <col min="3" max="3" width="7.7109375" style="10" customWidth="1"/>
    <col min="4" max="4" width="7" style="10" customWidth="1"/>
    <col min="5" max="5" width="7.42578125" style="10" customWidth="1"/>
    <col min="6" max="6" width="5.85546875" style="10" customWidth="1"/>
    <col min="7" max="7" width="8.5703125" style="10" customWidth="1"/>
    <col min="8" max="8" width="9.28515625" style="10" customWidth="1"/>
    <col min="9" max="9" width="7.42578125" style="10" customWidth="1"/>
    <col min="10" max="10" width="8.7109375" style="10" customWidth="1"/>
    <col min="11" max="11" width="6.85546875" style="10" customWidth="1"/>
    <col min="12" max="12" width="6.42578125" style="10" customWidth="1"/>
    <col min="13" max="13" width="8.5703125" style="10" customWidth="1"/>
    <col min="14" max="14" width="7" style="10" customWidth="1"/>
    <col min="15" max="15" width="7.140625" style="10" customWidth="1"/>
    <col min="16" max="16" width="6.5703125" style="10" customWidth="1"/>
    <col min="17" max="17" width="7.42578125" style="10" customWidth="1"/>
    <col min="18" max="18" width="9" style="10" customWidth="1"/>
    <col min="19" max="19" width="6.140625" style="10" customWidth="1"/>
    <col min="20" max="21" width="6.7109375" style="10" customWidth="1"/>
    <col min="22" max="16384" width="9.140625" style="10"/>
  </cols>
  <sheetData>
    <row r="1" spans="1:22" s="32" customFormat="1" ht="20.45" customHeight="1">
      <c r="A1" s="2191" t="s">
        <v>898</v>
      </c>
      <c r="B1" s="2191"/>
      <c r="C1" s="2191"/>
      <c r="D1" s="2191"/>
      <c r="E1" s="2191"/>
      <c r="F1" s="2191"/>
      <c r="G1" s="2191"/>
      <c r="H1" s="2191"/>
      <c r="I1" s="2191"/>
      <c r="J1" s="2191"/>
      <c r="K1" s="1996" t="s">
        <v>554</v>
      </c>
      <c r="L1" s="2192"/>
      <c r="M1" s="2192"/>
      <c r="N1" s="2192"/>
      <c r="O1" s="2192"/>
      <c r="P1" s="2192"/>
      <c r="Q1" s="2192"/>
      <c r="R1" s="2192"/>
      <c r="S1" s="1994" t="s">
        <v>1867</v>
      </c>
      <c r="T1" s="1994"/>
      <c r="U1" s="1994"/>
    </row>
    <row r="2" spans="1:22" s="161" customFormat="1" ht="30" customHeight="1">
      <c r="A2" s="83" t="s">
        <v>887</v>
      </c>
      <c r="B2" s="83" t="s">
        <v>557</v>
      </c>
      <c r="C2" s="297" t="s">
        <v>1260</v>
      </c>
      <c r="D2" s="83" t="s">
        <v>1836</v>
      </c>
      <c r="E2" s="2194" t="s">
        <v>1700</v>
      </c>
      <c r="F2" s="2195"/>
      <c r="G2" s="83" t="s">
        <v>556</v>
      </c>
      <c r="H2" s="83" t="s">
        <v>1714</v>
      </c>
      <c r="I2" s="90" t="s">
        <v>1697</v>
      </c>
      <c r="J2" s="83" t="s">
        <v>1713</v>
      </c>
      <c r="K2" s="83" t="s">
        <v>1699</v>
      </c>
      <c r="L2" s="2197" t="s">
        <v>2150</v>
      </c>
      <c r="M2" s="2198"/>
      <c r="N2" s="2199"/>
      <c r="O2" s="2194" t="s">
        <v>2149</v>
      </c>
      <c r="P2" s="2195"/>
      <c r="Q2" s="83" t="s">
        <v>1231</v>
      </c>
      <c r="R2" s="83" t="s">
        <v>310</v>
      </c>
      <c r="S2" s="2193" t="s">
        <v>1698</v>
      </c>
      <c r="T2" s="2193"/>
      <c r="U2" s="2193"/>
      <c r="V2" s="188"/>
    </row>
    <row r="3" spans="1:22" s="1081" customFormat="1" ht="35.1" customHeight="1">
      <c r="A3" s="1078" t="s">
        <v>888</v>
      </c>
      <c r="B3" s="1078" t="s">
        <v>889</v>
      </c>
      <c r="C3" s="1078" t="s">
        <v>819</v>
      </c>
      <c r="D3" s="1087" t="s">
        <v>1837</v>
      </c>
      <c r="E3" s="1078" t="s">
        <v>899</v>
      </c>
      <c r="F3" s="1078" t="s">
        <v>900</v>
      </c>
      <c r="G3" s="1078" t="s">
        <v>577</v>
      </c>
      <c r="H3" s="1078" t="s">
        <v>901</v>
      </c>
      <c r="I3" s="1088" t="s">
        <v>820</v>
      </c>
      <c r="J3" s="1079" t="s">
        <v>912</v>
      </c>
      <c r="K3" s="1079" t="s">
        <v>913</v>
      </c>
      <c r="L3" s="1079" t="s">
        <v>914</v>
      </c>
      <c r="M3" s="1079" t="s">
        <v>2148</v>
      </c>
      <c r="N3" s="1079" t="s">
        <v>821</v>
      </c>
      <c r="O3" s="1079" t="s">
        <v>902</v>
      </c>
      <c r="P3" s="1079" t="s">
        <v>797</v>
      </c>
      <c r="Q3" s="1079" t="s">
        <v>65</v>
      </c>
      <c r="R3" s="1079" t="s">
        <v>903</v>
      </c>
      <c r="S3" s="1079" t="s">
        <v>915</v>
      </c>
      <c r="T3" s="1079" t="s">
        <v>916</v>
      </c>
      <c r="U3" s="1079" t="s">
        <v>917</v>
      </c>
      <c r="V3" s="1080"/>
    </row>
    <row r="4" spans="1:22" s="161" customFormat="1" ht="11.1" customHeight="1">
      <c r="A4" s="189" t="s">
        <v>764</v>
      </c>
      <c r="B4" s="189">
        <v>1</v>
      </c>
      <c r="C4" s="189">
        <v>2</v>
      </c>
      <c r="D4" s="189">
        <v>3</v>
      </c>
      <c r="E4" s="189">
        <v>4</v>
      </c>
      <c r="F4" s="189">
        <v>5</v>
      </c>
      <c r="G4" s="189">
        <v>6</v>
      </c>
      <c r="H4" s="189">
        <v>7</v>
      </c>
      <c r="I4" s="189">
        <v>8</v>
      </c>
      <c r="J4" s="189">
        <v>9</v>
      </c>
      <c r="K4" s="189">
        <v>10</v>
      </c>
      <c r="L4" s="189">
        <v>11</v>
      </c>
      <c r="M4" s="189">
        <v>12</v>
      </c>
      <c r="N4" s="189">
        <v>13</v>
      </c>
      <c r="O4" s="189">
        <v>14</v>
      </c>
      <c r="P4" s="189">
        <v>15</v>
      </c>
      <c r="Q4" s="189">
        <v>16</v>
      </c>
      <c r="R4" s="189">
        <v>17</v>
      </c>
      <c r="S4" s="189">
        <v>18</v>
      </c>
      <c r="T4" s="189">
        <v>19</v>
      </c>
      <c r="U4" s="189">
        <v>20</v>
      </c>
      <c r="V4" s="190"/>
    </row>
    <row r="5" spans="1:22" s="254" customFormat="1" ht="11.45" customHeight="1">
      <c r="A5" s="362">
        <v>2002</v>
      </c>
      <c r="B5" s="20">
        <v>310.03500000000003</v>
      </c>
      <c r="C5" s="20">
        <v>27.06</v>
      </c>
      <c r="D5" s="20">
        <v>12.68</v>
      </c>
      <c r="E5" s="20">
        <v>23.734200000000001</v>
      </c>
      <c r="F5" s="20">
        <v>24.9983</v>
      </c>
      <c r="G5" s="20">
        <v>46.260800000000003</v>
      </c>
      <c r="H5" s="20">
        <v>133.06700000000001</v>
      </c>
      <c r="I5" s="20">
        <v>94.361699999999999</v>
      </c>
      <c r="J5" s="20">
        <v>191.827</v>
      </c>
      <c r="K5" s="20">
        <v>222.398</v>
      </c>
      <c r="L5" s="20">
        <v>152.78299999999999</v>
      </c>
      <c r="M5" s="20">
        <v>132.167</v>
      </c>
      <c r="N5" s="20">
        <v>121.22</v>
      </c>
      <c r="O5" s="20">
        <v>356.745</v>
      </c>
      <c r="P5" s="20">
        <v>359.661</v>
      </c>
      <c r="Q5" s="20">
        <v>183.917</v>
      </c>
      <c r="R5" s="20">
        <v>409.84199999999998</v>
      </c>
      <c r="S5" s="20">
        <v>24.978300000000001</v>
      </c>
      <c r="T5" s="20">
        <v>6.2366700000000002</v>
      </c>
      <c r="U5" s="20">
        <v>20.940799999999999</v>
      </c>
      <c r="V5" s="726"/>
    </row>
    <row r="6" spans="1:22" ht="11.45" customHeight="1">
      <c r="A6" s="459">
        <v>2003</v>
      </c>
      <c r="B6" s="480">
        <v>363.50900000000001</v>
      </c>
      <c r="C6" s="480">
        <v>27.9542</v>
      </c>
      <c r="D6" s="480">
        <v>13.82</v>
      </c>
      <c r="E6" s="480">
        <v>26.7333</v>
      </c>
      <c r="F6" s="480">
        <v>28.852499999999999</v>
      </c>
      <c r="G6" s="480">
        <v>63.4437</v>
      </c>
      <c r="H6" s="480">
        <v>149.333</v>
      </c>
      <c r="I6" s="480">
        <v>138.89599999999999</v>
      </c>
      <c r="J6" s="480">
        <v>199.46100000000001</v>
      </c>
      <c r="K6" s="480">
        <v>248.75399999999999</v>
      </c>
      <c r="L6" s="480">
        <v>165.548</v>
      </c>
      <c r="M6" s="480">
        <v>131.571</v>
      </c>
      <c r="N6" s="480">
        <v>152.44999999999999</v>
      </c>
      <c r="O6" s="480">
        <v>410.37299999999999</v>
      </c>
      <c r="P6" s="480">
        <v>425.53800000000001</v>
      </c>
      <c r="Q6" s="480">
        <v>214.65600000000001</v>
      </c>
      <c r="R6" s="480">
        <v>500.28300000000002</v>
      </c>
      <c r="S6" s="480">
        <v>27.1768</v>
      </c>
      <c r="T6" s="480">
        <v>6.9257099999999996</v>
      </c>
      <c r="U6" s="480">
        <v>21.4998</v>
      </c>
      <c r="V6" s="120"/>
    </row>
    <row r="7" spans="1:22" s="254" customFormat="1" ht="11.45" customHeight="1">
      <c r="A7" s="362">
        <v>2004</v>
      </c>
      <c r="B7" s="20">
        <v>409.21199999999999</v>
      </c>
      <c r="C7" s="20">
        <v>56.729900000000001</v>
      </c>
      <c r="D7" s="20">
        <v>16.39</v>
      </c>
      <c r="E7" s="20">
        <v>33.455800000000004</v>
      </c>
      <c r="F7" s="20">
        <v>38.297499999999999</v>
      </c>
      <c r="G7" s="20">
        <v>62.006</v>
      </c>
      <c r="H7" s="20">
        <v>186.31200000000001</v>
      </c>
      <c r="I7" s="20">
        <v>175.292</v>
      </c>
      <c r="J7" s="20">
        <v>245.78299999999999</v>
      </c>
      <c r="K7" s="20">
        <v>269.95499999999998</v>
      </c>
      <c r="L7" s="20">
        <v>167.05</v>
      </c>
      <c r="M7" s="20">
        <v>133.45599999999999</v>
      </c>
      <c r="N7" s="20">
        <v>139.5</v>
      </c>
      <c r="O7" s="20">
        <v>434.72300000000001</v>
      </c>
      <c r="P7" s="20">
        <v>448.73899999999998</v>
      </c>
      <c r="Q7" s="20">
        <v>257.20499999999998</v>
      </c>
      <c r="R7" s="20">
        <v>590.452</v>
      </c>
      <c r="S7" s="20">
        <v>30.459700000000002</v>
      </c>
      <c r="T7" s="20">
        <v>7.5450999999999997</v>
      </c>
      <c r="U7" s="20">
        <v>20.571100000000001</v>
      </c>
      <c r="V7" s="726"/>
    </row>
    <row r="8" spans="1:22" ht="11.45" customHeight="1">
      <c r="A8" s="459">
        <v>2005</v>
      </c>
      <c r="B8" s="480">
        <v>444.84300000000002</v>
      </c>
      <c r="C8" s="480">
        <v>51.022399999999998</v>
      </c>
      <c r="D8" s="480">
        <v>28.11</v>
      </c>
      <c r="E8" s="480">
        <v>49.201700000000002</v>
      </c>
      <c r="F8" s="480">
        <v>54.434199999999997</v>
      </c>
      <c r="G8" s="480">
        <v>55.168300000000002</v>
      </c>
      <c r="H8" s="480">
        <v>201.47900000000001</v>
      </c>
      <c r="I8" s="480">
        <v>219.01900000000001</v>
      </c>
      <c r="J8" s="480">
        <v>287.81099999999998</v>
      </c>
      <c r="K8" s="480">
        <v>308.45100000000002</v>
      </c>
      <c r="L8" s="480">
        <v>163.43100000000001</v>
      </c>
      <c r="M8" s="480">
        <v>129.886</v>
      </c>
      <c r="N8" s="480">
        <v>121.4</v>
      </c>
      <c r="O8" s="480">
        <v>367.68700000000001</v>
      </c>
      <c r="P8" s="480">
        <v>390.75200000000001</v>
      </c>
      <c r="Q8" s="480">
        <v>205.762</v>
      </c>
      <c r="R8" s="480">
        <v>495.74700000000001</v>
      </c>
      <c r="S8" s="480">
        <v>30.2624</v>
      </c>
      <c r="T8" s="480">
        <v>10.0702</v>
      </c>
      <c r="U8" s="480">
        <v>21.0684</v>
      </c>
      <c r="V8" s="120"/>
    </row>
    <row r="9" spans="1:22" s="254" customFormat="1" ht="11.45" customHeight="1">
      <c r="A9" s="362">
        <v>2006</v>
      </c>
      <c r="B9" s="20">
        <v>604.33600000000001</v>
      </c>
      <c r="C9" s="20">
        <v>52.595999999999997</v>
      </c>
      <c r="D9" s="20">
        <v>33.450000000000003</v>
      </c>
      <c r="E9" s="20">
        <v>61.431699999999999</v>
      </c>
      <c r="F9" s="20">
        <v>65.39</v>
      </c>
      <c r="G9" s="20">
        <v>58.052500000000002</v>
      </c>
      <c r="H9" s="20">
        <v>201.63300000000001</v>
      </c>
      <c r="I9" s="20">
        <v>222.95400000000001</v>
      </c>
      <c r="J9" s="20">
        <v>303.51499999999999</v>
      </c>
      <c r="K9" s="20">
        <v>345.83100000000002</v>
      </c>
      <c r="L9" s="20">
        <v>169.399</v>
      </c>
      <c r="M9" s="20">
        <v>168.566</v>
      </c>
      <c r="N9" s="20">
        <v>153.30000000000001</v>
      </c>
      <c r="O9" s="20">
        <v>416.81400000000002</v>
      </c>
      <c r="P9" s="20">
        <v>425.46100000000001</v>
      </c>
      <c r="Q9" s="20">
        <v>193.97499999999999</v>
      </c>
      <c r="R9" s="20">
        <v>551.49599999999998</v>
      </c>
      <c r="S9" s="20">
        <v>30.639700000000001</v>
      </c>
      <c r="T9" s="20">
        <v>14.788500000000001</v>
      </c>
      <c r="U9" s="20">
        <v>22.119499999999999</v>
      </c>
      <c r="V9" s="726"/>
    </row>
    <row r="10" spans="1:22" ht="11.45" customHeight="1">
      <c r="A10" s="459">
        <v>2007</v>
      </c>
      <c r="B10" s="480">
        <v>696.72</v>
      </c>
      <c r="C10" s="480">
        <v>70.428299999999993</v>
      </c>
      <c r="D10" s="480">
        <v>36.630000000000003</v>
      </c>
      <c r="E10" s="480">
        <v>68.368300000000005</v>
      </c>
      <c r="F10" s="480">
        <v>72.712500000000006</v>
      </c>
      <c r="G10" s="480">
        <v>63.283700000000003</v>
      </c>
      <c r="H10" s="480">
        <v>339.05399999999997</v>
      </c>
      <c r="I10" s="480">
        <v>309.39999999999998</v>
      </c>
      <c r="J10" s="480">
        <v>332.39299999999997</v>
      </c>
      <c r="K10" s="480">
        <v>375.70800000000003</v>
      </c>
      <c r="L10" s="480">
        <v>243.411</v>
      </c>
      <c r="M10" s="480">
        <v>226.88499999999999</v>
      </c>
      <c r="N10" s="480">
        <v>209.6</v>
      </c>
      <c r="O10" s="480">
        <v>719.12199999999996</v>
      </c>
      <c r="P10" s="480">
        <v>694.65099999999995</v>
      </c>
      <c r="Q10" s="480">
        <v>263.673</v>
      </c>
      <c r="R10" s="480">
        <v>799.74199999999996</v>
      </c>
      <c r="S10" s="480">
        <v>33.284399999999998</v>
      </c>
      <c r="T10" s="480">
        <v>9.9566400000000002</v>
      </c>
      <c r="U10" s="480">
        <v>20.763200000000001</v>
      </c>
      <c r="V10" s="120"/>
    </row>
    <row r="11" spans="1:22" s="254" customFormat="1" ht="11.45" customHeight="1">
      <c r="A11" s="362">
        <v>2008</v>
      </c>
      <c r="B11" s="20">
        <v>871.70699999999999</v>
      </c>
      <c r="C11" s="20">
        <v>136.18299999999999</v>
      </c>
      <c r="D11" s="20">
        <v>61.565199999999997</v>
      </c>
      <c r="E11" s="20">
        <v>93.776700000000005</v>
      </c>
      <c r="F11" s="20">
        <v>97.66</v>
      </c>
      <c r="G11" s="20">
        <v>71.399900000000002</v>
      </c>
      <c r="H11" s="20">
        <v>879.38099999999997</v>
      </c>
      <c r="I11" s="20">
        <v>492.72500000000002</v>
      </c>
      <c r="J11" s="20">
        <v>700.2</v>
      </c>
      <c r="K11" s="20">
        <v>597.11800000000005</v>
      </c>
      <c r="L11" s="20">
        <v>383.31099999999998</v>
      </c>
      <c r="M11" s="20">
        <v>286.952</v>
      </c>
      <c r="N11" s="20">
        <v>289.39999999999998</v>
      </c>
      <c r="O11" s="20">
        <v>862.91800000000001</v>
      </c>
      <c r="P11" s="20">
        <v>924.9</v>
      </c>
      <c r="Q11" s="20">
        <v>367.93799999999999</v>
      </c>
      <c r="R11" s="20">
        <v>1133.79</v>
      </c>
      <c r="S11" s="20">
        <v>30.816099999999999</v>
      </c>
      <c r="T11" s="20">
        <v>12.452199999999999</v>
      </c>
      <c r="U11" s="20">
        <v>21.323399999999999</v>
      </c>
      <c r="V11" s="726"/>
    </row>
    <row r="12" spans="1:22" s="24" customFormat="1" ht="11.45" customHeight="1">
      <c r="A12" s="1149">
        <v>2009</v>
      </c>
      <c r="B12" s="479">
        <v>972.96600000000001</v>
      </c>
      <c r="C12" s="479">
        <v>76.975899999999996</v>
      </c>
      <c r="D12" s="479">
        <v>79.993899999999996</v>
      </c>
      <c r="E12" s="479">
        <v>61.754899999999999</v>
      </c>
      <c r="F12" s="479">
        <v>61.860599999999998</v>
      </c>
      <c r="G12" s="479">
        <v>62.752000000000002</v>
      </c>
      <c r="H12" s="479">
        <v>257.41699999999997</v>
      </c>
      <c r="I12" s="479">
        <v>249.57400000000001</v>
      </c>
      <c r="J12" s="479">
        <v>589.37599999999998</v>
      </c>
      <c r="K12" s="479">
        <v>582.69000000000005</v>
      </c>
      <c r="L12" s="479">
        <v>246.96899999999999</v>
      </c>
      <c r="M12" s="479">
        <v>190.11199999999999</v>
      </c>
      <c r="N12" s="479">
        <v>200.2</v>
      </c>
      <c r="O12" s="479">
        <v>644.06799999999998</v>
      </c>
      <c r="P12" s="479">
        <v>634.09199999999998</v>
      </c>
      <c r="Q12" s="479">
        <v>359.27</v>
      </c>
      <c r="R12" s="479">
        <v>787.02</v>
      </c>
      <c r="S12" s="479">
        <v>26.014600000000002</v>
      </c>
      <c r="T12" s="479">
        <v>18.150400000000001</v>
      </c>
      <c r="U12" s="479">
        <v>24.335699999999999</v>
      </c>
      <c r="V12" s="335"/>
    </row>
    <row r="13" spans="1:22" s="254" customFormat="1" ht="11.45" customHeight="1">
      <c r="A13" s="362">
        <v>2010</v>
      </c>
      <c r="B13" s="40">
        <v>1224.6600000000001</v>
      </c>
      <c r="C13" s="40">
        <v>106.035</v>
      </c>
      <c r="D13" s="40">
        <v>146.72</v>
      </c>
      <c r="E13" s="40">
        <v>78.057900000000004</v>
      </c>
      <c r="F13" s="40">
        <v>79.631500000000003</v>
      </c>
      <c r="G13" s="40">
        <v>103.545</v>
      </c>
      <c r="H13" s="40">
        <v>381.89</v>
      </c>
      <c r="I13" s="40">
        <v>288.59199999999998</v>
      </c>
      <c r="J13" s="40">
        <v>520.55600000000004</v>
      </c>
      <c r="K13" s="40">
        <v>593.779</v>
      </c>
      <c r="L13" s="40">
        <v>241.82900000000001</v>
      </c>
      <c r="M13" s="40">
        <v>194.5</v>
      </c>
      <c r="N13" s="40">
        <v>233.5</v>
      </c>
      <c r="O13" s="40">
        <v>859.94200000000001</v>
      </c>
      <c r="P13" s="40">
        <v>819.53099999999995</v>
      </c>
      <c r="Q13" s="40">
        <v>331.31700000000001</v>
      </c>
      <c r="R13" s="40">
        <v>924.82799999999997</v>
      </c>
      <c r="S13" s="40">
        <v>25.712800000000001</v>
      </c>
      <c r="T13" s="40">
        <v>20.890899999999998</v>
      </c>
      <c r="U13" s="40">
        <v>31.051200000000001</v>
      </c>
      <c r="V13" s="381"/>
    </row>
    <row r="14" spans="1:22" s="254" customFormat="1" ht="11.45" customHeight="1">
      <c r="A14" s="459">
        <v>2011</v>
      </c>
      <c r="B14" s="445">
        <v>1569.21</v>
      </c>
      <c r="C14" s="445">
        <v>130.12299999999999</v>
      </c>
      <c r="D14" s="445">
        <v>167.79</v>
      </c>
      <c r="E14" s="445">
        <v>106.027</v>
      </c>
      <c r="F14" s="445">
        <v>110.952</v>
      </c>
      <c r="G14" s="445">
        <v>154.608</v>
      </c>
      <c r="H14" s="445">
        <v>538.26</v>
      </c>
      <c r="I14" s="445">
        <v>420.96</v>
      </c>
      <c r="J14" s="445">
        <v>551.71100000000001</v>
      </c>
      <c r="K14" s="445">
        <v>593.49199999999996</v>
      </c>
      <c r="L14" s="445">
        <v>317.43599999999998</v>
      </c>
      <c r="M14" s="445">
        <v>279.98899999999998</v>
      </c>
      <c r="N14" s="445">
        <v>304.8</v>
      </c>
      <c r="O14" s="445">
        <v>1076.5</v>
      </c>
      <c r="P14" s="445">
        <v>1068.3699999999999</v>
      </c>
      <c r="Q14" s="445">
        <v>378.86099999999999</v>
      </c>
      <c r="R14" s="445">
        <v>1215.82</v>
      </c>
      <c r="S14" s="445">
        <v>26.665199999999999</v>
      </c>
      <c r="T14" s="445">
        <v>26.235600000000002</v>
      </c>
      <c r="U14" s="445">
        <v>37.572499999999998</v>
      </c>
      <c r="V14" s="381"/>
    </row>
    <row r="15" spans="1:22" s="254" customFormat="1" ht="11.45" customHeight="1">
      <c r="A15" s="362">
        <v>2012</v>
      </c>
      <c r="B15" s="40">
        <v>1669.52</v>
      </c>
      <c r="C15" s="40">
        <v>103.247</v>
      </c>
      <c r="D15" s="40">
        <v>128.52600000000001</v>
      </c>
      <c r="E15" s="40">
        <v>108.919</v>
      </c>
      <c r="F15" s="40">
        <v>111.96</v>
      </c>
      <c r="G15" s="40">
        <v>89.241</v>
      </c>
      <c r="H15" s="40">
        <v>462</v>
      </c>
      <c r="I15" s="40">
        <v>405.40199999999999</v>
      </c>
      <c r="J15" s="40">
        <v>580.23599999999999</v>
      </c>
      <c r="K15" s="40">
        <v>683.029</v>
      </c>
      <c r="L15" s="40">
        <v>287.19799999999998</v>
      </c>
      <c r="M15" s="40">
        <v>276.12200000000001</v>
      </c>
      <c r="N15" s="40">
        <v>248.5</v>
      </c>
      <c r="O15" s="40">
        <v>939.83399999999995</v>
      </c>
      <c r="P15" s="40">
        <v>960.327</v>
      </c>
      <c r="Q15" s="40">
        <v>473.28399999999999</v>
      </c>
      <c r="R15" s="40">
        <v>1151.75</v>
      </c>
      <c r="S15" s="40">
        <v>26.360900000000001</v>
      </c>
      <c r="T15" s="40">
        <v>21.374500000000001</v>
      </c>
      <c r="U15" s="40">
        <v>28.895399999999999</v>
      </c>
      <c r="V15" s="381"/>
    </row>
    <row r="16" spans="1:22" s="252" customFormat="1" ht="11.45" customHeight="1">
      <c r="A16" s="459">
        <v>2013</v>
      </c>
      <c r="B16" s="445">
        <v>1411.46</v>
      </c>
      <c r="C16" s="445">
        <v>90.6023</v>
      </c>
      <c r="D16" s="445">
        <v>135.36099999999999</v>
      </c>
      <c r="E16" s="445">
        <v>105.43</v>
      </c>
      <c r="F16" s="445">
        <v>108.84399999999999</v>
      </c>
      <c r="G16" s="445">
        <v>90.400599999999997</v>
      </c>
      <c r="H16" s="445">
        <v>382.06299999999999</v>
      </c>
      <c r="I16" s="445">
        <v>340.12299999999999</v>
      </c>
      <c r="J16" s="445">
        <v>518.81200000000001</v>
      </c>
      <c r="K16" s="445">
        <v>658.726</v>
      </c>
      <c r="L16" s="445">
        <v>326.16699999999997</v>
      </c>
      <c r="M16" s="445">
        <v>265.75099999999998</v>
      </c>
      <c r="N16" s="445">
        <v>314</v>
      </c>
      <c r="O16" s="445">
        <v>764.197</v>
      </c>
      <c r="P16" s="445">
        <v>743.37900000000002</v>
      </c>
      <c r="Q16" s="445">
        <v>477.29899999999998</v>
      </c>
      <c r="R16" s="445">
        <v>1011.11</v>
      </c>
      <c r="S16" s="445">
        <v>26.011800000000001</v>
      </c>
      <c r="T16" s="445">
        <v>17.708500000000001</v>
      </c>
      <c r="U16" s="445">
        <v>21.214500000000001</v>
      </c>
      <c r="V16" s="381"/>
    </row>
    <row r="17" spans="1:24" s="289" customFormat="1" ht="11.45" customHeight="1">
      <c r="A17" s="1150">
        <v>2014</v>
      </c>
      <c r="B17" s="214">
        <v>1265.58</v>
      </c>
      <c r="C17" s="214">
        <v>75.139300000000006</v>
      </c>
      <c r="D17" s="214">
        <v>96.841499999999996</v>
      </c>
      <c r="E17" s="214">
        <v>96.664100000000005</v>
      </c>
      <c r="F17" s="214">
        <v>98.943299999999994</v>
      </c>
      <c r="G17" s="214">
        <v>83.096699999999998</v>
      </c>
      <c r="H17" s="214">
        <v>388.34399999999999</v>
      </c>
      <c r="I17" s="214">
        <v>316.20999999999998</v>
      </c>
      <c r="J17" s="214" t="s">
        <v>505</v>
      </c>
      <c r="K17" s="214">
        <v>490.76400000000001</v>
      </c>
      <c r="L17" s="214">
        <v>291.87299999999999</v>
      </c>
      <c r="M17" s="214">
        <v>242.49600000000001</v>
      </c>
      <c r="N17" s="214">
        <v>324.02499999999998</v>
      </c>
      <c r="O17" s="214">
        <v>739.40800000000002</v>
      </c>
      <c r="P17" s="214">
        <v>743.99199999999996</v>
      </c>
      <c r="Q17" s="214">
        <v>466.96600000000001</v>
      </c>
      <c r="R17" s="214">
        <v>812.71</v>
      </c>
      <c r="S17" s="214">
        <v>27.394400000000001</v>
      </c>
      <c r="T17" s="214">
        <v>17.1264</v>
      </c>
      <c r="U17" s="214">
        <v>24.865400000000001</v>
      </c>
      <c r="V17" s="806"/>
    </row>
    <row r="18" spans="1:24" s="252" customFormat="1" ht="11.45" customHeight="1">
      <c r="A18" s="1147">
        <v>2015</v>
      </c>
      <c r="B18" s="450">
        <f>AVERAGE(B19:B30)</f>
        <v>1160.6633333333334</v>
      </c>
      <c r="C18" s="450">
        <f t="shared" ref="C18:U18" si="0">AVERAGE(C19:C30)</f>
        <v>61.618599999999994</v>
      </c>
      <c r="D18" s="450">
        <f t="shared" si="0"/>
        <v>55.209266666666657</v>
      </c>
      <c r="E18" s="450">
        <f t="shared" si="0"/>
        <v>51.232049999999994</v>
      </c>
      <c r="F18" s="450">
        <f t="shared" si="0"/>
        <v>52.399408333333348</v>
      </c>
      <c r="G18" s="450">
        <f t="shared" si="0"/>
        <v>70.417191666666668</v>
      </c>
      <c r="H18" s="450">
        <f t="shared" si="0"/>
        <v>385</v>
      </c>
      <c r="I18" s="450">
        <f t="shared" si="0"/>
        <v>272.91941666666668</v>
      </c>
      <c r="J18" s="450" t="s">
        <v>505</v>
      </c>
      <c r="K18" s="450">
        <f t="shared" si="0"/>
        <v>469.92883333333333</v>
      </c>
      <c r="L18" s="450" t="s">
        <v>505</v>
      </c>
      <c r="M18" s="450">
        <f t="shared" si="0"/>
        <v>185.60733333333334</v>
      </c>
      <c r="N18" s="450">
        <f t="shared" si="0"/>
        <v>236.21666666666667</v>
      </c>
      <c r="O18" s="450">
        <f t="shared" si="0"/>
        <v>565.09</v>
      </c>
      <c r="P18" s="450">
        <f>AVERAGE(P19:P27)</f>
        <v>593.50144444444459</v>
      </c>
      <c r="Q18" s="450">
        <f t="shared" si="0"/>
        <v>352.72174999999993</v>
      </c>
      <c r="R18" s="450">
        <f t="shared" si="0"/>
        <v>672.16466666666656</v>
      </c>
      <c r="S18" s="450">
        <f t="shared" si="0"/>
        <v>25.423941666666668</v>
      </c>
      <c r="T18" s="450">
        <f t="shared" si="0"/>
        <v>13.238658333333335</v>
      </c>
      <c r="U18" s="450">
        <f t="shared" si="0"/>
        <v>24.850825</v>
      </c>
      <c r="V18" s="381"/>
    </row>
    <row r="19" spans="1:24" s="252" customFormat="1" ht="11.45" customHeight="1">
      <c r="A19" s="1148" t="s">
        <v>847</v>
      </c>
      <c r="B19" s="394">
        <v>1250.75</v>
      </c>
      <c r="C19" s="394">
        <v>66.535700000000006</v>
      </c>
      <c r="D19" s="394">
        <v>67.386399999999995</v>
      </c>
      <c r="E19" s="394">
        <v>46.335000000000001</v>
      </c>
      <c r="F19" s="394">
        <v>48.416800000000002</v>
      </c>
      <c r="G19" s="394">
        <v>67.349999999999994</v>
      </c>
      <c r="H19" s="394">
        <v>400</v>
      </c>
      <c r="I19" s="394">
        <v>319.2</v>
      </c>
      <c r="J19" s="394" t="s">
        <v>505</v>
      </c>
      <c r="K19" s="394">
        <v>546.59199999999998</v>
      </c>
      <c r="L19" s="394" t="s">
        <v>505</v>
      </c>
      <c r="M19" s="394">
        <v>210.608</v>
      </c>
      <c r="N19" s="394">
        <v>261.8</v>
      </c>
      <c r="O19" s="394">
        <v>641.59699999999998</v>
      </c>
      <c r="P19" s="394">
        <v>617.11199999999997</v>
      </c>
      <c r="Q19" s="394">
        <v>379.041</v>
      </c>
      <c r="R19" s="394">
        <v>707.88099999999997</v>
      </c>
      <c r="S19" s="394">
        <v>25.170200000000001</v>
      </c>
      <c r="T19" s="394">
        <v>15.0625</v>
      </c>
      <c r="U19" s="394">
        <v>25.24</v>
      </c>
      <c r="V19" s="381"/>
      <c r="X19" s="381"/>
    </row>
    <row r="20" spans="1:24" s="252" customFormat="1" ht="11.45" customHeight="1">
      <c r="A20" s="1149" t="s">
        <v>848</v>
      </c>
      <c r="B20" s="439">
        <v>1227.08</v>
      </c>
      <c r="C20" s="439">
        <v>65.785700000000006</v>
      </c>
      <c r="D20" s="439">
        <v>62.69</v>
      </c>
      <c r="E20" s="439">
        <v>56.15</v>
      </c>
      <c r="F20" s="439">
        <v>57.930500000000002</v>
      </c>
      <c r="G20" s="439">
        <v>69.842500000000001</v>
      </c>
      <c r="H20" s="439">
        <v>400</v>
      </c>
      <c r="I20" s="439">
        <v>297</v>
      </c>
      <c r="J20" s="439" t="s">
        <v>505</v>
      </c>
      <c r="K20" s="439">
        <v>501.76499999999999</v>
      </c>
      <c r="L20" s="439" t="s">
        <v>505</v>
      </c>
      <c r="M20" s="439">
        <v>201.714</v>
      </c>
      <c r="N20" s="439">
        <v>253</v>
      </c>
      <c r="O20" s="439">
        <v>634.37800000000004</v>
      </c>
      <c r="P20" s="439">
        <v>628.54300000000001</v>
      </c>
      <c r="Q20" s="439">
        <v>374.25200000000001</v>
      </c>
      <c r="R20" s="439">
        <v>697.93600000000004</v>
      </c>
      <c r="S20" s="439">
        <v>25.485399999999998</v>
      </c>
      <c r="T20" s="439">
        <v>14.5121</v>
      </c>
      <c r="U20" s="439">
        <v>24.62</v>
      </c>
      <c r="V20" s="381"/>
      <c r="X20" s="381"/>
    </row>
    <row r="21" spans="1:24" s="252" customFormat="1" ht="11.45" customHeight="1">
      <c r="A21" s="1148" t="s">
        <v>840</v>
      </c>
      <c r="B21" s="394">
        <v>1178.6300000000001</v>
      </c>
      <c r="C21" s="394">
        <v>64.408900000000003</v>
      </c>
      <c r="D21" s="394">
        <v>56.940899999999999</v>
      </c>
      <c r="E21" s="394">
        <v>54.909100000000002</v>
      </c>
      <c r="F21" s="394">
        <v>55.791400000000003</v>
      </c>
      <c r="G21" s="394">
        <v>69.3523</v>
      </c>
      <c r="H21" s="394">
        <v>400</v>
      </c>
      <c r="I21" s="394">
        <v>271</v>
      </c>
      <c r="J21" s="394" t="s">
        <v>505</v>
      </c>
      <c r="K21" s="394">
        <v>503.84899999999999</v>
      </c>
      <c r="L21" s="394" t="s">
        <v>505</v>
      </c>
      <c r="M21" s="394">
        <v>202.679</v>
      </c>
      <c r="N21" s="394">
        <v>250.4</v>
      </c>
      <c r="O21" s="394">
        <v>607.65499999999997</v>
      </c>
      <c r="P21" s="394">
        <v>615.98599999999999</v>
      </c>
      <c r="Q21" s="394">
        <v>364.86</v>
      </c>
      <c r="R21" s="394">
        <v>683.43200000000002</v>
      </c>
      <c r="S21" s="394">
        <v>24.9069</v>
      </c>
      <c r="T21" s="394">
        <v>12.8409</v>
      </c>
      <c r="U21" s="394">
        <v>24.4</v>
      </c>
      <c r="V21" s="381"/>
      <c r="X21" s="381"/>
    </row>
    <row r="22" spans="1:24" s="252" customFormat="1" ht="11.45" customHeight="1">
      <c r="A22" s="1149" t="s">
        <v>849</v>
      </c>
      <c r="B22" s="439">
        <v>1198.93</v>
      </c>
      <c r="C22" s="439">
        <v>61.943899999999999</v>
      </c>
      <c r="D22" s="439">
        <v>51.15</v>
      </c>
      <c r="E22" s="439">
        <v>58.665500000000002</v>
      </c>
      <c r="F22" s="439">
        <v>59.389499999999998</v>
      </c>
      <c r="G22" s="439">
        <v>71.702500000000001</v>
      </c>
      <c r="H22" s="439">
        <v>380</v>
      </c>
      <c r="I22" s="439">
        <v>259</v>
      </c>
      <c r="J22" s="439" t="s">
        <v>505</v>
      </c>
      <c r="K22" s="439">
        <v>504.22399999999999</v>
      </c>
      <c r="L22" s="439" t="s">
        <v>505</v>
      </c>
      <c r="M22" s="439">
        <v>195.89599999999999</v>
      </c>
      <c r="N22" s="439">
        <v>234.3</v>
      </c>
      <c r="O22" s="439">
        <v>591.78800000000001</v>
      </c>
      <c r="P22" s="439">
        <v>604.04200000000003</v>
      </c>
      <c r="Q22" s="439">
        <v>349.71100000000001</v>
      </c>
      <c r="R22" s="439">
        <v>691.673</v>
      </c>
      <c r="S22" s="439">
        <v>24.853300000000001</v>
      </c>
      <c r="T22" s="439">
        <v>12.911</v>
      </c>
      <c r="U22" s="439">
        <v>24.39</v>
      </c>
      <c r="V22" s="381"/>
      <c r="X22" s="381"/>
    </row>
    <row r="23" spans="1:24" s="252" customFormat="1" ht="11.45" customHeight="1">
      <c r="A23" s="1148" t="s">
        <v>850</v>
      </c>
      <c r="B23" s="394">
        <v>1198.6300000000001</v>
      </c>
      <c r="C23" s="394">
        <v>64.711500000000001</v>
      </c>
      <c r="D23" s="394">
        <v>60.2333</v>
      </c>
      <c r="E23" s="394">
        <v>63.674799999999998</v>
      </c>
      <c r="F23" s="394">
        <v>64.561400000000006</v>
      </c>
      <c r="G23" s="394">
        <v>72.863200000000006</v>
      </c>
      <c r="H23" s="394">
        <v>380</v>
      </c>
      <c r="I23" s="394">
        <v>280</v>
      </c>
      <c r="J23" s="394" t="s">
        <v>505</v>
      </c>
      <c r="K23" s="394">
        <v>444.74299999999999</v>
      </c>
      <c r="L23" s="394" t="s">
        <v>505</v>
      </c>
      <c r="M23" s="394">
        <v>193.15199999999999</v>
      </c>
      <c r="N23" s="394">
        <v>234.5</v>
      </c>
      <c r="O23" s="394">
        <v>601.39700000000005</v>
      </c>
      <c r="P23" s="394">
        <v>595.471</v>
      </c>
      <c r="Q23" s="394">
        <v>340.471</v>
      </c>
      <c r="R23" s="394">
        <v>716.49</v>
      </c>
      <c r="S23" s="394">
        <v>25.732500000000002</v>
      </c>
      <c r="T23" s="394">
        <v>12.7035</v>
      </c>
      <c r="U23" s="394">
        <v>24.72</v>
      </c>
      <c r="V23" s="381"/>
      <c r="X23" s="381"/>
    </row>
    <row r="24" spans="1:24" s="252" customFormat="1" ht="11.45" customHeight="1">
      <c r="A24" s="1149" t="s">
        <v>841</v>
      </c>
      <c r="B24" s="439">
        <v>1181.5</v>
      </c>
      <c r="C24" s="439">
        <v>63.043799999999997</v>
      </c>
      <c r="D24" s="439">
        <v>62.2864</v>
      </c>
      <c r="E24" s="439">
        <v>61.758600000000001</v>
      </c>
      <c r="F24" s="439">
        <v>62.3459</v>
      </c>
      <c r="G24" s="439">
        <v>72.3523</v>
      </c>
      <c r="H24" s="439">
        <v>380</v>
      </c>
      <c r="I24" s="439">
        <v>292</v>
      </c>
      <c r="J24" s="439" t="s">
        <v>505</v>
      </c>
      <c r="K24" s="439">
        <v>466.17599999999999</v>
      </c>
      <c r="L24" s="439" t="s">
        <v>505</v>
      </c>
      <c r="M24" s="439">
        <v>199.82300000000001</v>
      </c>
      <c r="N24" s="439">
        <v>233.4</v>
      </c>
      <c r="O24" s="439">
        <v>606.404</v>
      </c>
      <c r="P24" s="439">
        <v>593.16099999999994</v>
      </c>
      <c r="Q24" s="439">
        <v>353.90199999999999</v>
      </c>
      <c r="R24" s="439">
        <v>738.03700000000003</v>
      </c>
      <c r="S24" s="439">
        <v>25.865200000000002</v>
      </c>
      <c r="T24" s="439">
        <v>12.1136</v>
      </c>
      <c r="U24" s="439">
        <v>24.76</v>
      </c>
      <c r="V24" s="381"/>
      <c r="X24" s="381"/>
    </row>
    <row r="25" spans="1:24" s="252" customFormat="1" ht="11.45" customHeight="1">
      <c r="A25" s="1148" t="s">
        <v>843</v>
      </c>
      <c r="B25" s="394">
        <v>1128.31</v>
      </c>
      <c r="C25" s="394">
        <v>63.353999999999999</v>
      </c>
      <c r="D25" s="394">
        <v>51.504300000000001</v>
      </c>
      <c r="E25" s="394">
        <v>56.266100000000002</v>
      </c>
      <c r="F25" s="394">
        <v>55.865699999999997</v>
      </c>
      <c r="G25" s="394">
        <v>72.347800000000007</v>
      </c>
      <c r="H25" s="394">
        <v>380</v>
      </c>
      <c r="I25" s="394">
        <v>273</v>
      </c>
      <c r="J25" s="394" t="s">
        <v>505</v>
      </c>
      <c r="K25" s="394">
        <v>460.57799999999997</v>
      </c>
      <c r="L25" s="394" t="s">
        <v>505</v>
      </c>
      <c r="M25" s="394">
        <v>199.197</v>
      </c>
      <c r="N25" s="394">
        <v>225.6</v>
      </c>
      <c r="O25" s="394">
        <v>575.68200000000002</v>
      </c>
      <c r="P25" s="394">
        <v>587.58799999999997</v>
      </c>
      <c r="Q25" s="394">
        <v>394.642</v>
      </c>
      <c r="R25" s="394">
        <v>695.78800000000001</v>
      </c>
      <c r="S25" s="394">
        <v>25.8688</v>
      </c>
      <c r="T25" s="394">
        <v>11.8786</v>
      </c>
      <c r="U25" s="394">
        <v>24.67</v>
      </c>
      <c r="V25" s="381"/>
      <c r="X25" s="381"/>
    </row>
    <row r="26" spans="1:24" s="252" customFormat="1" ht="11.45" customHeight="1">
      <c r="A26" s="1149" t="s">
        <v>844</v>
      </c>
      <c r="B26" s="439">
        <v>1117.93</v>
      </c>
      <c r="C26" s="439">
        <v>62.7562</v>
      </c>
      <c r="D26" s="439">
        <v>55.381</v>
      </c>
      <c r="E26" s="439">
        <v>47.3033</v>
      </c>
      <c r="F26" s="439">
        <v>46.994300000000003</v>
      </c>
      <c r="G26" s="439">
        <v>71.822500000000005</v>
      </c>
      <c r="H26" s="439">
        <v>380</v>
      </c>
      <c r="I26" s="439">
        <v>273</v>
      </c>
      <c r="J26" s="439" t="s">
        <v>505</v>
      </c>
      <c r="K26" s="439">
        <v>451.36</v>
      </c>
      <c r="L26" s="439" t="s">
        <v>505</v>
      </c>
      <c r="M26" s="439">
        <v>173.46899999999999</v>
      </c>
      <c r="N26" s="439">
        <v>230.2</v>
      </c>
      <c r="O26" s="439">
        <v>484.678</v>
      </c>
      <c r="P26" s="439">
        <v>538.529</v>
      </c>
      <c r="Q26" s="439">
        <v>370.40800000000002</v>
      </c>
      <c r="R26" s="439">
        <v>628.74699999999996</v>
      </c>
      <c r="S26" s="439">
        <v>25.947700000000001</v>
      </c>
      <c r="T26" s="439">
        <v>10.674799999999999</v>
      </c>
      <c r="U26" s="439">
        <v>24.5</v>
      </c>
      <c r="V26" s="381"/>
      <c r="X26" s="381"/>
    </row>
    <row r="27" spans="1:24" s="252" customFormat="1" ht="11.45" customHeight="1">
      <c r="A27" s="1148" t="s">
        <v>838</v>
      </c>
      <c r="B27" s="394">
        <v>1124.77</v>
      </c>
      <c r="C27" s="394">
        <v>58.655799999999999</v>
      </c>
      <c r="D27" s="394">
        <v>56.431800000000003</v>
      </c>
      <c r="E27" s="394">
        <v>46.144500000000001</v>
      </c>
      <c r="F27" s="394">
        <v>47.234499999999997</v>
      </c>
      <c r="G27" s="394">
        <v>68.736400000000003</v>
      </c>
      <c r="H27" s="394">
        <v>380</v>
      </c>
      <c r="I27" s="394">
        <v>259</v>
      </c>
      <c r="J27" s="394"/>
      <c r="K27" s="394">
        <v>458.15699999999998</v>
      </c>
      <c r="L27" s="394" t="s">
        <v>505</v>
      </c>
      <c r="M27" s="394">
        <v>163.827</v>
      </c>
      <c r="N27" s="394">
        <v>229.7</v>
      </c>
      <c r="O27" s="394">
        <v>483.48700000000002</v>
      </c>
      <c r="P27" s="394">
        <v>561.08100000000002</v>
      </c>
      <c r="Q27" s="394">
        <v>342.95499999999998</v>
      </c>
      <c r="R27" s="394">
        <v>590.25</v>
      </c>
      <c r="S27" s="394">
        <v>25.535799999999998</v>
      </c>
      <c r="T27" s="394">
        <v>12.1371</v>
      </c>
      <c r="U27" s="394">
        <v>24.434799999999999</v>
      </c>
      <c r="V27" s="381"/>
      <c r="X27" s="381"/>
    </row>
    <row r="28" spans="1:24" s="252" customFormat="1" ht="11.45" customHeight="1">
      <c r="A28" s="1149" t="s">
        <v>845</v>
      </c>
      <c r="B28" s="439">
        <v>1159.25</v>
      </c>
      <c r="C28" s="439">
        <v>56.0503</v>
      </c>
      <c r="D28" s="439">
        <v>52.740900000000003</v>
      </c>
      <c r="E28" s="439">
        <v>46.5518</v>
      </c>
      <c r="F28" s="439">
        <v>48.124099999999999</v>
      </c>
      <c r="G28" s="439">
        <v>69.027299999999997</v>
      </c>
      <c r="H28" s="439">
        <v>380</v>
      </c>
      <c r="I28" s="439">
        <v>255</v>
      </c>
      <c r="J28" s="439" t="s">
        <v>505</v>
      </c>
      <c r="K28" s="439">
        <v>405.63600000000002</v>
      </c>
      <c r="L28" s="439" t="s">
        <v>505</v>
      </c>
      <c r="M28" s="439">
        <v>165.38800000000001</v>
      </c>
      <c r="N28" s="439">
        <v>226</v>
      </c>
      <c r="O28" s="439">
        <v>530.24699999999996</v>
      </c>
      <c r="P28" s="439" t="s">
        <v>505</v>
      </c>
      <c r="Q28" s="439">
        <v>338.214</v>
      </c>
      <c r="R28" s="439">
        <v>623.80700000000002</v>
      </c>
      <c r="S28" s="439">
        <v>25.5</v>
      </c>
      <c r="T28" s="439">
        <v>14.1418</v>
      </c>
      <c r="U28" s="439">
        <v>25.0382</v>
      </c>
      <c r="V28" s="381"/>
      <c r="X28" s="381"/>
    </row>
    <row r="29" spans="1:24" s="252" customFormat="1" ht="11.45" customHeight="1">
      <c r="A29" s="1148" t="s">
        <v>846</v>
      </c>
      <c r="B29" s="394">
        <v>1086.44</v>
      </c>
      <c r="C29" s="394">
        <v>56.326500000000003</v>
      </c>
      <c r="D29" s="394">
        <v>46.161900000000003</v>
      </c>
      <c r="E29" s="394">
        <v>42.323300000000003</v>
      </c>
      <c r="F29" s="394">
        <v>44.417099999999998</v>
      </c>
      <c r="G29" s="394">
        <v>69.221400000000003</v>
      </c>
      <c r="H29" s="394">
        <v>380</v>
      </c>
      <c r="I29" s="394">
        <v>257</v>
      </c>
      <c r="J29" s="394" t="s">
        <v>505</v>
      </c>
      <c r="K29" s="394">
        <v>460.50099999999998</v>
      </c>
      <c r="L29" s="394" t="s">
        <v>505</v>
      </c>
      <c r="M29" s="394">
        <v>157.74199999999999</v>
      </c>
      <c r="N29" s="394">
        <v>229.7</v>
      </c>
      <c r="O29" s="394">
        <v>503.16399999999999</v>
      </c>
      <c r="P29" s="394" t="s">
        <v>505</v>
      </c>
      <c r="Q29" s="394">
        <v>320.34300000000002</v>
      </c>
      <c r="R29" s="394">
        <v>614.73599999999999</v>
      </c>
      <c r="S29" s="394">
        <v>25.2958</v>
      </c>
      <c r="T29" s="394">
        <v>14.888</v>
      </c>
      <c r="U29" s="394">
        <v>25.606000000000002</v>
      </c>
      <c r="V29" s="381"/>
      <c r="X29" s="381"/>
    </row>
    <row r="30" spans="1:24" s="252" customFormat="1" ht="11.45" customHeight="1">
      <c r="A30" s="1149" t="s">
        <v>839</v>
      </c>
      <c r="B30" s="439">
        <v>1075.74</v>
      </c>
      <c r="C30" s="439">
        <v>55.850900000000003</v>
      </c>
      <c r="D30" s="439">
        <v>39.604300000000002</v>
      </c>
      <c r="E30" s="439">
        <v>34.702599999999997</v>
      </c>
      <c r="F30" s="439">
        <v>37.721699999999998</v>
      </c>
      <c r="G30" s="439">
        <v>70.388099999999994</v>
      </c>
      <c r="H30" s="439">
        <v>380</v>
      </c>
      <c r="I30" s="439">
        <v>239.833</v>
      </c>
      <c r="J30" s="439" t="s">
        <v>505</v>
      </c>
      <c r="K30" s="439">
        <v>435.565</v>
      </c>
      <c r="L30" s="439" t="s">
        <v>505</v>
      </c>
      <c r="M30" s="439">
        <v>163.79300000000001</v>
      </c>
      <c r="N30" s="439">
        <v>226</v>
      </c>
      <c r="O30" s="439">
        <v>520.60299999999995</v>
      </c>
      <c r="P30" s="439" t="s">
        <v>505</v>
      </c>
      <c r="Q30" s="439">
        <v>303.86200000000002</v>
      </c>
      <c r="R30" s="439">
        <v>677.19899999999996</v>
      </c>
      <c r="S30" s="439">
        <v>24.925699999999999</v>
      </c>
      <c r="T30" s="439">
        <v>15</v>
      </c>
      <c r="U30" s="439">
        <v>25.8309</v>
      </c>
      <c r="V30" s="381"/>
      <c r="X30" s="381"/>
    </row>
    <row r="31" spans="1:24" s="252" customFormat="1" ht="11.45" customHeight="1">
      <c r="A31" s="657">
        <v>2016</v>
      </c>
      <c r="B31" s="214">
        <f>AVERAGE(B32:B43)</f>
        <v>1249.0091666666669</v>
      </c>
      <c r="C31" s="214">
        <f t="shared" ref="C31:U31" si="1">AVERAGE(C32:C43)</f>
        <v>70.595974999999996</v>
      </c>
      <c r="D31" s="214">
        <f t="shared" si="1"/>
        <v>57.927608333333332</v>
      </c>
      <c r="E31" s="214">
        <f t="shared" si="1"/>
        <v>41.239341666666668</v>
      </c>
      <c r="F31" s="214">
        <f t="shared" si="1"/>
        <v>44.043283333333328</v>
      </c>
      <c r="G31" s="214">
        <f t="shared" si="1"/>
        <v>74.221424999999996</v>
      </c>
      <c r="H31" s="214">
        <f t="shared" si="1"/>
        <v>290.5</v>
      </c>
      <c r="I31" s="214">
        <f t="shared" si="1"/>
        <v>199.25</v>
      </c>
      <c r="J31" s="214" t="s">
        <v>505</v>
      </c>
      <c r="K31" s="214">
        <f t="shared" si="1"/>
        <v>447.19941666666676</v>
      </c>
      <c r="L31" s="214" t="s">
        <v>505</v>
      </c>
      <c r="M31" s="214">
        <f t="shared" si="1"/>
        <v>143.15049999999999</v>
      </c>
      <c r="N31" s="214" t="s">
        <v>505</v>
      </c>
      <c r="O31" s="214">
        <f t="shared" si="1"/>
        <v>639.91374999999994</v>
      </c>
      <c r="P31" s="214">
        <f t="shared" si="1"/>
        <v>678.02857142857158</v>
      </c>
      <c r="Q31" s="214">
        <f t="shared" si="1"/>
        <v>350.16058333333331</v>
      </c>
      <c r="R31" s="214">
        <f t="shared" si="1"/>
        <v>721.16600000000005</v>
      </c>
      <c r="S31" s="214">
        <f t="shared" si="1"/>
        <v>22.537283333333335</v>
      </c>
      <c r="T31" s="214">
        <f t="shared" si="1"/>
        <v>18.252850000000002</v>
      </c>
      <c r="U31" s="214">
        <f t="shared" si="1"/>
        <v>27.479150000000004</v>
      </c>
      <c r="V31" s="381"/>
    </row>
    <row r="32" spans="1:24" s="252" customFormat="1" ht="11.45" customHeight="1">
      <c r="A32" s="1149" t="s">
        <v>847</v>
      </c>
      <c r="B32" s="439">
        <v>1097.9100000000001</v>
      </c>
      <c r="C32" s="439">
        <v>53.373899999999999</v>
      </c>
      <c r="D32" s="439">
        <v>41.252400000000002</v>
      </c>
      <c r="E32" s="439">
        <v>27.246700000000001</v>
      </c>
      <c r="F32" s="439">
        <v>30.8033</v>
      </c>
      <c r="G32" s="439">
        <v>68.75</v>
      </c>
      <c r="H32" s="439">
        <v>380</v>
      </c>
      <c r="I32" s="439">
        <v>214</v>
      </c>
      <c r="J32" s="439" t="s">
        <v>505</v>
      </c>
      <c r="K32" s="439">
        <v>419.29700000000003</v>
      </c>
      <c r="L32" s="439" t="s">
        <v>505</v>
      </c>
      <c r="M32" s="439">
        <v>164.55799999999999</v>
      </c>
      <c r="N32" s="439" t="s">
        <v>505</v>
      </c>
      <c r="O32" s="439">
        <v>531.61900000000003</v>
      </c>
      <c r="P32" s="439" t="s">
        <v>505</v>
      </c>
      <c r="Q32" s="439">
        <v>297.17700000000002</v>
      </c>
      <c r="R32" s="439">
        <v>659.90099999999995</v>
      </c>
      <c r="S32" s="439">
        <v>23.9497</v>
      </c>
      <c r="T32" s="439">
        <v>14.2911</v>
      </c>
      <c r="U32" s="439">
        <v>25.831600000000002</v>
      </c>
      <c r="V32" s="381"/>
      <c r="X32" s="381"/>
    </row>
    <row r="33" spans="1:24" s="252" customFormat="1" ht="12" customHeight="1">
      <c r="A33" s="1148" t="s">
        <v>848</v>
      </c>
      <c r="B33" s="394">
        <v>1199.5</v>
      </c>
      <c r="C33" s="394">
        <v>54.329500000000003</v>
      </c>
      <c r="D33" s="394">
        <v>46.176200000000001</v>
      </c>
      <c r="E33" s="394">
        <v>29.614799999999999</v>
      </c>
      <c r="F33" s="394">
        <v>33.198099999999997</v>
      </c>
      <c r="G33" s="394">
        <v>66.571399999999997</v>
      </c>
      <c r="H33" s="394">
        <v>329</v>
      </c>
      <c r="I33" s="394">
        <v>209</v>
      </c>
      <c r="J33" s="394" t="s">
        <v>505</v>
      </c>
      <c r="K33" s="394">
        <v>448.315</v>
      </c>
      <c r="L33" s="394" t="s">
        <v>505</v>
      </c>
      <c r="M33" s="394">
        <v>159.25200000000001</v>
      </c>
      <c r="N33" s="394" t="s">
        <v>505</v>
      </c>
      <c r="O33" s="394">
        <v>595.90099999999995</v>
      </c>
      <c r="P33" s="394" t="s">
        <v>505</v>
      </c>
      <c r="Q33" s="394">
        <v>291.36799999999999</v>
      </c>
      <c r="R33" s="394">
        <v>686.904</v>
      </c>
      <c r="S33" s="394">
        <v>23.770800000000001</v>
      </c>
      <c r="T33" s="394">
        <v>13.2905</v>
      </c>
      <c r="U33" s="394">
        <v>25.4985</v>
      </c>
      <c r="V33" s="381"/>
      <c r="X33" s="381"/>
    </row>
    <row r="34" spans="1:24" s="252" customFormat="1" ht="11.45" customHeight="1">
      <c r="A34" s="1149" t="s">
        <v>840</v>
      </c>
      <c r="B34" s="439">
        <v>1245.1400000000001</v>
      </c>
      <c r="C34" s="439">
        <v>55.917900000000003</v>
      </c>
      <c r="D34" s="439">
        <v>55.521700000000003</v>
      </c>
      <c r="E34" s="439">
        <v>35.173000000000002</v>
      </c>
      <c r="F34" s="439">
        <v>39.070900000000002</v>
      </c>
      <c r="G34" s="439">
        <v>65.457099999999997</v>
      </c>
      <c r="H34" s="439">
        <v>275</v>
      </c>
      <c r="I34" s="439">
        <v>203</v>
      </c>
      <c r="J34" s="439" t="s">
        <v>505</v>
      </c>
      <c r="K34" s="439">
        <v>434.28100000000001</v>
      </c>
      <c r="L34" s="439" t="s">
        <v>505</v>
      </c>
      <c r="M34" s="439">
        <v>164.03100000000001</v>
      </c>
      <c r="N34" s="439" t="s">
        <v>505</v>
      </c>
      <c r="O34" s="439">
        <v>633.06799999999998</v>
      </c>
      <c r="P34" s="439" t="s">
        <v>505</v>
      </c>
      <c r="Q34" s="439">
        <v>296.18099999999998</v>
      </c>
      <c r="R34" s="439">
        <v>713.85599999999999</v>
      </c>
      <c r="S34" s="439">
        <v>23.656700000000001</v>
      </c>
      <c r="T34" s="439">
        <v>15.435</v>
      </c>
      <c r="U34" s="439">
        <v>26.316800000000001</v>
      </c>
      <c r="V34" s="381"/>
      <c r="X34" s="381"/>
    </row>
    <row r="35" spans="1:24" s="252" customFormat="1" ht="11.45" customHeight="1">
      <c r="A35" s="1148" t="s">
        <v>849</v>
      </c>
      <c r="B35" s="394">
        <v>1242.26</v>
      </c>
      <c r="C35" s="394">
        <v>54.830399999999997</v>
      </c>
      <c r="D35" s="394">
        <v>59.581000000000003</v>
      </c>
      <c r="E35" s="394">
        <v>39.037599999999998</v>
      </c>
      <c r="F35" s="394">
        <v>42.247100000000003</v>
      </c>
      <c r="G35" s="394">
        <v>69.278599999999997</v>
      </c>
      <c r="H35" s="394">
        <v>278</v>
      </c>
      <c r="I35" s="394">
        <v>204</v>
      </c>
      <c r="J35" s="394" t="s">
        <v>505</v>
      </c>
      <c r="K35" s="394">
        <v>441.2</v>
      </c>
      <c r="L35" s="394" t="s">
        <v>505</v>
      </c>
      <c r="M35" s="394">
        <v>163.36500000000001</v>
      </c>
      <c r="N35" s="394" t="s">
        <v>505</v>
      </c>
      <c r="O35" s="394">
        <v>681.077</v>
      </c>
      <c r="P35" s="394">
        <v>669.2</v>
      </c>
      <c r="Q35" s="394">
        <v>327.70100000000002</v>
      </c>
      <c r="R35" s="394">
        <v>748.53099999999995</v>
      </c>
      <c r="S35" s="394">
        <v>23.670200000000001</v>
      </c>
      <c r="T35" s="394">
        <v>15.217599999999999</v>
      </c>
      <c r="U35" s="394">
        <v>27.902899999999999</v>
      </c>
      <c r="V35" s="381"/>
      <c r="X35" s="381"/>
    </row>
    <row r="36" spans="1:24" s="252" customFormat="1" ht="11.45" customHeight="1">
      <c r="A36" s="1149" t="s">
        <v>850</v>
      </c>
      <c r="B36" s="439">
        <v>1261</v>
      </c>
      <c r="C36" s="439">
        <v>55.2</v>
      </c>
      <c r="D36" s="439">
        <v>54.9</v>
      </c>
      <c r="E36" s="439">
        <v>44</v>
      </c>
      <c r="F36" s="439">
        <v>47.1</v>
      </c>
      <c r="G36" s="439">
        <v>70.3</v>
      </c>
      <c r="H36" s="439">
        <v>284</v>
      </c>
      <c r="I36" s="439">
        <v>200</v>
      </c>
      <c r="J36" s="439" t="s">
        <v>505</v>
      </c>
      <c r="K36" s="439">
        <v>448</v>
      </c>
      <c r="L36" s="439" t="s">
        <v>505</v>
      </c>
      <c r="M36" s="439">
        <v>157.5</v>
      </c>
      <c r="N36" s="439" t="s">
        <v>505</v>
      </c>
      <c r="O36" s="439">
        <v>644.6</v>
      </c>
      <c r="P36" s="439" t="s">
        <v>505</v>
      </c>
      <c r="Q36" s="439">
        <v>407.5</v>
      </c>
      <c r="R36" s="439">
        <v>707</v>
      </c>
      <c r="S36" s="439">
        <v>24.2</v>
      </c>
      <c r="T36" s="439">
        <v>16.7</v>
      </c>
      <c r="U36" s="439">
        <v>27.3</v>
      </c>
      <c r="V36" s="381"/>
    </row>
    <row r="37" spans="1:24" s="252" customFormat="1" ht="11.45" customHeight="1">
      <c r="A37" s="1148" t="s">
        <v>841</v>
      </c>
      <c r="B37" s="394">
        <v>1276.4000000000001</v>
      </c>
      <c r="C37" s="394">
        <v>57</v>
      </c>
      <c r="D37" s="394">
        <v>51.4</v>
      </c>
      <c r="E37" s="394">
        <v>45.8</v>
      </c>
      <c r="F37" s="394">
        <v>48.5</v>
      </c>
      <c r="G37" s="394">
        <v>74.099999999999994</v>
      </c>
      <c r="H37" s="394">
        <v>285</v>
      </c>
      <c r="I37" s="394">
        <v>191</v>
      </c>
      <c r="J37" s="394" t="s">
        <v>505</v>
      </c>
      <c r="K37" s="394">
        <v>455.1</v>
      </c>
      <c r="L37" s="394" t="s">
        <v>505</v>
      </c>
      <c r="M37" s="394">
        <v>156.6</v>
      </c>
      <c r="N37" s="394" t="s">
        <v>505</v>
      </c>
      <c r="O37" s="394">
        <v>618.5</v>
      </c>
      <c r="P37" s="394" t="s">
        <v>505</v>
      </c>
      <c r="Q37" s="394">
        <v>443.4</v>
      </c>
      <c r="R37" s="394">
        <v>703.6</v>
      </c>
      <c r="S37" s="394">
        <v>23.6</v>
      </c>
      <c r="T37" s="394">
        <v>19.399999999999999</v>
      </c>
      <c r="U37" s="394">
        <v>27.4</v>
      </c>
      <c r="V37" s="381"/>
    </row>
    <row r="38" spans="1:24" s="252" customFormat="1" ht="11.45" customHeight="1">
      <c r="A38" s="1149" t="s">
        <v>843</v>
      </c>
      <c r="B38" s="439">
        <v>1336.7</v>
      </c>
      <c r="C38" s="439">
        <v>66.7</v>
      </c>
      <c r="D38" s="439">
        <v>56.6</v>
      </c>
      <c r="E38" s="439">
        <v>42.7</v>
      </c>
      <c r="F38" s="439">
        <v>45.1</v>
      </c>
      <c r="G38" s="439">
        <v>81.099999999999994</v>
      </c>
      <c r="H38" s="439">
        <v>285</v>
      </c>
      <c r="I38" s="439">
        <v>177</v>
      </c>
      <c r="J38" s="439" t="s">
        <v>505</v>
      </c>
      <c r="K38" s="439">
        <v>506.3</v>
      </c>
      <c r="L38" s="439" t="s">
        <v>505</v>
      </c>
      <c r="M38" s="439">
        <v>133.6</v>
      </c>
      <c r="N38" s="439" t="s">
        <v>505</v>
      </c>
      <c r="O38" s="439">
        <v>584.20000000000005</v>
      </c>
      <c r="P38" s="439">
        <v>660.5</v>
      </c>
      <c r="Q38" s="439">
        <v>403.3</v>
      </c>
      <c r="R38" s="439">
        <v>669.9</v>
      </c>
      <c r="S38" s="439">
        <v>21.9</v>
      </c>
      <c r="T38" s="439">
        <v>19.7</v>
      </c>
      <c r="U38" s="439">
        <v>28.1</v>
      </c>
      <c r="V38" s="381"/>
    </row>
    <row r="39" spans="1:24" s="252" customFormat="1" ht="11.45" customHeight="1">
      <c r="A39" s="1148" t="s">
        <v>844</v>
      </c>
      <c r="B39" s="394">
        <v>1340.2</v>
      </c>
      <c r="C39" s="394">
        <v>72.2</v>
      </c>
      <c r="D39" s="394">
        <v>60.5</v>
      </c>
      <c r="E39" s="394">
        <v>43.6</v>
      </c>
      <c r="F39" s="394">
        <v>46.1</v>
      </c>
      <c r="G39" s="394">
        <v>80.3</v>
      </c>
      <c r="H39" s="394">
        <v>283</v>
      </c>
      <c r="I39" s="394">
        <v>182</v>
      </c>
      <c r="J39" s="394" t="s">
        <v>505</v>
      </c>
      <c r="K39" s="394">
        <v>481.7</v>
      </c>
      <c r="L39" s="394" t="s">
        <v>505</v>
      </c>
      <c r="M39" s="394">
        <v>127.9</v>
      </c>
      <c r="N39" s="394" t="s">
        <v>505</v>
      </c>
      <c r="O39" s="394">
        <v>664.4</v>
      </c>
      <c r="P39" s="394">
        <v>644.20000000000005</v>
      </c>
      <c r="Q39" s="394">
        <v>364.5</v>
      </c>
      <c r="R39" s="394">
        <v>711.7</v>
      </c>
      <c r="S39" s="394">
        <v>21.8</v>
      </c>
      <c r="T39" s="394">
        <v>20.5</v>
      </c>
      <c r="U39" s="394">
        <v>27.2</v>
      </c>
      <c r="V39" s="381"/>
    </row>
    <row r="40" spans="1:24" s="252" customFormat="1" ht="11.45" customHeight="1">
      <c r="A40" s="1149" t="s">
        <v>838</v>
      </c>
      <c r="B40" s="439">
        <v>1326.6</v>
      </c>
      <c r="C40" s="439">
        <v>78.099999999999994</v>
      </c>
      <c r="D40" s="439">
        <v>56.7</v>
      </c>
      <c r="E40" s="439">
        <v>43.8</v>
      </c>
      <c r="F40" s="439">
        <v>46.2</v>
      </c>
      <c r="G40" s="439">
        <v>77.900000000000006</v>
      </c>
      <c r="H40" s="439">
        <v>277</v>
      </c>
      <c r="I40" s="439">
        <v>191</v>
      </c>
      <c r="J40" s="439" t="s">
        <v>505</v>
      </c>
      <c r="K40" s="439">
        <v>446.9</v>
      </c>
      <c r="L40" s="439" t="s">
        <v>505</v>
      </c>
      <c r="M40" s="439">
        <v>123.2</v>
      </c>
      <c r="N40" s="439" t="s">
        <v>505</v>
      </c>
      <c r="O40" s="439">
        <v>692.4</v>
      </c>
      <c r="P40" s="439">
        <v>669.5</v>
      </c>
      <c r="Q40" s="439">
        <v>342.2</v>
      </c>
      <c r="R40" s="439">
        <v>722.6</v>
      </c>
      <c r="S40" s="439">
        <v>21.9</v>
      </c>
      <c r="T40" s="439">
        <v>21.9</v>
      </c>
      <c r="U40" s="439">
        <v>27.5</v>
      </c>
      <c r="V40" s="381"/>
    </row>
    <row r="41" spans="1:24" s="252" customFormat="1" ht="11.45" customHeight="1">
      <c r="A41" s="1148" t="s">
        <v>845</v>
      </c>
      <c r="B41" s="394">
        <v>1266.5999999999999</v>
      </c>
      <c r="C41" s="394">
        <v>99.8</v>
      </c>
      <c r="D41" s="394">
        <v>59</v>
      </c>
      <c r="E41" s="394">
        <v>48.3</v>
      </c>
      <c r="F41" s="394">
        <v>49.7</v>
      </c>
      <c r="G41" s="394">
        <v>78.5</v>
      </c>
      <c r="H41" s="394">
        <v>273</v>
      </c>
      <c r="I41" s="394">
        <v>193</v>
      </c>
      <c r="J41" s="394" t="s">
        <v>505</v>
      </c>
      <c r="K41" s="394">
        <v>429.1</v>
      </c>
      <c r="L41" s="394" t="s">
        <v>505</v>
      </c>
      <c r="M41" s="394">
        <v>122.5</v>
      </c>
      <c r="N41" s="394" t="s">
        <v>505</v>
      </c>
      <c r="O41" s="394">
        <v>651.4</v>
      </c>
      <c r="P41" s="394">
        <v>705.9</v>
      </c>
      <c r="Q41" s="394">
        <v>337.1</v>
      </c>
      <c r="R41" s="394">
        <v>757.3</v>
      </c>
      <c r="S41" s="394">
        <v>20.5</v>
      </c>
      <c r="T41" s="394">
        <v>22.9</v>
      </c>
      <c r="U41" s="394">
        <v>28.6</v>
      </c>
      <c r="V41" s="381"/>
    </row>
    <row r="42" spans="1:24" s="252" customFormat="1" ht="11.45" customHeight="1">
      <c r="A42" s="1149" t="s">
        <v>846</v>
      </c>
      <c r="B42" s="439">
        <v>1238.4000000000001</v>
      </c>
      <c r="C42" s="439">
        <v>107.2</v>
      </c>
      <c r="D42" s="439">
        <v>74.099999999999994</v>
      </c>
      <c r="E42" s="439">
        <v>43.8</v>
      </c>
      <c r="F42" s="439">
        <v>46.4</v>
      </c>
      <c r="G42" s="439">
        <v>78.900000000000006</v>
      </c>
      <c r="H42" s="439">
        <v>270</v>
      </c>
      <c r="I42" s="439">
        <v>211</v>
      </c>
      <c r="J42" s="439" t="s">
        <v>505</v>
      </c>
      <c r="K42" s="439">
        <v>440.6</v>
      </c>
      <c r="L42" s="439" t="s">
        <v>505</v>
      </c>
      <c r="M42" s="439">
        <v>122.5</v>
      </c>
      <c r="N42" s="439" t="s">
        <v>505</v>
      </c>
      <c r="O42" s="439">
        <v>670</v>
      </c>
      <c r="P42" s="439">
        <v>685.3</v>
      </c>
      <c r="Q42" s="439">
        <v>345.7</v>
      </c>
      <c r="R42" s="439">
        <v>772.4</v>
      </c>
      <c r="S42" s="439">
        <v>20.7</v>
      </c>
      <c r="T42" s="439">
        <v>20.9</v>
      </c>
      <c r="U42" s="439">
        <v>28.8</v>
      </c>
      <c r="V42" s="381"/>
    </row>
    <row r="43" spans="1:24" s="252" customFormat="1" ht="11.45" customHeight="1">
      <c r="A43" s="1148" t="s">
        <v>839</v>
      </c>
      <c r="B43" s="394">
        <v>1157.4000000000001</v>
      </c>
      <c r="C43" s="394">
        <v>92.5</v>
      </c>
      <c r="D43" s="394">
        <v>79.400000000000006</v>
      </c>
      <c r="E43" s="394">
        <v>51.8</v>
      </c>
      <c r="F43" s="394">
        <v>54.1</v>
      </c>
      <c r="G43" s="394">
        <v>79.5</v>
      </c>
      <c r="H43" s="394">
        <v>267</v>
      </c>
      <c r="I43" s="394">
        <v>216</v>
      </c>
      <c r="J43" s="394" t="s">
        <v>505</v>
      </c>
      <c r="K43" s="394">
        <v>415.6</v>
      </c>
      <c r="L43" s="394" t="s">
        <v>505</v>
      </c>
      <c r="M43" s="394">
        <v>122.8</v>
      </c>
      <c r="N43" s="394" t="s">
        <v>505</v>
      </c>
      <c r="O43" s="394">
        <v>711.8</v>
      </c>
      <c r="P43" s="394">
        <v>711.6</v>
      </c>
      <c r="Q43" s="394">
        <v>345.8</v>
      </c>
      <c r="R43" s="394">
        <v>800.3</v>
      </c>
      <c r="S43" s="394">
        <v>20.8</v>
      </c>
      <c r="T43" s="394">
        <v>18.8</v>
      </c>
      <c r="U43" s="394">
        <v>29.3</v>
      </c>
      <c r="V43" s="381"/>
    </row>
    <row r="44" spans="1:24" s="252" customFormat="1" ht="11.45" customHeight="1">
      <c r="A44" s="1147">
        <v>2017</v>
      </c>
      <c r="B44" s="439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381"/>
    </row>
    <row r="45" spans="1:24" s="252" customFormat="1" ht="11.45" customHeight="1">
      <c r="A45" s="1178" t="s">
        <v>847</v>
      </c>
      <c r="B45" s="394">
        <v>1192.0999999999999</v>
      </c>
      <c r="C45" s="394">
        <v>89.7</v>
      </c>
      <c r="D45" s="394">
        <v>80.8</v>
      </c>
      <c r="E45" s="394">
        <v>53.4</v>
      </c>
      <c r="F45" s="394">
        <v>54.9</v>
      </c>
      <c r="G45" s="394">
        <v>82.3</v>
      </c>
      <c r="H45" s="394">
        <v>269</v>
      </c>
      <c r="I45" s="394">
        <v>241</v>
      </c>
      <c r="J45" s="394" t="s">
        <v>505</v>
      </c>
      <c r="K45" s="394">
        <v>422.5</v>
      </c>
      <c r="L45" s="394" t="s">
        <v>505</v>
      </c>
      <c r="M45" s="394">
        <v>137.1</v>
      </c>
      <c r="N45" s="394" t="s">
        <v>505</v>
      </c>
      <c r="O45" s="394">
        <v>726.5</v>
      </c>
      <c r="P45" s="394">
        <v>746.6</v>
      </c>
      <c r="Q45" s="394">
        <v>364.7</v>
      </c>
      <c r="R45" s="394">
        <v>771.9</v>
      </c>
      <c r="S45" s="394">
        <v>20.5</v>
      </c>
      <c r="T45" s="394">
        <v>20.5</v>
      </c>
      <c r="U45" s="394">
        <v>29</v>
      </c>
      <c r="V45" s="381"/>
    </row>
    <row r="46" spans="1:24" s="252" customFormat="1" ht="11.45" customHeight="1">
      <c r="A46" s="1179" t="s">
        <v>848</v>
      </c>
      <c r="B46" s="439">
        <v>1234.2</v>
      </c>
      <c r="C46" s="439">
        <v>86.2</v>
      </c>
      <c r="D46" s="439">
        <v>88.8</v>
      </c>
      <c r="E46" s="439">
        <v>54.2</v>
      </c>
      <c r="F46" s="439">
        <v>55.5</v>
      </c>
      <c r="G46" s="439">
        <v>85.2</v>
      </c>
      <c r="H46" s="439">
        <v>270</v>
      </c>
      <c r="I46" s="439">
        <v>247</v>
      </c>
      <c r="J46" s="439" t="s">
        <v>505</v>
      </c>
      <c r="K46" s="439">
        <v>430.1</v>
      </c>
      <c r="L46" s="439" t="s">
        <v>505</v>
      </c>
      <c r="M46" s="439">
        <v>147.30000000000001</v>
      </c>
      <c r="N46" s="439" t="s">
        <v>505</v>
      </c>
      <c r="O46" s="439">
        <v>706.8</v>
      </c>
      <c r="P46" s="439">
        <v>761.4</v>
      </c>
      <c r="Q46" s="439">
        <v>371.4</v>
      </c>
      <c r="R46" s="439">
        <v>742.9</v>
      </c>
      <c r="S46" s="439">
        <v>20.8</v>
      </c>
      <c r="T46" s="439">
        <v>20.3</v>
      </c>
      <c r="U46" s="439">
        <v>30.4</v>
      </c>
      <c r="V46" s="381"/>
    </row>
    <row r="47" spans="1:24" s="252" customFormat="1" ht="11.45" customHeight="1">
      <c r="A47" s="1178" t="s">
        <v>840</v>
      </c>
      <c r="B47" s="394">
        <v>1231.4000000000001</v>
      </c>
      <c r="C47" s="394">
        <v>86.3</v>
      </c>
      <c r="D47" s="394">
        <v>87.2</v>
      </c>
      <c r="E47" s="394">
        <v>51.2</v>
      </c>
      <c r="F47" s="394">
        <v>52</v>
      </c>
      <c r="G47" s="394">
        <v>86.8</v>
      </c>
      <c r="H47" s="394">
        <v>278</v>
      </c>
      <c r="I47" s="394">
        <v>234</v>
      </c>
      <c r="J47" s="394" t="s">
        <v>505</v>
      </c>
      <c r="K47" s="394">
        <v>424.6</v>
      </c>
      <c r="L47" s="394" t="s">
        <v>505</v>
      </c>
      <c r="M47" s="394">
        <v>146.4</v>
      </c>
      <c r="N47" s="394" t="s">
        <v>505</v>
      </c>
      <c r="O47" s="394">
        <v>663.3</v>
      </c>
      <c r="P47" s="394" t="s">
        <v>505</v>
      </c>
      <c r="Q47" s="394">
        <v>356.9</v>
      </c>
      <c r="R47" s="394">
        <v>723.4</v>
      </c>
      <c r="S47" s="394">
        <v>20.5</v>
      </c>
      <c r="T47" s="394">
        <v>18.100000000000001</v>
      </c>
      <c r="U47" s="394">
        <v>29.8</v>
      </c>
      <c r="V47" s="381"/>
    </row>
    <row r="48" spans="1:24" s="252" customFormat="1" ht="11.45" customHeight="1">
      <c r="A48" s="1179" t="s">
        <v>849</v>
      </c>
      <c r="B48" s="439">
        <v>1266.9000000000001</v>
      </c>
      <c r="C48" s="439">
        <v>90.7</v>
      </c>
      <c r="D48" s="439">
        <v>70.400000000000006</v>
      </c>
      <c r="E48" s="439">
        <v>52.4</v>
      </c>
      <c r="F48" s="439">
        <v>53.1</v>
      </c>
      <c r="G48" s="439">
        <v>87</v>
      </c>
      <c r="H48" s="439">
        <v>276</v>
      </c>
      <c r="I48" s="439">
        <v>205</v>
      </c>
      <c r="J48" s="439" t="s">
        <v>505</v>
      </c>
      <c r="K48" s="439">
        <v>410.3</v>
      </c>
      <c r="L48" s="439" t="s">
        <v>505</v>
      </c>
      <c r="M48" s="439">
        <v>138.4</v>
      </c>
      <c r="N48" s="439" t="s">
        <v>505</v>
      </c>
      <c r="O48" s="439">
        <v>623.20000000000005</v>
      </c>
      <c r="P48" s="439" t="s">
        <v>505</v>
      </c>
      <c r="Q48" s="439">
        <v>342.6</v>
      </c>
      <c r="R48" s="439">
        <v>695.3</v>
      </c>
      <c r="S48" s="439">
        <v>21</v>
      </c>
      <c r="T48" s="439">
        <v>16.399999999999999</v>
      </c>
      <c r="U48" s="439">
        <v>28.7</v>
      </c>
      <c r="V48" s="381"/>
    </row>
    <row r="49" spans="1:23" s="252" customFormat="1" ht="11.45" customHeight="1" thickBot="1">
      <c r="A49" s="692" t="s">
        <v>850</v>
      </c>
      <c r="B49" s="1442">
        <v>1246</v>
      </c>
      <c r="C49" s="1442" t="s">
        <v>505</v>
      </c>
      <c r="D49" s="1442">
        <v>61.6</v>
      </c>
      <c r="E49" s="1442">
        <v>50.3</v>
      </c>
      <c r="F49" s="1442">
        <v>50.9</v>
      </c>
      <c r="G49" s="1442">
        <v>88.6</v>
      </c>
      <c r="H49" s="1442">
        <v>273</v>
      </c>
      <c r="I49" s="1442">
        <v>180</v>
      </c>
      <c r="J49" s="1442" t="s">
        <v>505</v>
      </c>
      <c r="K49" s="1442">
        <v>444.7</v>
      </c>
      <c r="L49" s="1442" t="s">
        <v>505</v>
      </c>
      <c r="M49" s="1442">
        <v>146.5</v>
      </c>
      <c r="N49" s="1442" t="s">
        <v>505</v>
      </c>
      <c r="O49" s="1442">
        <v>655.5</v>
      </c>
      <c r="P49" s="1442" t="s">
        <v>505</v>
      </c>
      <c r="Q49" s="1442">
        <v>341</v>
      </c>
      <c r="R49" s="1442">
        <v>714.1</v>
      </c>
      <c r="S49" s="1442">
        <v>21.5</v>
      </c>
      <c r="T49" s="1442">
        <v>15.7</v>
      </c>
      <c r="U49" s="1442">
        <v>28.4</v>
      </c>
      <c r="V49" s="381"/>
    </row>
    <row r="50" spans="1:23" ht="11.25" customHeight="1">
      <c r="A50" s="14" t="s">
        <v>1089</v>
      </c>
      <c r="B50" s="2187" t="s">
        <v>210</v>
      </c>
      <c r="C50" s="2187"/>
      <c r="D50" s="2187"/>
      <c r="E50" s="2187"/>
      <c r="F50" s="2187"/>
      <c r="G50" s="2187"/>
      <c r="H50" s="38"/>
      <c r="I50" s="38"/>
      <c r="J50" s="38"/>
      <c r="R50" s="17"/>
      <c r="S50" s="17"/>
      <c r="T50" s="18"/>
      <c r="U50" s="38"/>
    </row>
    <row r="51" spans="1:23" s="18" customFormat="1" ht="9" customHeight="1">
      <c r="B51" s="2196" t="s">
        <v>211</v>
      </c>
      <c r="C51" s="2196"/>
      <c r="D51" s="2196"/>
      <c r="E51" s="2196"/>
      <c r="F51" s="2196"/>
      <c r="G51" s="2196"/>
      <c r="H51" s="2196"/>
      <c r="I51" s="1165"/>
      <c r="J51" s="1165"/>
      <c r="K51" s="14" t="s">
        <v>990</v>
      </c>
      <c r="L51" s="2040" t="s">
        <v>2189</v>
      </c>
      <c r="M51" s="2040"/>
      <c r="N51" s="2040"/>
      <c r="O51" s="2040"/>
      <c r="P51" s="2040"/>
      <c r="Q51" s="2040"/>
      <c r="S51" s="17"/>
      <c r="T51" s="17"/>
    </row>
    <row r="52" spans="1:23" s="18" customFormat="1" ht="10.5" customHeight="1">
      <c r="B52" s="2187" t="s">
        <v>2018</v>
      </c>
      <c r="C52" s="2187"/>
      <c r="F52" s="120"/>
      <c r="G52" s="204"/>
      <c r="K52" s="18" t="s">
        <v>2414</v>
      </c>
    </row>
    <row r="53" spans="1:23" s="18" customFormat="1" ht="8.25" customHeight="1">
      <c r="A53" s="43"/>
      <c r="F53" s="120"/>
      <c r="G53" s="120"/>
      <c r="I53" s="1085"/>
    </row>
    <row r="54" spans="1:23">
      <c r="C54" s="120"/>
      <c r="D54" s="120"/>
      <c r="E54" s="120"/>
      <c r="F54" s="120"/>
      <c r="G54" s="120"/>
      <c r="H54" s="120"/>
      <c r="I54" s="1085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085"/>
      <c r="V54" s="1085"/>
      <c r="W54" s="120"/>
    </row>
    <row r="55" spans="1:23">
      <c r="C55" s="120"/>
      <c r="D55" s="120"/>
      <c r="E55" s="120"/>
      <c r="F55" s="120"/>
      <c r="G55" s="120"/>
      <c r="H55" s="120"/>
      <c r="I55" s="1085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085"/>
      <c r="V55" s="1085"/>
      <c r="W55" s="120"/>
    </row>
    <row r="56" spans="1:23">
      <c r="C56" s="120"/>
      <c r="D56" s="120"/>
      <c r="E56" s="120"/>
      <c r="F56" s="120"/>
      <c r="G56" s="120"/>
      <c r="H56" s="120"/>
      <c r="I56" s="1085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085"/>
      <c r="V56" s="1085"/>
      <c r="W56" s="120"/>
    </row>
    <row r="57" spans="1:23">
      <c r="C57" s="120"/>
      <c r="D57" s="120"/>
      <c r="E57" s="120"/>
      <c r="F57" s="120"/>
      <c r="G57" s="120"/>
      <c r="H57" s="120"/>
      <c r="I57" s="1085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085"/>
      <c r="V57" s="1085"/>
      <c r="W57" s="120"/>
    </row>
    <row r="58" spans="1:23">
      <c r="C58" s="120"/>
      <c r="D58" s="120"/>
      <c r="E58" s="120"/>
      <c r="F58" s="120"/>
      <c r="G58" s="120"/>
      <c r="H58" s="120"/>
      <c r="I58" s="1085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085"/>
      <c r="V58" s="1085"/>
      <c r="W58" s="120"/>
    </row>
    <row r="59" spans="1:23">
      <c r="C59" s="120"/>
      <c r="D59" s="120"/>
      <c r="E59" s="120"/>
      <c r="F59" s="120"/>
      <c r="G59" s="120"/>
      <c r="H59" s="120"/>
      <c r="I59" s="1085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085"/>
      <c r="V59" s="1085"/>
      <c r="W59" s="120"/>
    </row>
    <row r="60" spans="1:23">
      <c r="C60" s="120"/>
      <c r="D60" s="120"/>
      <c r="E60" s="120"/>
      <c r="F60" s="120"/>
      <c r="G60" s="120"/>
      <c r="H60" s="120"/>
      <c r="I60" s="1085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085"/>
      <c r="V60" s="1085"/>
      <c r="W60" s="120"/>
    </row>
    <row r="61" spans="1:23">
      <c r="C61" s="120"/>
      <c r="D61" s="120"/>
      <c r="E61" s="120"/>
      <c r="F61" s="120"/>
      <c r="G61" s="120"/>
      <c r="H61" s="120"/>
      <c r="I61" s="1085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085"/>
      <c r="V61" s="1085"/>
      <c r="W61" s="120"/>
    </row>
    <row r="62" spans="1:23">
      <c r="C62" s="120"/>
      <c r="D62" s="120"/>
      <c r="E62" s="120"/>
      <c r="F62" s="120"/>
      <c r="G62" s="120"/>
      <c r="H62" s="120"/>
      <c r="I62" s="1085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085"/>
      <c r="V62" s="1085"/>
      <c r="W62" s="120"/>
    </row>
    <row r="63" spans="1:23">
      <c r="C63" s="120"/>
      <c r="D63" s="120"/>
      <c r="E63" s="120"/>
      <c r="F63" s="120"/>
      <c r="G63" s="120"/>
      <c r="H63" s="120"/>
      <c r="I63" s="1085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085"/>
      <c r="V63" s="1085"/>
      <c r="W63" s="120"/>
    </row>
    <row r="64" spans="1:23">
      <c r="C64" s="120"/>
      <c r="D64" s="120"/>
      <c r="E64" s="120"/>
      <c r="F64" s="120"/>
      <c r="G64" s="120"/>
      <c r="H64" s="120"/>
      <c r="I64" s="1085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085"/>
      <c r="V64" s="1085"/>
      <c r="W64" s="120"/>
    </row>
    <row r="65" spans="3:23"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085"/>
      <c r="V65" s="1085"/>
      <c r="W65" s="120"/>
    </row>
    <row r="66" spans="3:23"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085"/>
      <c r="V66" s="18"/>
      <c r="W66" s="120"/>
    </row>
    <row r="67" spans="3:23">
      <c r="C67" s="120"/>
      <c r="D67" s="120"/>
      <c r="E67" s="120"/>
      <c r="F67" s="120"/>
      <c r="G67" s="120"/>
      <c r="H67" s="120"/>
      <c r="I67" s="1086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085"/>
      <c r="V67" s="18"/>
      <c r="W67" s="120"/>
    </row>
    <row r="68" spans="3:23">
      <c r="C68" s="120"/>
      <c r="D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R68" s="120"/>
      <c r="S68" s="120"/>
      <c r="T68" s="120"/>
      <c r="U68" s="1085"/>
      <c r="V68" s="18"/>
      <c r="W68" s="120"/>
    </row>
    <row r="69" spans="3:23">
      <c r="C69" s="120"/>
      <c r="D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R69" s="120"/>
      <c r="S69" s="120"/>
      <c r="T69" s="120"/>
      <c r="U69" s="1085"/>
      <c r="V69" s="18"/>
      <c r="W69" s="120"/>
    </row>
    <row r="70" spans="3:23">
      <c r="D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S70" s="120"/>
      <c r="T70" s="120"/>
      <c r="U70" s="1085"/>
      <c r="V70" s="18"/>
      <c r="W70" s="120"/>
    </row>
    <row r="71" spans="3:23">
      <c r="D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R71" s="120"/>
      <c r="S71" s="120"/>
      <c r="T71" s="120"/>
      <c r="U71" s="1085"/>
      <c r="V71" s="18"/>
      <c r="W71" s="120"/>
    </row>
    <row r="72" spans="3:23"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085"/>
      <c r="V72" s="18"/>
      <c r="W72" s="120"/>
    </row>
    <row r="73" spans="3:23"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085"/>
      <c r="V73" s="18"/>
      <c r="W73" s="120"/>
    </row>
    <row r="74" spans="3:23"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085"/>
      <c r="V74" s="18"/>
      <c r="W74" s="120"/>
    </row>
    <row r="75" spans="3:23"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W75" s="120"/>
    </row>
    <row r="76" spans="3:23">
      <c r="J76" s="120"/>
      <c r="K76" s="120"/>
      <c r="M76" s="120"/>
      <c r="O76" s="120"/>
      <c r="P76" s="120"/>
      <c r="Q76" s="120"/>
      <c r="R76" s="120"/>
    </row>
  </sheetData>
  <mergeCells count="11">
    <mergeCell ref="B52:C52"/>
    <mergeCell ref="L51:Q51"/>
    <mergeCell ref="A1:J1"/>
    <mergeCell ref="K1:R1"/>
    <mergeCell ref="S2:U2"/>
    <mergeCell ref="E2:F2"/>
    <mergeCell ref="S1:U1"/>
    <mergeCell ref="B50:G50"/>
    <mergeCell ref="B51:H51"/>
    <mergeCell ref="O2:P2"/>
    <mergeCell ref="L2:N2"/>
  </mergeCells>
  <phoneticPr fontId="0" type="noConversion"/>
  <pageMargins left="0.62992125984252001" right="0.511811023622047" top="0.511811023622047" bottom="0.511811023622047" header="0" footer="0.39370078740157499"/>
  <pageSetup paperSize="141" firstPageNumber="100" orientation="portrait" useFirstPageNumber="1" r:id="rId1"/>
  <headerFooter alignWithMargins="0">
    <oddFooter>&amp;C&amp;"Times New Roman,Regular"&amp;8&amp;P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6"/>
  <dimension ref="A1:R58"/>
  <sheetViews>
    <sheetView zoomScale="150" zoomScaleNormal="150" workbookViewId="0">
      <pane xSplit="1" ySplit="5" topLeftCell="B39" activePane="bottomRight" state="frozen"/>
      <selection pane="topRight" activeCell="C1" sqref="C1"/>
      <selection pane="bottomLeft" activeCell="A6" sqref="A6"/>
      <selection pane="bottomRight" activeCell="A6" sqref="A6:XFD6"/>
    </sheetView>
  </sheetViews>
  <sheetFormatPr defaultColWidth="9.140625" defaultRowHeight="11.25"/>
  <cols>
    <col min="1" max="1" width="9.28515625" style="3" customWidth="1"/>
    <col min="2" max="2" width="9.140625" style="1"/>
    <col min="3" max="3" width="7.5703125" style="1" customWidth="1"/>
    <col min="4" max="4" width="9.28515625" style="1" customWidth="1"/>
    <col min="5" max="5" width="9.7109375" style="1" customWidth="1"/>
    <col min="6" max="6" width="9.28515625" style="1" customWidth="1"/>
    <col min="7" max="7" width="8.5703125" style="1" customWidth="1"/>
    <col min="8" max="8" width="8.42578125" style="1" customWidth="1"/>
    <col min="9" max="9" width="7.42578125" style="1" customWidth="1"/>
    <col min="10" max="10" width="10.85546875" style="1" customWidth="1"/>
    <col min="11" max="11" width="11.7109375" style="1" customWidth="1"/>
    <col min="12" max="12" width="11.5703125" style="1" customWidth="1"/>
    <col min="13" max="13" width="11.7109375" style="1" customWidth="1"/>
    <col min="14" max="14" width="11.28515625" style="1" customWidth="1"/>
    <col min="15" max="15" width="11.140625" style="1" customWidth="1"/>
    <col min="16" max="16" width="10.85546875" style="3" customWidth="1"/>
    <col min="17" max="16384" width="9.140625" style="1"/>
  </cols>
  <sheetData>
    <row r="1" spans="1:18" s="109" customFormat="1" ht="12.75" customHeight="1">
      <c r="A1" s="2168" t="s">
        <v>297</v>
      </c>
      <c r="B1" s="2168"/>
      <c r="C1" s="2168"/>
      <c r="D1" s="2168"/>
      <c r="E1" s="2168"/>
      <c r="F1" s="2168"/>
      <c r="G1" s="2168"/>
      <c r="H1" s="2168"/>
      <c r="I1" s="2168"/>
      <c r="J1" s="2202" t="s">
        <v>2245</v>
      </c>
      <c r="K1" s="2202"/>
      <c r="L1" s="2202"/>
      <c r="M1" s="2202"/>
      <c r="N1" s="2202"/>
      <c r="O1" s="2200" t="s">
        <v>1868</v>
      </c>
      <c r="P1" s="2200"/>
    </row>
    <row r="2" spans="1:18" s="29" customFormat="1" ht="9.75" customHeight="1">
      <c r="O2" s="2203" t="s">
        <v>41</v>
      </c>
      <c r="P2" s="2203"/>
    </row>
    <row r="3" spans="1:18" s="108" customFormat="1" ht="13.5" customHeight="1">
      <c r="A3" s="2071" t="s">
        <v>764</v>
      </c>
      <c r="B3" s="2067" t="s">
        <v>296</v>
      </c>
      <c r="C3" s="2068"/>
      <c r="D3" s="2068"/>
      <c r="E3" s="2068"/>
      <c r="F3" s="2068"/>
      <c r="G3" s="2068"/>
      <c r="H3" s="2068"/>
      <c r="I3" s="2068"/>
      <c r="J3" s="2068"/>
      <c r="K3" s="2105"/>
      <c r="L3" s="2067" t="s">
        <v>884</v>
      </c>
      <c r="M3" s="2068"/>
      <c r="N3" s="2068"/>
      <c r="O3" s="2069"/>
      <c r="P3" s="1997" t="s">
        <v>764</v>
      </c>
    </row>
    <row r="4" spans="1:18" s="29" customFormat="1" ht="12.75" customHeight="1">
      <c r="A4" s="2071"/>
      <c r="B4" s="2201" t="s">
        <v>1223</v>
      </c>
      <c r="C4" s="2204" t="s">
        <v>493</v>
      </c>
      <c r="D4" s="1979" t="s">
        <v>1526</v>
      </c>
      <c r="E4" s="1979" t="s">
        <v>1224</v>
      </c>
      <c r="F4" s="2012" t="s">
        <v>822</v>
      </c>
      <c r="G4" s="2012"/>
      <c r="H4" s="2206" t="s">
        <v>824</v>
      </c>
      <c r="I4" s="2207"/>
      <c r="J4" s="1979" t="s">
        <v>1528</v>
      </c>
      <c r="K4" s="1979" t="s">
        <v>1529</v>
      </c>
      <c r="L4" s="1873" t="s">
        <v>1527</v>
      </c>
      <c r="M4" s="1873" t="s">
        <v>1530</v>
      </c>
      <c r="N4" s="1873" t="s">
        <v>885</v>
      </c>
      <c r="O4" s="1873" t="s">
        <v>825</v>
      </c>
      <c r="P4" s="1998"/>
    </row>
    <row r="5" spans="1:18" s="29" customFormat="1" ht="11.25" customHeight="1">
      <c r="A5" s="2071"/>
      <c r="B5" s="2201"/>
      <c r="C5" s="2205"/>
      <c r="D5" s="1973"/>
      <c r="E5" s="1973"/>
      <c r="F5" s="27" t="s">
        <v>762</v>
      </c>
      <c r="G5" s="27" t="s">
        <v>823</v>
      </c>
      <c r="H5" s="27" t="s">
        <v>762</v>
      </c>
      <c r="I5" s="27" t="s">
        <v>823</v>
      </c>
      <c r="J5" s="1973"/>
      <c r="K5" s="1973"/>
      <c r="L5" s="1874"/>
      <c r="M5" s="1874"/>
      <c r="N5" s="1874"/>
      <c r="O5" s="1874"/>
      <c r="P5" s="1999"/>
    </row>
    <row r="6" spans="1:18" s="10" customFormat="1" ht="14.1" customHeight="1">
      <c r="A6" s="12" t="s">
        <v>574</v>
      </c>
      <c r="B6" s="19">
        <v>9608.4500000000007</v>
      </c>
      <c r="C6" s="21" t="s">
        <v>505</v>
      </c>
      <c r="D6" s="19">
        <v>214.13</v>
      </c>
      <c r="E6" s="19">
        <v>11748.539999999999</v>
      </c>
      <c r="F6" s="19">
        <v>9179.85</v>
      </c>
      <c r="G6" s="19">
        <v>8474.66</v>
      </c>
      <c r="H6" s="19">
        <v>6001.4099999999989</v>
      </c>
      <c r="I6" s="19">
        <v>1752.8599999999997</v>
      </c>
      <c r="J6" s="19">
        <v>455.76</v>
      </c>
      <c r="K6" s="19">
        <v>47435.659999999996</v>
      </c>
      <c r="L6" s="19" t="s">
        <v>505</v>
      </c>
      <c r="M6" s="19">
        <v>79.47</v>
      </c>
      <c r="N6" s="19">
        <v>135.05999999999997</v>
      </c>
      <c r="O6" s="19" t="s">
        <v>505</v>
      </c>
      <c r="P6" s="100" t="s">
        <v>574</v>
      </c>
    </row>
    <row r="7" spans="1:18" s="11" customFormat="1" ht="14.1" customHeight="1">
      <c r="A7" s="459" t="s">
        <v>114</v>
      </c>
      <c r="B7" s="445">
        <v>9371.1200000000008</v>
      </c>
      <c r="C7" s="445" t="s">
        <v>505</v>
      </c>
      <c r="D7" s="445">
        <v>238.34</v>
      </c>
      <c r="E7" s="445">
        <v>13857.74</v>
      </c>
      <c r="F7" s="445">
        <v>10965.4</v>
      </c>
      <c r="G7" s="445">
        <v>9181.44</v>
      </c>
      <c r="H7" s="445">
        <v>6173.43</v>
      </c>
      <c r="I7" s="445">
        <v>2318.2399999999998</v>
      </c>
      <c r="J7" s="445">
        <v>421.54</v>
      </c>
      <c r="K7" s="445">
        <f>B7+D7+E7+F7+G7+H7+I7+J7</f>
        <v>52527.25</v>
      </c>
      <c r="L7" s="445">
        <v>222.91</v>
      </c>
      <c r="M7" s="445">
        <v>56.62</v>
      </c>
      <c r="N7" s="445">
        <v>86.44</v>
      </c>
      <c r="O7" s="445" t="s">
        <v>505</v>
      </c>
      <c r="P7" s="460" t="s">
        <v>114</v>
      </c>
    </row>
    <row r="8" spans="1:18" s="11" customFormat="1" ht="14.1" customHeight="1">
      <c r="A8" s="12" t="s">
        <v>110</v>
      </c>
      <c r="B8" s="21">
        <v>8997.119999999999</v>
      </c>
      <c r="C8" s="21" t="s">
        <v>505</v>
      </c>
      <c r="D8" s="21">
        <v>347.49000000000007</v>
      </c>
      <c r="E8" s="21">
        <v>17042.28</v>
      </c>
      <c r="F8" s="21">
        <v>13816.849999999999</v>
      </c>
      <c r="G8" s="21">
        <v>10651.220000000001</v>
      </c>
      <c r="H8" s="21">
        <v>7593.34</v>
      </c>
      <c r="I8" s="21">
        <v>3203.1299999999997</v>
      </c>
      <c r="J8" s="21">
        <v>390.73</v>
      </c>
      <c r="K8" s="21">
        <v>62042.159999999989</v>
      </c>
      <c r="L8" s="21">
        <v>357.61000000000007</v>
      </c>
      <c r="M8" s="21">
        <v>46.46</v>
      </c>
      <c r="N8" s="21">
        <v>342.97</v>
      </c>
      <c r="O8" s="21" t="s">
        <v>505</v>
      </c>
      <c r="P8" s="100" t="s">
        <v>110</v>
      </c>
    </row>
    <row r="9" spans="1:18" s="11" customFormat="1" ht="14.1" customHeight="1">
      <c r="A9" s="459" t="s">
        <v>253</v>
      </c>
      <c r="B9" s="445">
        <v>11574.13</v>
      </c>
      <c r="C9" s="445">
        <v>28.710000000000004</v>
      </c>
      <c r="D9" s="445">
        <v>486.18</v>
      </c>
      <c r="E9" s="445">
        <v>23007.520000000004</v>
      </c>
      <c r="F9" s="445">
        <v>17827.949999999997</v>
      </c>
      <c r="G9" s="445">
        <v>12375.810000000001</v>
      </c>
      <c r="H9" s="445">
        <v>9701.1600000000017</v>
      </c>
      <c r="I9" s="445">
        <v>3998.71</v>
      </c>
      <c r="J9" s="445">
        <v>402.94000000000005</v>
      </c>
      <c r="K9" s="445">
        <v>79403.11</v>
      </c>
      <c r="L9" s="445">
        <v>243.66</v>
      </c>
      <c r="M9" s="445">
        <v>57.26</v>
      </c>
      <c r="N9" s="445">
        <v>175.67000000000002</v>
      </c>
      <c r="O9" s="445">
        <v>1476.8200000000002</v>
      </c>
      <c r="P9" s="460" t="s">
        <v>253</v>
      </c>
    </row>
    <row r="10" spans="1:18" s="11" customFormat="1" ht="14.1" customHeight="1">
      <c r="A10" s="362" t="s">
        <v>1169</v>
      </c>
      <c r="B10" s="40">
        <v>13153.5</v>
      </c>
      <c r="C10" s="40">
        <v>38.950000000000003</v>
      </c>
      <c r="D10" s="40">
        <v>660.36</v>
      </c>
      <c r="E10" s="40">
        <v>28652.63</v>
      </c>
      <c r="F10" s="40">
        <v>21984.81</v>
      </c>
      <c r="G10" s="40">
        <v>13792.62</v>
      </c>
      <c r="H10" s="40">
        <v>11923.97</v>
      </c>
      <c r="I10" s="40">
        <v>4367.71</v>
      </c>
      <c r="J10" s="40">
        <v>484.44</v>
      </c>
      <c r="K10" s="40">
        <v>95058.99</v>
      </c>
      <c r="L10" s="40">
        <v>407.8</v>
      </c>
      <c r="M10" s="40">
        <v>64.63</v>
      </c>
      <c r="N10" s="40">
        <v>217.14</v>
      </c>
      <c r="O10" s="40">
        <v>2018.8599999999997</v>
      </c>
      <c r="P10" s="364" t="s">
        <v>1169</v>
      </c>
      <c r="R10" s="246"/>
    </row>
    <row r="11" spans="1:18" s="11" customFormat="1" ht="14.1" customHeight="1">
      <c r="A11" s="459" t="s">
        <v>1361</v>
      </c>
      <c r="B11" s="445">
        <v>13322.45</v>
      </c>
      <c r="C11" s="445">
        <v>33.47</v>
      </c>
      <c r="D11" s="445">
        <v>772.53</v>
      </c>
      <c r="E11" s="445">
        <v>37120.65</v>
      </c>
      <c r="F11" s="445">
        <v>26367.260000000002</v>
      </c>
      <c r="G11" s="445">
        <v>14846.48</v>
      </c>
      <c r="H11" s="445">
        <v>11985.29</v>
      </c>
      <c r="I11" s="445">
        <v>4205.01</v>
      </c>
      <c r="J11" s="445">
        <v>498.59</v>
      </c>
      <c r="K11" s="445">
        <v>109151.73</v>
      </c>
      <c r="L11" s="445">
        <v>293.5</v>
      </c>
      <c r="M11" s="445">
        <v>75.7</v>
      </c>
      <c r="N11" s="445">
        <v>166.19</v>
      </c>
      <c r="O11" s="445">
        <v>2015.1900000000003</v>
      </c>
      <c r="P11" s="460" t="s">
        <v>1361</v>
      </c>
      <c r="R11" s="246"/>
    </row>
    <row r="12" spans="1:18" s="393" customFormat="1" ht="14.1" customHeight="1">
      <c r="A12" s="1265" t="s">
        <v>1693</v>
      </c>
      <c r="B12" s="40">
        <v>13650.83</v>
      </c>
      <c r="C12" s="40">
        <v>41.980000000000004</v>
      </c>
      <c r="D12" s="40">
        <v>822.39</v>
      </c>
      <c r="E12" s="40">
        <v>43207.27</v>
      </c>
      <c r="F12" s="40">
        <v>29252.109999999997</v>
      </c>
      <c r="G12" s="40">
        <v>15325.119999999999</v>
      </c>
      <c r="H12" s="40">
        <v>13647.190000000002</v>
      </c>
      <c r="I12" s="40">
        <v>4335.7699999999995</v>
      </c>
      <c r="J12" s="40">
        <v>643.71</v>
      </c>
      <c r="K12" s="40">
        <v>120819.84999999998</v>
      </c>
      <c r="L12" s="40">
        <v>424.8</v>
      </c>
      <c r="M12" s="40">
        <v>71.41</v>
      </c>
      <c r="N12" s="40">
        <v>219.57</v>
      </c>
      <c r="O12" s="40">
        <v>2214.5200000000004</v>
      </c>
      <c r="P12" s="396" t="s">
        <v>1693</v>
      </c>
      <c r="R12" s="394"/>
    </row>
    <row r="13" spans="1:18" s="393" customFormat="1" ht="14.1" customHeight="1">
      <c r="A13" s="1349" t="s">
        <v>1795</v>
      </c>
      <c r="B13" s="439">
        <v>15349.850000000002</v>
      </c>
      <c r="C13" s="439">
        <v>40.630000000000003</v>
      </c>
      <c r="D13" s="439">
        <v>960.37999999999988</v>
      </c>
      <c r="E13" s="439">
        <v>47477.399999999994</v>
      </c>
      <c r="F13" s="439">
        <v>32290.130000000005</v>
      </c>
      <c r="G13" s="439">
        <v>17690.469999999998</v>
      </c>
      <c r="H13" s="439">
        <v>15758.310000000001</v>
      </c>
      <c r="I13" s="439">
        <v>5252.42</v>
      </c>
      <c r="J13" s="439">
        <v>881.11</v>
      </c>
      <c r="K13" s="439">
        <v>135700.70000000001</v>
      </c>
      <c r="L13" s="445">
        <v>362.66</v>
      </c>
      <c r="M13" s="445">
        <v>86.53</v>
      </c>
      <c r="N13" s="445">
        <v>253.13</v>
      </c>
      <c r="O13" s="445">
        <v>2139.31</v>
      </c>
      <c r="P13" s="497" t="s">
        <v>1795</v>
      </c>
      <c r="R13" s="394"/>
    </row>
    <row r="14" spans="1:18" s="393" customFormat="1" ht="14.1" customHeight="1">
      <c r="A14" s="657" t="s">
        <v>1996</v>
      </c>
      <c r="B14" s="530">
        <v>18016.580000000002</v>
      </c>
      <c r="C14" s="530">
        <v>32.749999999999993</v>
      </c>
      <c r="D14" s="530">
        <v>1582.0299999999997</v>
      </c>
      <c r="E14" s="530">
        <v>53235.45</v>
      </c>
      <c r="F14" s="530">
        <v>34862.82</v>
      </c>
      <c r="G14" s="530">
        <v>20583.86</v>
      </c>
      <c r="H14" s="530">
        <v>19630.96</v>
      </c>
      <c r="I14" s="530">
        <v>6560.2000000000007</v>
      </c>
      <c r="J14" s="530">
        <v>1014.0699999999999</v>
      </c>
      <c r="K14" s="530">
        <v>155518.71999999997</v>
      </c>
      <c r="L14" s="214">
        <v>432.78999999999996</v>
      </c>
      <c r="M14" s="214">
        <v>95.44</v>
      </c>
      <c r="N14" s="214">
        <v>195.29999999999998</v>
      </c>
      <c r="O14" s="214">
        <v>2279.71</v>
      </c>
      <c r="P14" s="746" t="s">
        <v>1996</v>
      </c>
      <c r="Q14" s="394"/>
    </row>
    <row r="15" spans="1:18" s="393" customFormat="1" ht="14.1" customHeight="1">
      <c r="A15" s="1436" t="s">
        <v>2092</v>
      </c>
      <c r="B15" s="517">
        <f>SUM(B16:B27)</f>
        <v>21069.19</v>
      </c>
      <c r="C15" s="517">
        <f t="shared" ref="C15:N15" si="0">SUM(C16:C27)</f>
        <v>22.699999999999996</v>
      </c>
      <c r="D15" s="517">
        <f t="shared" si="0"/>
        <v>1790.5100000000002</v>
      </c>
      <c r="E15" s="517">
        <f t="shared" si="0"/>
        <v>52754.93</v>
      </c>
      <c r="F15" s="517">
        <f t="shared" si="0"/>
        <v>38287.759999999995</v>
      </c>
      <c r="G15" s="517">
        <f t="shared" si="0"/>
        <v>25561.09</v>
      </c>
      <c r="H15" s="517">
        <f t="shared" si="0"/>
        <v>23481.699999999997</v>
      </c>
      <c r="I15" s="517">
        <f t="shared" si="0"/>
        <v>7628.89</v>
      </c>
      <c r="J15" s="517">
        <f t="shared" si="0"/>
        <v>1059.67</v>
      </c>
      <c r="K15" s="517">
        <f t="shared" si="0"/>
        <v>171656.43999999997</v>
      </c>
      <c r="L15" s="450">
        <f t="shared" si="0"/>
        <v>1684.0539999999999</v>
      </c>
      <c r="M15" s="450">
        <f t="shared" si="0"/>
        <v>100.30000000000001</v>
      </c>
      <c r="N15" s="450">
        <f t="shared" si="0"/>
        <v>374.15</v>
      </c>
      <c r="O15" s="450">
        <f>SUM(O16:O27)</f>
        <v>2470.79</v>
      </c>
      <c r="P15" s="834" t="s">
        <v>2092</v>
      </c>
      <c r="Q15" s="394"/>
    </row>
    <row r="16" spans="1:18" s="393" customFormat="1" ht="14.1" customHeight="1">
      <c r="A16" s="361" t="s">
        <v>843</v>
      </c>
      <c r="B16" s="394">
        <v>1227.53</v>
      </c>
      <c r="C16" s="394">
        <v>2.15</v>
      </c>
      <c r="D16" s="394">
        <v>38.65</v>
      </c>
      <c r="E16" s="394">
        <v>3066.63</v>
      </c>
      <c r="F16" s="394">
        <v>2303.66</v>
      </c>
      <c r="G16" s="394">
        <v>1456.31</v>
      </c>
      <c r="H16" s="394">
        <v>1239.6400000000001</v>
      </c>
      <c r="I16" s="394">
        <v>442.7</v>
      </c>
      <c r="J16" s="394">
        <f>0.29+75.51</f>
        <v>75.800000000000011</v>
      </c>
      <c r="K16" s="394">
        <f t="shared" ref="K16:K27" si="1">SUM(B16:J16)</f>
        <v>9853.07</v>
      </c>
      <c r="L16" s="394">
        <v>15.82</v>
      </c>
      <c r="M16" s="394">
        <v>3.72</v>
      </c>
      <c r="N16" s="394">
        <v>17.239999999999998</v>
      </c>
      <c r="O16" s="394">
        <v>148.08000000000001</v>
      </c>
      <c r="P16" s="396" t="s">
        <v>843</v>
      </c>
      <c r="Q16" s="394"/>
    </row>
    <row r="17" spans="1:17" s="393" customFormat="1" ht="14.1" customHeight="1">
      <c r="A17" s="898" t="s">
        <v>844</v>
      </c>
      <c r="B17" s="439">
        <v>1733.48</v>
      </c>
      <c r="C17" s="439">
        <v>2.21</v>
      </c>
      <c r="D17" s="439">
        <v>49.46</v>
      </c>
      <c r="E17" s="439">
        <v>2578.75</v>
      </c>
      <c r="F17" s="439">
        <v>2899.26</v>
      </c>
      <c r="G17" s="439">
        <v>2068.13</v>
      </c>
      <c r="H17" s="439">
        <v>1910.42</v>
      </c>
      <c r="I17" s="439">
        <v>705.91</v>
      </c>
      <c r="J17" s="439">
        <f>0.17+82.39</f>
        <v>82.56</v>
      </c>
      <c r="K17" s="439">
        <f t="shared" si="1"/>
        <v>12030.18</v>
      </c>
      <c r="L17" s="439">
        <v>31.75</v>
      </c>
      <c r="M17" s="439">
        <v>8.23</v>
      </c>
      <c r="N17" s="439">
        <v>25.87</v>
      </c>
      <c r="O17" s="439">
        <v>202.65</v>
      </c>
      <c r="P17" s="497" t="s">
        <v>844</v>
      </c>
      <c r="Q17" s="394"/>
    </row>
    <row r="18" spans="1:17" s="393" customFormat="1" ht="14.1" customHeight="1">
      <c r="A18" s="361" t="s">
        <v>838</v>
      </c>
      <c r="B18" s="394">
        <v>1448.41</v>
      </c>
      <c r="C18" s="394">
        <v>0.47</v>
      </c>
      <c r="D18" s="394">
        <v>54.3</v>
      </c>
      <c r="E18" s="394">
        <v>4473.28</v>
      </c>
      <c r="F18" s="394">
        <v>3014.63</v>
      </c>
      <c r="G18" s="394">
        <v>1814.99</v>
      </c>
      <c r="H18" s="394">
        <v>2172.4699999999998</v>
      </c>
      <c r="I18" s="394">
        <v>525.16999999999996</v>
      </c>
      <c r="J18" s="394">
        <f>0.16+91.09</f>
        <v>91.25</v>
      </c>
      <c r="K18" s="394">
        <f t="shared" si="1"/>
        <v>13594.97</v>
      </c>
      <c r="L18" s="394">
        <v>29.23</v>
      </c>
      <c r="M18" s="394">
        <v>4.8600000000000003</v>
      </c>
      <c r="N18" s="394">
        <v>21.66</v>
      </c>
      <c r="O18" s="394">
        <v>181.13</v>
      </c>
      <c r="P18" s="396" t="s">
        <v>838</v>
      </c>
      <c r="Q18" s="394"/>
    </row>
    <row r="19" spans="1:17" s="393" customFormat="1" ht="14.1" customHeight="1">
      <c r="A19" s="898" t="s">
        <v>845</v>
      </c>
      <c r="B19" s="439">
        <v>1560.43</v>
      </c>
      <c r="C19" s="439">
        <v>4.28</v>
      </c>
      <c r="D19" s="439">
        <v>54.4</v>
      </c>
      <c r="E19" s="439">
        <v>2790.01</v>
      </c>
      <c r="F19" s="439">
        <v>3178.26</v>
      </c>
      <c r="G19" s="439">
        <v>1940.56</v>
      </c>
      <c r="H19" s="439">
        <v>2158.98</v>
      </c>
      <c r="I19" s="439">
        <v>585.84</v>
      </c>
      <c r="J19" s="439">
        <f>0.23+93.92</f>
        <v>94.15</v>
      </c>
      <c r="K19" s="439">
        <f t="shared" si="1"/>
        <v>12366.91</v>
      </c>
      <c r="L19" s="439">
        <v>36.86</v>
      </c>
      <c r="M19" s="439">
        <v>7.51</v>
      </c>
      <c r="N19" s="439">
        <v>23.06</v>
      </c>
      <c r="O19" s="439">
        <v>180.26</v>
      </c>
      <c r="P19" s="497" t="s">
        <v>845</v>
      </c>
      <c r="Q19" s="394"/>
    </row>
    <row r="20" spans="1:17" s="393" customFormat="1" ht="14.1" customHeight="1">
      <c r="A20" s="361" t="s">
        <v>846</v>
      </c>
      <c r="B20" s="394">
        <v>1786.95</v>
      </c>
      <c r="C20" s="394">
        <v>3.07</v>
      </c>
      <c r="D20" s="394">
        <v>55.65</v>
      </c>
      <c r="E20" s="394">
        <v>3177.38</v>
      </c>
      <c r="F20" s="394">
        <v>3176.57</v>
      </c>
      <c r="G20" s="394">
        <v>2232.84</v>
      </c>
      <c r="H20" s="394">
        <v>2004.75</v>
      </c>
      <c r="I20" s="394">
        <v>657.44</v>
      </c>
      <c r="J20" s="394">
        <f>0.17+96.54</f>
        <v>96.710000000000008</v>
      </c>
      <c r="K20" s="394">
        <f t="shared" si="1"/>
        <v>13191.36</v>
      </c>
      <c r="L20" s="394">
        <v>47.9</v>
      </c>
      <c r="M20" s="394">
        <v>8.52</v>
      </c>
      <c r="N20" s="394">
        <v>23.41</v>
      </c>
      <c r="O20" s="394">
        <v>178.94</v>
      </c>
      <c r="P20" s="396" t="s">
        <v>846</v>
      </c>
      <c r="Q20" s="394"/>
    </row>
    <row r="21" spans="1:17" s="393" customFormat="1" ht="14.1" customHeight="1">
      <c r="A21" s="898" t="s">
        <v>839</v>
      </c>
      <c r="B21" s="439">
        <v>1892.87</v>
      </c>
      <c r="C21" s="439">
        <v>3.26</v>
      </c>
      <c r="D21" s="439">
        <v>596.32000000000005</v>
      </c>
      <c r="E21" s="439">
        <v>5491.64</v>
      </c>
      <c r="F21" s="439">
        <v>3230.71</v>
      </c>
      <c r="G21" s="439">
        <v>2217.87</v>
      </c>
      <c r="H21" s="439">
        <v>1580.9</v>
      </c>
      <c r="I21" s="439">
        <v>547.33000000000004</v>
      </c>
      <c r="J21" s="439">
        <f>0.21+94.02</f>
        <v>94.22999999999999</v>
      </c>
      <c r="K21" s="439">
        <f t="shared" si="1"/>
        <v>15655.129999999997</v>
      </c>
      <c r="L21" s="439">
        <v>45.52</v>
      </c>
      <c r="M21" s="439">
        <v>8.14</v>
      </c>
      <c r="N21" s="439">
        <v>18.39</v>
      </c>
      <c r="O21" s="439">
        <v>368.22</v>
      </c>
      <c r="P21" s="497" t="s">
        <v>839</v>
      </c>
      <c r="Q21" s="394"/>
    </row>
    <row r="22" spans="1:17" s="393" customFormat="1" ht="14.1" customHeight="1">
      <c r="A22" s="361" t="s">
        <v>847</v>
      </c>
      <c r="B22" s="394">
        <v>2062.59</v>
      </c>
      <c r="C22" s="394">
        <v>0.8</v>
      </c>
      <c r="D22" s="394">
        <v>390.62</v>
      </c>
      <c r="E22" s="394">
        <v>4318.4399999999996</v>
      </c>
      <c r="F22" s="394">
        <v>3359.55</v>
      </c>
      <c r="G22" s="394">
        <v>2416.88</v>
      </c>
      <c r="H22" s="394">
        <v>2180.52</v>
      </c>
      <c r="I22" s="394">
        <v>653.58000000000004</v>
      </c>
      <c r="J22" s="394">
        <f>0.18+95.05</f>
        <v>95.23</v>
      </c>
      <c r="K22" s="394">
        <f t="shared" si="1"/>
        <v>15478.210000000001</v>
      </c>
      <c r="L22" s="394">
        <v>42.32</v>
      </c>
      <c r="M22" s="394">
        <v>8.5299999999999994</v>
      </c>
      <c r="N22" s="394">
        <v>26.22</v>
      </c>
      <c r="O22" s="394">
        <v>183.41</v>
      </c>
      <c r="P22" s="396" t="s">
        <v>847</v>
      </c>
      <c r="Q22" s="394"/>
    </row>
    <row r="23" spans="1:17" s="393" customFormat="1" ht="14.1" customHeight="1">
      <c r="A23" s="898" t="s">
        <v>848</v>
      </c>
      <c r="B23" s="439">
        <v>1730.05</v>
      </c>
      <c r="C23" s="439">
        <v>1.02</v>
      </c>
      <c r="D23" s="439">
        <v>232.75</v>
      </c>
      <c r="E23" s="439">
        <v>3586.43</v>
      </c>
      <c r="F23" s="439">
        <v>2956.54</v>
      </c>
      <c r="G23" s="439">
        <v>2175.0300000000002</v>
      </c>
      <c r="H23" s="439">
        <v>1777.26</v>
      </c>
      <c r="I23" s="439">
        <v>670.24</v>
      </c>
      <c r="J23" s="439">
        <f>0.18+89.36</f>
        <v>89.54</v>
      </c>
      <c r="K23" s="439">
        <f t="shared" si="1"/>
        <v>13218.860000000002</v>
      </c>
      <c r="L23" s="439">
        <v>40.26</v>
      </c>
      <c r="M23" s="439">
        <v>9.86</v>
      </c>
      <c r="N23" s="439">
        <v>22.36</v>
      </c>
      <c r="O23" s="439">
        <v>172.69</v>
      </c>
      <c r="P23" s="497" t="s">
        <v>848</v>
      </c>
      <c r="Q23" s="394"/>
    </row>
    <row r="24" spans="1:17" s="393" customFormat="1" ht="14.1" customHeight="1">
      <c r="A24" s="361" t="s">
        <v>840</v>
      </c>
      <c r="B24" s="394">
        <v>1850.9</v>
      </c>
      <c r="C24" s="394">
        <v>2.59</v>
      </c>
      <c r="D24" s="394">
        <v>126.49</v>
      </c>
      <c r="E24" s="394">
        <v>5922.58</v>
      </c>
      <c r="F24" s="394">
        <v>3458.02</v>
      </c>
      <c r="G24" s="394">
        <v>2339.17</v>
      </c>
      <c r="H24" s="394">
        <v>2325.65</v>
      </c>
      <c r="I24" s="394">
        <v>708.66</v>
      </c>
      <c r="J24" s="394">
        <f>0.19+78.05</f>
        <v>78.239999999999995</v>
      </c>
      <c r="K24" s="394">
        <f t="shared" si="1"/>
        <v>16812.300000000003</v>
      </c>
      <c r="L24" s="394">
        <v>52.5</v>
      </c>
      <c r="M24" s="394">
        <v>12</v>
      </c>
      <c r="N24" s="394">
        <v>25.43</v>
      </c>
      <c r="O24" s="394">
        <v>243.9</v>
      </c>
      <c r="P24" s="396" t="s">
        <v>840</v>
      </c>
      <c r="Q24" s="394"/>
    </row>
    <row r="25" spans="1:17" s="393" customFormat="1" ht="14.1" customHeight="1">
      <c r="A25" s="898" t="s">
        <v>849</v>
      </c>
      <c r="B25" s="439">
        <v>1883</v>
      </c>
      <c r="C25" s="439">
        <v>0.86</v>
      </c>
      <c r="D25" s="439">
        <v>65.89</v>
      </c>
      <c r="E25" s="439">
        <v>3817.44</v>
      </c>
      <c r="F25" s="439">
        <v>3446.5</v>
      </c>
      <c r="G25" s="439">
        <v>2339.21</v>
      </c>
      <c r="H25" s="439">
        <v>2344.8000000000002</v>
      </c>
      <c r="I25" s="439">
        <v>721.3</v>
      </c>
      <c r="J25" s="439">
        <f>0.08+73.58</f>
        <v>73.66</v>
      </c>
      <c r="K25" s="439">
        <f t="shared" si="1"/>
        <v>14692.66</v>
      </c>
      <c r="L25" s="439">
        <v>61.2</v>
      </c>
      <c r="M25" s="439">
        <v>9.7799999999999994</v>
      </c>
      <c r="N25" s="439">
        <v>25.17</v>
      </c>
      <c r="O25" s="439">
        <v>217.91</v>
      </c>
      <c r="P25" s="497" t="s">
        <v>849</v>
      </c>
      <c r="Q25" s="394"/>
    </row>
    <row r="26" spans="1:17" s="393" customFormat="1" ht="14.1" customHeight="1">
      <c r="A26" s="361" t="s">
        <v>850</v>
      </c>
      <c r="B26" s="394">
        <v>1997.5</v>
      </c>
      <c r="C26" s="394">
        <v>0.56999999999999995</v>
      </c>
      <c r="D26" s="394">
        <v>57.19</v>
      </c>
      <c r="E26" s="394">
        <v>4183.57</v>
      </c>
      <c r="F26" s="394">
        <v>3366.65</v>
      </c>
      <c r="G26" s="394">
        <v>2531.91</v>
      </c>
      <c r="H26" s="394">
        <v>2416.87</v>
      </c>
      <c r="I26" s="394">
        <v>787.13</v>
      </c>
      <c r="J26" s="394">
        <f>0.3+83.49</f>
        <v>83.789999999999992</v>
      </c>
      <c r="K26" s="394">
        <f t="shared" si="1"/>
        <v>15425.179999999998</v>
      </c>
      <c r="L26" s="394">
        <v>68.343999999999994</v>
      </c>
      <c r="M26" s="394">
        <v>7.86</v>
      </c>
      <c r="N26" s="394">
        <v>25.78</v>
      </c>
      <c r="O26" s="394">
        <v>194.79</v>
      </c>
      <c r="P26" s="316" t="s">
        <v>850</v>
      </c>
      <c r="Q26" s="394"/>
    </row>
    <row r="27" spans="1:17" s="393" customFormat="1" ht="14.1" customHeight="1">
      <c r="A27" s="898" t="s">
        <v>841</v>
      </c>
      <c r="B27" s="439">
        <v>1895.48</v>
      </c>
      <c r="C27" s="439">
        <v>1.42</v>
      </c>
      <c r="D27" s="439">
        <v>68.790000000000006</v>
      </c>
      <c r="E27" s="439">
        <v>9348.7800000000007</v>
      </c>
      <c r="F27" s="439">
        <v>3897.41</v>
      </c>
      <c r="G27" s="439">
        <v>2028.19</v>
      </c>
      <c r="H27" s="439">
        <v>1369.44</v>
      </c>
      <c r="I27" s="439">
        <v>623.59</v>
      </c>
      <c r="J27" s="439">
        <f>0.29+104.22</f>
        <v>104.51</v>
      </c>
      <c r="K27" s="439">
        <f t="shared" si="1"/>
        <v>19337.609999999997</v>
      </c>
      <c r="L27" s="439">
        <v>1212.3499999999999</v>
      </c>
      <c r="M27" s="439">
        <v>11.29</v>
      </c>
      <c r="N27" s="439">
        <v>119.56</v>
      </c>
      <c r="O27" s="439">
        <v>198.81</v>
      </c>
      <c r="P27" s="452" t="s">
        <v>841</v>
      </c>
      <c r="Q27" s="394"/>
    </row>
    <row r="28" spans="1:17" s="393" customFormat="1" ht="14.1" customHeight="1">
      <c r="A28" s="657" t="s">
        <v>2366</v>
      </c>
      <c r="B28" s="530">
        <f>SUM(B29:B40)</f>
        <v>24502.12</v>
      </c>
      <c r="C28" s="530">
        <f t="shared" ref="C28:K28" si="2">SUM(C29:C40)</f>
        <v>35.769999999999996</v>
      </c>
      <c r="D28" s="530">
        <f t="shared" si="2"/>
        <v>2080.3399999999997</v>
      </c>
      <c r="E28" s="530">
        <f t="shared" si="2"/>
        <v>64548.260000000009</v>
      </c>
      <c r="F28" s="530">
        <f t="shared" si="2"/>
        <v>47171.799999999996</v>
      </c>
      <c r="G28" s="530">
        <f t="shared" si="2"/>
        <v>29367.759999999998</v>
      </c>
      <c r="H28" s="530">
        <f t="shared" si="2"/>
        <v>29639.15</v>
      </c>
      <c r="I28" s="530">
        <f t="shared" si="2"/>
        <v>7912.2300000000005</v>
      </c>
      <c r="J28" s="530">
        <f t="shared" si="2"/>
        <v>1149.8200000000002</v>
      </c>
      <c r="K28" s="530">
        <f t="shared" si="2"/>
        <v>206407.25</v>
      </c>
      <c r="L28" s="394"/>
      <c r="M28" s="394"/>
      <c r="N28" s="394"/>
      <c r="O28" s="394"/>
      <c r="P28" s="746" t="s">
        <v>2366</v>
      </c>
      <c r="Q28" s="394"/>
    </row>
    <row r="29" spans="1:17" s="393" customFormat="1" ht="14.1" customHeight="1">
      <c r="A29" s="898" t="s">
        <v>843</v>
      </c>
      <c r="B29" s="439">
        <v>1908.89</v>
      </c>
      <c r="C29" s="439">
        <v>3.95</v>
      </c>
      <c r="D29" s="439">
        <v>58.56</v>
      </c>
      <c r="E29" s="439">
        <v>2991.95</v>
      </c>
      <c r="F29" s="439">
        <v>3610.21</v>
      </c>
      <c r="G29" s="439">
        <v>2196.31</v>
      </c>
      <c r="H29" s="439">
        <v>1705.32</v>
      </c>
      <c r="I29" s="439">
        <v>667.85</v>
      </c>
      <c r="J29" s="439">
        <f>0.12+82.49</f>
        <v>82.61</v>
      </c>
      <c r="K29" s="439">
        <f t="shared" ref="K29:K45" si="3">SUM(B29:J29)</f>
        <v>13225.650000000001</v>
      </c>
      <c r="L29" s="439">
        <v>36.81</v>
      </c>
      <c r="M29" s="439">
        <v>4.97</v>
      </c>
      <c r="N29" s="439">
        <v>24.67</v>
      </c>
      <c r="O29" s="439">
        <v>196.81</v>
      </c>
      <c r="P29" s="452" t="s">
        <v>843</v>
      </c>
      <c r="Q29" s="394"/>
    </row>
    <row r="30" spans="1:17" s="393" customFormat="1" ht="14.1" customHeight="1">
      <c r="A30" s="361" t="s">
        <v>844</v>
      </c>
      <c r="B30" s="394">
        <v>2071.38</v>
      </c>
      <c r="C30" s="394">
        <v>3.39</v>
      </c>
      <c r="D30" s="394">
        <v>77.87</v>
      </c>
      <c r="E30" s="394">
        <v>3516.74</v>
      </c>
      <c r="F30" s="394">
        <v>3605.58</v>
      </c>
      <c r="G30" s="394">
        <v>2369.59</v>
      </c>
      <c r="H30" s="394">
        <v>2193.65</v>
      </c>
      <c r="I30" s="394">
        <v>723.6</v>
      </c>
      <c r="J30" s="394">
        <f>0.11+88.57</f>
        <v>88.679999999999993</v>
      </c>
      <c r="K30" s="394">
        <f t="shared" si="3"/>
        <v>14650.48</v>
      </c>
      <c r="L30" s="394">
        <v>41.19</v>
      </c>
      <c r="M30" s="394">
        <v>5.31</v>
      </c>
      <c r="N30" s="394">
        <v>23.85</v>
      </c>
      <c r="O30" s="394">
        <v>190.91</v>
      </c>
      <c r="P30" s="316" t="s">
        <v>844</v>
      </c>
      <c r="Q30" s="394"/>
    </row>
    <row r="31" spans="1:17" s="393" customFormat="1" ht="14.1" customHeight="1">
      <c r="A31" s="898" t="s">
        <v>838</v>
      </c>
      <c r="B31" s="439">
        <v>1649.4</v>
      </c>
      <c r="C31" s="439">
        <v>1.18</v>
      </c>
      <c r="D31" s="439">
        <v>81.47</v>
      </c>
      <c r="E31" s="439">
        <v>5066.8100000000004</v>
      </c>
      <c r="F31" s="439">
        <v>3551.11</v>
      </c>
      <c r="G31" s="439">
        <v>1908.62</v>
      </c>
      <c r="H31" s="439">
        <v>2880.52</v>
      </c>
      <c r="I31" s="439">
        <v>520.96</v>
      </c>
      <c r="J31" s="439">
        <f>0.22+91.86</f>
        <v>92.08</v>
      </c>
      <c r="K31" s="439">
        <f t="shared" si="3"/>
        <v>15752.15</v>
      </c>
      <c r="L31" s="439">
        <v>45.05</v>
      </c>
      <c r="M31" s="439">
        <v>5.83</v>
      </c>
      <c r="N31" s="439">
        <v>22.11</v>
      </c>
      <c r="O31" s="439">
        <v>181.73</v>
      </c>
      <c r="P31" s="452" t="s">
        <v>838</v>
      </c>
      <c r="Q31" s="394"/>
    </row>
    <row r="32" spans="1:17" s="393" customFormat="1" ht="14.1" customHeight="1">
      <c r="A32" s="361" t="s">
        <v>845</v>
      </c>
      <c r="B32" s="394">
        <v>1959.98</v>
      </c>
      <c r="C32" s="394">
        <v>5.34</v>
      </c>
      <c r="D32" s="394">
        <v>85.49</v>
      </c>
      <c r="E32" s="394">
        <v>3760.28</v>
      </c>
      <c r="F32" s="394">
        <v>3746.86</v>
      </c>
      <c r="G32" s="394">
        <v>2307.4299999999998</v>
      </c>
      <c r="H32" s="394">
        <v>2334.23</v>
      </c>
      <c r="I32" s="394">
        <v>655.49</v>
      </c>
      <c r="J32" s="394">
        <f>1.02+90.47</f>
        <v>91.49</v>
      </c>
      <c r="K32" s="394">
        <f t="shared" si="3"/>
        <v>14946.59</v>
      </c>
      <c r="L32" s="394">
        <v>32.619999999999997</v>
      </c>
      <c r="M32" s="394">
        <v>8.17</v>
      </c>
      <c r="N32" s="394">
        <v>26.88</v>
      </c>
      <c r="O32" s="394">
        <v>217.95</v>
      </c>
      <c r="P32" s="316" t="s">
        <v>845</v>
      </c>
      <c r="Q32" s="394"/>
    </row>
    <row r="33" spans="1:17" s="393" customFormat="1" ht="14.1" customHeight="1">
      <c r="A33" s="898" t="s">
        <v>846</v>
      </c>
      <c r="B33" s="439">
        <v>2240.69</v>
      </c>
      <c r="C33" s="439">
        <v>6.7</v>
      </c>
      <c r="D33" s="439">
        <v>77.33</v>
      </c>
      <c r="E33" s="439">
        <v>4043.55</v>
      </c>
      <c r="F33" s="439">
        <v>3751.31</v>
      </c>
      <c r="G33" s="439">
        <v>2646.07</v>
      </c>
      <c r="H33" s="439">
        <v>2212.17</v>
      </c>
      <c r="I33" s="439">
        <v>761.74</v>
      </c>
      <c r="J33" s="439">
        <f>0.12+99.63</f>
        <v>99.75</v>
      </c>
      <c r="K33" s="439">
        <f t="shared" si="3"/>
        <v>15839.31</v>
      </c>
      <c r="L33" s="439">
        <v>44.86</v>
      </c>
      <c r="M33" s="439">
        <v>8.9600000000000009</v>
      </c>
      <c r="N33" s="439">
        <v>22.51</v>
      </c>
      <c r="O33" s="439">
        <v>244.1</v>
      </c>
      <c r="P33" s="452" t="s">
        <v>846</v>
      </c>
      <c r="Q33" s="394"/>
    </row>
    <row r="34" spans="1:17" s="393" customFormat="1" ht="14.1" customHeight="1">
      <c r="A34" s="361" t="s">
        <v>839</v>
      </c>
      <c r="B34" s="394">
        <v>2076.2600000000002</v>
      </c>
      <c r="C34" s="394">
        <v>2.4500000000000002</v>
      </c>
      <c r="D34" s="394">
        <v>648.1</v>
      </c>
      <c r="E34" s="394">
        <v>5992.45</v>
      </c>
      <c r="F34" s="394">
        <v>3679.48</v>
      </c>
      <c r="G34" s="394">
        <v>2437.21</v>
      </c>
      <c r="H34" s="394">
        <v>2229.6</v>
      </c>
      <c r="I34" s="394">
        <v>587.77</v>
      </c>
      <c r="J34" s="394">
        <f>0.19+95.32</f>
        <v>95.509999999999991</v>
      </c>
      <c r="K34" s="394">
        <f t="shared" si="3"/>
        <v>17748.829999999998</v>
      </c>
      <c r="L34" s="394">
        <v>42.6</v>
      </c>
      <c r="M34" s="394">
        <v>8.65</v>
      </c>
      <c r="N34" s="394">
        <v>24.18</v>
      </c>
      <c r="O34" s="394">
        <v>213.37</v>
      </c>
      <c r="P34" s="316" t="s">
        <v>839</v>
      </c>
      <c r="Q34" s="394"/>
    </row>
    <row r="35" spans="1:17" s="393" customFormat="1" ht="14.1" customHeight="1">
      <c r="A35" s="898" t="s">
        <v>847</v>
      </c>
      <c r="B35" s="439">
        <v>2202.48</v>
      </c>
      <c r="C35" s="439">
        <v>3.41</v>
      </c>
      <c r="D35" s="439">
        <v>346.43</v>
      </c>
      <c r="E35" s="439">
        <v>4569.3100000000004</v>
      </c>
      <c r="F35" s="439">
        <v>3868.62</v>
      </c>
      <c r="G35" s="439">
        <v>2673.98</v>
      </c>
      <c r="H35" s="439">
        <v>2462.08</v>
      </c>
      <c r="I35" s="439">
        <v>705.31</v>
      </c>
      <c r="J35" s="439">
        <f>0.15+98.59</f>
        <v>98.740000000000009</v>
      </c>
      <c r="K35" s="439">
        <f t="shared" si="3"/>
        <v>16930.36</v>
      </c>
      <c r="L35" s="439">
        <v>43.05</v>
      </c>
      <c r="M35" s="439">
        <v>12.32</v>
      </c>
      <c r="N35" s="439">
        <v>27.97</v>
      </c>
      <c r="O35" s="439">
        <v>285.61</v>
      </c>
      <c r="P35" s="452" t="s">
        <v>847</v>
      </c>
      <c r="Q35" s="394"/>
    </row>
    <row r="36" spans="1:17" s="393" customFormat="1" ht="14.1" customHeight="1">
      <c r="A36" s="361" t="s">
        <v>848</v>
      </c>
      <c r="B36" s="394">
        <v>1868.15</v>
      </c>
      <c r="C36" s="394">
        <v>2.87</v>
      </c>
      <c r="D36" s="394">
        <v>294.64</v>
      </c>
      <c r="E36" s="394">
        <v>4031.53</v>
      </c>
      <c r="F36" s="394">
        <v>3928.25</v>
      </c>
      <c r="G36" s="394">
        <v>2308.77</v>
      </c>
      <c r="H36" s="394">
        <v>2434.81</v>
      </c>
      <c r="I36" s="394">
        <v>652.54999999999995</v>
      </c>
      <c r="J36" s="394">
        <f>0.14+92.51</f>
        <v>92.65</v>
      </c>
      <c r="K36" s="394">
        <f t="shared" si="3"/>
        <v>15614.22</v>
      </c>
      <c r="L36" s="394">
        <v>48.19</v>
      </c>
      <c r="M36" s="394">
        <v>10.69</v>
      </c>
      <c r="N36" s="394">
        <v>28.3</v>
      </c>
      <c r="O36" s="394">
        <v>232.57</v>
      </c>
      <c r="P36" s="316" t="s">
        <v>848</v>
      </c>
      <c r="Q36" s="394"/>
    </row>
    <row r="37" spans="1:17" s="393" customFormat="1" ht="14.1" customHeight="1">
      <c r="A37" s="898" t="s">
        <v>840</v>
      </c>
      <c r="B37" s="439">
        <v>2084.89</v>
      </c>
      <c r="C37" s="439">
        <v>1.52</v>
      </c>
      <c r="D37" s="439">
        <v>148.84</v>
      </c>
      <c r="E37" s="439">
        <v>6527.61</v>
      </c>
      <c r="F37" s="439">
        <v>3775.74</v>
      </c>
      <c r="G37" s="439">
        <v>2580.4899999999998</v>
      </c>
      <c r="H37" s="439">
        <v>2689.22</v>
      </c>
      <c r="I37" s="439">
        <v>670.76</v>
      </c>
      <c r="J37" s="439">
        <f>0.19+90.42</f>
        <v>90.61</v>
      </c>
      <c r="K37" s="439">
        <f t="shared" si="3"/>
        <v>18569.68</v>
      </c>
      <c r="L37" s="439">
        <v>53.02</v>
      </c>
      <c r="M37" s="439">
        <v>11.28</v>
      </c>
      <c r="N37" s="439">
        <v>23.61</v>
      </c>
      <c r="O37" s="439">
        <v>250.91</v>
      </c>
      <c r="P37" s="452" t="s">
        <v>840</v>
      </c>
      <c r="Q37" s="394"/>
    </row>
    <row r="38" spans="1:17" s="393" customFormat="1" ht="14.1" customHeight="1">
      <c r="A38" s="361" t="s">
        <v>849</v>
      </c>
      <c r="B38" s="394">
        <v>2226.79</v>
      </c>
      <c r="C38" s="394">
        <v>2.3199999999999998</v>
      </c>
      <c r="D38" s="394">
        <v>103.91</v>
      </c>
      <c r="E38" s="394">
        <v>4859.96</v>
      </c>
      <c r="F38" s="394">
        <v>4180.97</v>
      </c>
      <c r="G38" s="394">
        <v>2815.44</v>
      </c>
      <c r="H38" s="394">
        <v>3332.71</v>
      </c>
      <c r="I38" s="394">
        <v>669.45</v>
      </c>
      <c r="J38" s="394">
        <f>0.17+94.53</f>
        <v>94.7</v>
      </c>
      <c r="K38" s="394">
        <f t="shared" si="3"/>
        <v>18286.250000000004</v>
      </c>
      <c r="L38" s="394">
        <v>69.7</v>
      </c>
      <c r="M38" s="394">
        <v>8.75</v>
      </c>
      <c r="N38" s="394">
        <v>27.06</v>
      </c>
      <c r="O38" s="394">
        <v>193.37</v>
      </c>
      <c r="P38" s="316" t="s">
        <v>849</v>
      </c>
      <c r="Q38" s="394"/>
    </row>
    <row r="39" spans="1:17" s="393" customFormat="1" ht="14.1" customHeight="1">
      <c r="A39" s="898" t="s">
        <v>850</v>
      </c>
      <c r="B39" s="439">
        <v>2189.69</v>
      </c>
      <c r="C39" s="439">
        <v>1.17</v>
      </c>
      <c r="D39" s="439">
        <v>91.48</v>
      </c>
      <c r="E39" s="439">
        <v>5084.7700000000004</v>
      </c>
      <c r="F39" s="439">
        <v>4038.56</v>
      </c>
      <c r="G39" s="439">
        <v>2810.89</v>
      </c>
      <c r="H39" s="439">
        <v>2901.81</v>
      </c>
      <c r="I39" s="439">
        <v>704.91</v>
      </c>
      <c r="J39" s="439">
        <f>0.16+84.54</f>
        <v>84.7</v>
      </c>
      <c r="K39" s="439">
        <f t="shared" si="3"/>
        <v>17907.98</v>
      </c>
      <c r="L39" s="439" t="s">
        <v>505</v>
      </c>
      <c r="M39" s="439" t="s">
        <v>505</v>
      </c>
      <c r="N39" s="439" t="s">
        <v>505</v>
      </c>
      <c r="O39" s="439" t="s">
        <v>505</v>
      </c>
      <c r="P39" s="452" t="s">
        <v>850</v>
      </c>
      <c r="Q39" s="394"/>
    </row>
    <row r="40" spans="1:17" s="393" customFormat="1" ht="14.1" customHeight="1">
      <c r="A40" s="361" t="s">
        <v>841</v>
      </c>
      <c r="B40" s="394">
        <v>2023.52</v>
      </c>
      <c r="C40" s="394">
        <v>1.47</v>
      </c>
      <c r="D40" s="394">
        <v>66.22</v>
      </c>
      <c r="E40" s="394">
        <v>14103.3</v>
      </c>
      <c r="F40" s="394">
        <v>5435.11</v>
      </c>
      <c r="G40" s="394">
        <v>2312.96</v>
      </c>
      <c r="H40" s="394">
        <v>2263.0300000000002</v>
      </c>
      <c r="I40" s="394">
        <v>591.84</v>
      </c>
      <c r="J40" s="394">
        <f>0.3+138</f>
        <v>138.30000000000001</v>
      </c>
      <c r="K40" s="394">
        <f t="shared" si="3"/>
        <v>26935.749999999996</v>
      </c>
      <c r="L40" s="394" t="s">
        <v>505</v>
      </c>
      <c r="M40" s="394" t="s">
        <v>505</v>
      </c>
      <c r="N40" s="394" t="s">
        <v>505</v>
      </c>
      <c r="O40" s="394" t="s">
        <v>505</v>
      </c>
      <c r="P40" s="316" t="s">
        <v>841</v>
      </c>
      <c r="Q40" s="394"/>
    </row>
    <row r="41" spans="1:17" s="393" customFormat="1" ht="14.1" customHeight="1">
      <c r="A41" s="1533" t="s">
        <v>2684</v>
      </c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834" t="s">
        <v>2684</v>
      </c>
      <c r="Q41" s="394"/>
    </row>
    <row r="42" spans="1:17" s="393" customFormat="1" ht="14.1" customHeight="1">
      <c r="A42" s="361" t="s">
        <v>843</v>
      </c>
      <c r="B42" s="394">
        <v>1941.13</v>
      </c>
      <c r="C42" s="394">
        <v>5.01</v>
      </c>
      <c r="D42" s="394">
        <v>88.01</v>
      </c>
      <c r="E42" s="394">
        <v>3493.09</v>
      </c>
      <c r="F42" s="394">
        <v>3438.24</v>
      </c>
      <c r="G42" s="394">
        <v>2297.52</v>
      </c>
      <c r="H42" s="394">
        <v>1416.13</v>
      </c>
      <c r="I42" s="394">
        <v>604.35</v>
      </c>
      <c r="J42" s="394">
        <v>119.57000000000001</v>
      </c>
      <c r="K42" s="394">
        <f t="shared" si="3"/>
        <v>13403.050000000001</v>
      </c>
      <c r="L42" s="394" t="s">
        <v>505</v>
      </c>
      <c r="M42" s="394" t="s">
        <v>505</v>
      </c>
      <c r="N42" s="394" t="s">
        <v>505</v>
      </c>
      <c r="O42" s="394" t="s">
        <v>505</v>
      </c>
      <c r="P42" s="316" t="s">
        <v>843</v>
      </c>
      <c r="Q42" s="394"/>
    </row>
    <row r="43" spans="1:17" s="11" customFormat="1" ht="11.1" customHeight="1">
      <c r="A43" s="898" t="s">
        <v>844</v>
      </c>
      <c r="B43" s="439">
        <v>1817.61</v>
      </c>
      <c r="C43" s="439">
        <v>4.32</v>
      </c>
      <c r="D43" s="439">
        <v>106.83</v>
      </c>
      <c r="E43" s="439">
        <v>3916.63</v>
      </c>
      <c r="F43" s="439">
        <v>3633.28</v>
      </c>
      <c r="G43" s="439">
        <v>2459.38</v>
      </c>
      <c r="H43" s="439">
        <v>2403.86</v>
      </c>
      <c r="I43" s="439">
        <v>584.32000000000005</v>
      </c>
      <c r="J43" s="439">
        <v>86.88000000000001</v>
      </c>
      <c r="K43" s="439">
        <f t="shared" si="3"/>
        <v>15013.109999999999</v>
      </c>
      <c r="L43" s="439" t="s">
        <v>505</v>
      </c>
      <c r="M43" s="439" t="s">
        <v>505</v>
      </c>
      <c r="N43" s="439" t="s">
        <v>505</v>
      </c>
      <c r="O43" s="439" t="s">
        <v>505</v>
      </c>
      <c r="P43" s="452" t="s">
        <v>844</v>
      </c>
    </row>
    <row r="44" spans="1:17" s="252" customFormat="1" ht="11.1" customHeight="1">
      <c r="A44" s="361" t="s">
        <v>838</v>
      </c>
      <c r="B44" s="394">
        <v>2132.86</v>
      </c>
      <c r="C44" s="394">
        <v>6.1</v>
      </c>
      <c r="D44" s="394">
        <v>95.7</v>
      </c>
      <c r="E44" s="394">
        <v>5440.75</v>
      </c>
      <c r="F44" s="394">
        <v>3984.08</v>
      </c>
      <c r="G44" s="394">
        <v>2585.21</v>
      </c>
      <c r="H44" s="394">
        <v>2358.2800000000002</v>
      </c>
      <c r="I44" s="394">
        <v>709.18</v>
      </c>
      <c r="J44" s="394">
        <v>88.679999999999993</v>
      </c>
      <c r="K44" s="394">
        <f t="shared" si="3"/>
        <v>17400.84</v>
      </c>
      <c r="L44" s="394" t="s">
        <v>505</v>
      </c>
      <c r="M44" s="394" t="s">
        <v>505</v>
      </c>
      <c r="N44" s="394" t="s">
        <v>505</v>
      </c>
      <c r="O44" s="394" t="s">
        <v>505</v>
      </c>
      <c r="P44" s="316" t="s">
        <v>838</v>
      </c>
    </row>
    <row r="45" spans="1:17" s="252" customFormat="1" ht="11.1" customHeight="1" thickBot="1">
      <c r="A45" s="1686" t="s">
        <v>845</v>
      </c>
      <c r="B45" s="717">
        <v>2049.61</v>
      </c>
      <c r="C45" s="717">
        <v>12.9</v>
      </c>
      <c r="D45" s="717">
        <v>103.61</v>
      </c>
      <c r="E45" s="717">
        <v>3901.91</v>
      </c>
      <c r="F45" s="717">
        <v>4408.78</v>
      </c>
      <c r="G45" s="717">
        <v>2774.31</v>
      </c>
      <c r="H45" s="717">
        <v>2277.6</v>
      </c>
      <c r="I45" s="717">
        <v>647.86</v>
      </c>
      <c r="J45" s="717">
        <f>92.02+0.19</f>
        <v>92.21</v>
      </c>
      <c r="K45" s="717">
        <f t="shared" si="3"/>
        <v>16268.79</v>
      </c>
      <c r="L45" s="717" t="s">
        <v>505</v>
      </c>
      <c r="M45" s="717" t="s">
        <v>505</v>
      </c>
      <c r="N45" s="717" t="s">
        <v>505</v>
      </c>
      <c r="O45" s="717" t="s">
        <v>505</v>
      </c>
      <c r="P45" s="817" t="s">
        <v>845</v>
      </c>
    </row>
    <row r="46" spans="1:17" s="10" customFormat="1" ht="11.1" customHeight="1">
      <c r="A46" s="853"/>
      <c r="B46" s="1169"/>
      <c r="C46" s="1169"/>
      <c r="D46" s="1169"/>
      <c r="E46" s="1169"/>
      <c r="F46" s="1169"/>
      <c r="G46" s="1169"/>
      <c r="H46" s="11"/>
      <c r="I46" s="11"/>
      <c r="J46" s="2151" t="s">
        <v>2292</v>
      </c>
      <c r="K46" s="1993"/>
      <c r="L46" s="1993"/>
      <c r="M46" s="1993"/>
      <c r="N46" s="1993"/>
      <c r="O46" s="1993"/>
      <c r="P46" s="1993"/>
    </row>
    <row r="47" spans="1:17">
      <c r="A47" s="23"/>
      <c r="B47" s="10"/>
      <c r="C47" s="10"/>
      <c r="D47" s="10"/>
      <c r="E47" s="10"/>
      <c r="F47" s="10"/>
      <c r="G47" s="10"/>
      <c r="H47" s="10"/>
      <c r="I47" s="10"/>
      <c r="J47" s="1993" t="s">
        <v>2293</v>
      </c>
      <c r="K47" s="1993"/>
      <c r="L47" s="1993"/>
      <c r="M47" s="1993"/>
      <c r="N47" s="1993"/>
      <c r="O47" s="1993"/>
      <c r="P47" s="1993"/>
    </row>
    <row r="48" spans="1:17">
      <c r="B48" s="716"/>
      <c r="C48" s="716"/>
      <c r="D48" s="716"/>
      <c r="E48" s="716"/>
      <c r="F48" s="716"/>
      <c r="G48" s="716"/>
      <c r="H48" s="716"/>
      <c r="I48" s="716"/>
      <c r="J48" s="716"/>
      <c r="K48" s="716"/>
    </row>
    <row r="50" spans="11:11" ht="8.4499999999999993" customHeight="1"/>
    <row r="52" spans="11:11">
      <c r="K52" s="716"/>
    </row>
    <row r="53" spans="11:11">
      <c r="K53" s="716"/>
    </row>
    <row r="54" spans="11:11">
      <c r="K54" s="716"/>
    </row>
    <row r="56" spans="11:11">
      <c r="K56" s="716"/>
    </row>
    <row r="58" spans="11:11">
      <c r="K58" s="716"/>
    </row>
  </sheetData>
  <mergeCells count="23">
    <mergeCell ref="H4:I4"/>
    <mergeCell ref="D4:D5"/>
    <mergeCell ref="J47:P47"/>
    <mergeCell ref="L4:L5"/>
    <mergeCell ref="K4:K5"/>
    <mergeCell ref="J46:P46"/>
    <mergeCell ref="M4:M5"/>
    <mergeCell ref="A1:I1"/>
    <mergeCell ref="O1:P1"/>
    <mergeCell ref="A3:A5"/>
    <mergeCell ref="E4:E5"/>
    <mergeCell ref="B4:B5"/>
    <mergeCell ref="F4:G4"/>
    <mergeCell ref="L3:O3"/>
    <mergeCell ref="P3:P5"/>
    <mergeCell ref="J1:N1"/>
    <mergeCell ref="O2:P2"/>
    <mergeCell ref="J3:K3"/>
    <mergeCell ref="B3:I3"/>
    <mergeCell ref="N4:N5"/>
    <mergeCell ref="O4:O5"/>
    <mergeCell ref="J4:J5"/>
    <mergeCell ref="C4:C5"/>
  </mergeCells>
  <phoneticPr fontId="0" type="noConversion"/>
  <pageMargins left="0.59055118110236204" right="0.511811023622047" top="0.511811023622047" bottom="0.511811023622047" header="0" footer="0.35433070866141703"/>
  <pageSetup paperSize="141" firstPageNumber="102" orientation="portrait" useFirstPageNumber="1" r:id="rId1"/>
  <headerFooter alignWithMargins="0">
    <oddFooter>&amp;C&amp;"Times New Roman,Regular"&amp;8&amp;P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7"/>
  <dimension ref="A1:S26"/>
  <sheetViews>
    <sheetView topLeftCell="A28" zoomScale="120" zoomScaleNormal="120" workbookViewId="0">
      <selection activeCell="S24" sqref="S24"/>
    </sheetView>
  </sheetViews>
  <sheetFormatPr defaultColWidth="8.85546875" defaultRowHeight="15"/>
  <cols>
    <col min="1" max="1" width="8.140625" style="1353" customWidth="1"/>
    <col min="2" max="2" width="8.42578125" style="1353" customWidth="1"/>
    <col min="3" max="3" width="11.42578125" style="1353" customWidth="1"/>
    <col min="4" max="5" width="8.85546875" style="1353"/>
    <col min="6" max="6" width="8.42578125" style="1353" customWidth="1"/>
    <col min="7" max="8" width="8.85546875" style="1353"/>
    <col min="9" max="9" width="8.85546875" style="1353" customWidth="1"/>
    <col min="10" max="10" width="7.5703125" style="1353" customWidth="1"/>
    <col min="11" max="11" width="8.140625" style="1353" customWidth="1"/>
    <col min="12" max="12" width="9" style="1353" customWidth="1"/>
    <col min="13" max="13" width="8.85546875" style="1353"/>
    <col min="14" max="14" width="8.140625" style="1353" customWidth="1"/>
    <col min="15" max="15" width="6.28515625" style="1353" customWidth="1"/>
    <col min="16" max="16" width="8.140625" style="1353" customWidth="1"/>
    <col min="17" max="17" width="7.85546875" style="1353" customWidth="1"/>
    <col min="18" max="16384" width="8.85546875" style="1353"/>
  </cols>
  <sheetData>
    <row r="1" spans="1:19" s="1351" customFormat="1" ht="17.45" customHeight="1">
      <c r="A1" s="1350"/>
      <c r="G1" s="1367" t="s">
        <v>2554</v>
      </c>
      <c r="I1" s="1352"/>
      <c r="J1" s="1367" t="s">
        <v>2555</v>
      </c>
      <c r="K1" s="1368"/>
      <c r="L1" s="1352"/>
      <c r="M1" s="1352"/>
      <c r="R1" s="2208" t="s">
        <v>2451</v>
      </c>
      <c r="S1" s="2208"/>
    </row>
    <row r="2" spans="1:19" ht="21">
      <c r="C2" s="1354"/>
      <c r="R2" s="2209" t="s">
        <v>2452</v>
      </c>
      <c r="S2" s="2209"/>
    </row>
    <row r="3" spans="1:19" ht="13.9" customHeight="1">
      <c r="A3" s="2218" t="s">
        <v>758</v>
      </c>
      <c r="B3" s="2210" t="s">
        <v>765</v>
      </c>
      <c r="C3" s="2210" t="s">
        <v>2480</v>
      </c>
      <c r="D3" s="2212" t="s">
        <v>2471</v>
      </c>
      <c r="E3" s="2212"/>
      <c r="F3" s="2212"/>
      <c r="G3" s="2214" t="s">
        <v>2453</v>
      </c>
      <c r="H3" s="2215" t="s">
        <v>2474</v>
      </c>
      <c r="I3" s="2216"/>
      <c r="J3" s="2216"/>
      <c r="K3" s="2216"/>
      <c r="L3" s="2217"/>
      <c r="M3" s="2214" t="s">
        <v>2580</v>
      </c>
      <c r="N3" s="2214" t="s">
        <v>2581</v>
      </c>
      <c r="O3" s="2214" t="s">
        <v>2456</v>
      </c>
      <c r="P3" s="2213" t="s">
        <v>2457</v>
      </c>
      <c r="Q3" s="2214" t="s">
        <v>2458</v>
      </c>
      <c r="R3" s="2214" t="s">
        <v>2459</v>
      </c>
      <c r="S3" s="2214" t="s">
        <v>2460</v>
      </c>
    </row>
    <row r="4" spans="1:19" ht="108" customHeight="1">
      <c r="A4" s="2218"/>
      <c r="B4" s="2211"/>
      <c r="C4" s="2211"/>
      <c r="D4" s="1375" t="s">
        <v>2481</v>
      </c>
      <c r="E4" s="1372" t="s">
        <v>2479</v>
      </c>
      <c r="F4" s="1355" t="s">
        <v>2477</v>
      </c>
      <c r="G4" s="2214"/>
      <c r="H4" s="1355" t="s">
        <v>2454</v>
      </c>
      <c r="I4" s="1443" t="s">
        <v>2558</v>
      </c>
      <c r="J4" s="1447" t="s">
        <v>2579</v>
      </c>
      <c r="K4" s="1355" t="s">
        <v>2455</v>
      </c>
      <c r="L4" s="1441" t="s">
        <v>2478</v>
      </c>
      <c r="M4" s="2214"/>
      <c r="N4" s="2214"/>
      <c r="O4" s="2214"/>
      <c r="P4" s="2213"/>
      <c r="Q4" s="2214"/>
      <c r="R4" s="2214"/>
      <c r="S4" s="2214"/>
    </row>
    <row r="5" spans="1:19" ht="23.45" customHeight="1">
      <c r="A5" s="2218"/>
      <c r="B5" s="1365">
        <v>1</v>
      </c>
      <c r="C5" s="1365">
        <v>2</v>
      </c>
      <c r="D5" s="1365">
        <v>3</v>
      </c>
      <c r="E5" s="1365">
        <v>4</v>
      </c>
      <c r="F5" s="1365">
        <v>5</v>
      </c>
      <c r="G5" s="1365">
        <v>6</v>
      </c>
      <c r="H5" s="1365">
        <v>7</v>
      </c>
      <c r="I5" s="1365">
        <v>8</v>
      </c>
      <c r="J5" s="1365">
        <v>9</v>
      </c>
      <c r="K5" s="1365">
        <v>10</v>
      </c>
      <c r="L5" s="1365">
        <v>11</v>
      </c>
      <c r="M5" s="1365">
        <v>12</v>
      </c>
      <c r="N5" s="1365">
        <v>13</v>
      </c>
      <c r="O5" s="1365">
        <v>14</v>
      </c>
      <c r="P5" s="1365">
        <v>15</v>
      </c>
      <c r="Q5" s="1365">
        <v>16</v>
      </c>
      <c r="R5" s="1365">
        <v>17</v>
      </c>
      <c r="S5" s="1365">
        <v>18</v>
      </c>
    </row>
    <row r="6" spans="1:19" s="1389" customFormat="1">
      <c r="A6" s="1466" t="s">
        <v>2320</v>
      </c>
      <c r="B6" s="1465">
        <f>B18</f>
        <v>2535100</v>
      </c>
      <c r="C6" s="1465">
        <f t="shared" ref="C6:S6" si="0">C18</f>
        <v>73472</v>
      </c>
      <c r="D6" s="1465">
        <f t="shared" si="0"/>
        <v>223759</v>
      </c>
      <c r="E6" s="1465">
        <f t="shared" si="0"/>
        <v>97067</v>
      </c>
      <c r="F6" s="1465">
        <f t="shared" si="0"/>
        <v>126692</v>
      </c>
      <c r="G6" s="1465">
        <f t="shared" si="0"/>
        <v>57565</v>
      </c>
      <c r="H6" s="1465">
        <f t="shared" si="0"/>
        <v>1534112</v>
      </c>
      <c r="I6" s="1465">
        <f t="shared" si="0"/>
        <v>787992</v>
      </c>
      <c r="J6" s="1465">
        <f t="shared" si="0"/>
        <v>33</v>
      </c>
      <c r="K6" s="1465">
        <f t="shared" si="0"/>
        <v>0</v>
      </c>
      <c r="L6" s="1465">
        <f t="shared" si="0"/>
        <v>2322137</v>
      </c>
      <c r="M6" s="1465">
        <f t="shared" si="0"/>
        <v>3455</v>
      </c>
      <c r="N6" s="1465">
        <f t="shared" si="0"/>
        <v>0</v>
      </c>
      <c r="O6" s="1465">
        <f t="shared" si="0"/>
        <v>0</v>
      </c>
      <c r="P6" s="1465">
        <f t="shared" si="0"/>
        <v>0</v>
      </c>
      <c r="Q6" s="1465">
        <f t="shared" si="0"/>
        <v>0</v>
      </c>
      <c r="R6" s="1465">
        <f t="shared" si="0"/>
        <v>303085</v>
      </c>
      <c r="S6" s="1465">
        <f t="shared" si="0"/>
        <v>164152</v>
      </c>
    </row>
    <row r="7" spans="1:19">
      <c r="A7" s="1357" t="s">
        <v>843</v>
      </c>
      <c r="B7" s="1358">
        <v>2516486</v>
      </c>
      <c r="C7" s="1358">
        <v>62078</v>
      </c>
      <c r="D7" s="1358">
        <v>113041</v>
      </c>
      <c r="E7" s="1358">
        <v>148082</v>
      </c>
      <c r="F7" s="1358">
        <f>D7-E7</f>
        <v>-35041</v>
      </c>
      <c r="G7" s="1358">
        <v>56760</v>
      </c>
      <c r="H7" s="1358">
        <v>1369563</v>
      </c>
      <c r="I7" s="1358">
        <v>717758</v>
      </c>
      <c r="J7" s="1358">
        <v>155</v>
      </c>
      <c r="K7" s="1358">
        <v>0</v>
      </c>
      <c r="L7" s="1358">
        <f>H7+I7+J7+K7</f>
        <v>2087476</v>
      </c>
      <c r="M7" s="1358">
        <v>8379</v>
      </c>
      <c r="N7" s="1358">
        <v>190</v>
      </c>
      <c r="O7" s="1358">
        <v>0</v>
      </c>
      <c r="P7" s="1358">
        <v>0</v>
      </c>
      <c r="Q7" s="1358">
        <v>0</v>
      </c>
      <c r="R7" s="1358">
        <v>228330</v>
      </c>
      <c r="S7" s="1358">
        <v>275908</v>
      </c>
    </row>
    <row r="8" spans="1:19" s="1361" customFormat="1">
      <c r="A8" s="1359" t="s">
        <v>844</v>
      </c>
      <c r="B8" s="1360">
        <v>2516310</v>
      </c>
      <c r="C8" s="1360">
        <v>66697</v>
      </c>
      <c r="D8" s="1360">
        <v>171998</v>
      </c>
      <c r="E8" s="1360">
        <v>96393</v>
      </c>
      <c r="F8" s="1360">
        <f t="shared" ref="F8:F24" si="1">D8-E8</f>
        <v>75605</v>
      </c>
      <c r="G8" s="1360">
        <v>53082</v>
      </c>
      <c r="H8" s="1360">
        <v>1576547</v>
      </c>
      <c r="I8" s="1360">
        <v>709859</v>
      </c>
      <c r="J8" s="1360">
        <v>104</v>
      </c>
      <c r="K8" s="1360">
        <v>0</v>
      </c>
      <c r="L8" s="1360">
        <f t="shared" ref="L8:L24" si="2">H8+I8+J8+K8</f>
        <v>2286510</v>
      </c>
      <c r="M8" s="1360">
        <v>8988</v>
      </c>
      <c r="N8" s="1360">
        <v>809</v>
      </c>
      <c r="O8" s="1360">
        <v>0</v>
      </c>
      <c r="P8" s="1360">
        <v>0</v>
      </c>
      <c r="Q8" s="1360">
        <v>0</v>
      </c>
      <c r="R8" s="1360">
        <v>230875</v>
      </c>
      <c r="S8" s="1360">
        <v>184512</v>
      </c>
    </row>
    <row r="9" spans="1:19">
      <c r="A9" s="1357" t="s">
        <v>838</v>
      </c>
      <c r="B9" s="1358">
        <v>2508112</v>
      </c>
      <c r="C9" s="1358">
        <v>69251</v>
      </c>
      <c r="D9" s="1358">
        <v>113310</v>
      </c>
      <c r="E9" s="1358">
        <v>117147</v>
      </c>
      <c r="F9" s="1358">
        <f t="shared" si="1"/>
        <v>-3837</v>
      </c>
      <c r="G9" s="1358">
        <v>53566</v>
      </c>
      <c r="H9" s="1358">
        <v>1425872</v>
      </c>
      <c r="I9" s="1358">
        <v>711055</v>
      </c>
      <c r="J9" s="1358">
        <v>236</v>
      </c>
      <c r="K9" s="1358">
        <v>0</v>
      </c>
      <c r="L9" s="1358">
        <f t="shared" si="2"/>
        <v>2137163</v>
      </c>
      <c r="M9" s="1358">
        <v>9696</v>
      </c>
      <c r="N9" s="1358">
        <v>0</v>
      </c>
      <c r="O9" s="1358">
        <v>0</v>
      </c>
      <c r="P9" s="1358">
        <v>0</v>
      </c>
      <c r="Q9" s="1358">
        <v>0</v>
      </c>
      <c r="R9" s="1358">
        <v>238172</v>
      </c>
      <c r="S9" s="1358">
        <v>242061</v>
      </c>
    </row>
    <row r="10" spans="1:19" s="1361" customFormat="1">
      <c r="A10" s="1359" t="s">
        <v>845</v>
      </c>
      <c r="B10" s="1360">
        <v>2516396</v>
      </c>
      <c r="C10" s="1360">
        <v>71969</v>
      </c>
      <c r="D10" s="1360">
        <v>112041</v>
      </c>
      <c r="E10" s="1360">
        <v>97739</v>
      </c>
      <c r="F10" s="1360">
        <f t="shared" si="1"/>
        <v>14302</v>
      </c>
      <c r="G10" s="1360">
        <v>53825</v>
      </c>
      <c r="H10" s="1360">
        <v>1375333</v>
      </c>
      <c r="I10" s="1360">
        <v>711869</v>
      </c>
      <c r="J10" s="1360">
        <v>148</v>
      </c>
      <c r="K10" s="1360">
        <v>0</v>
      </c>
      <c r="L10" s="1360">
        <f t="shared" si="2"/>
        <v>2087350</v>
      </c>
      <c r="M10" s="1360">
        <v>9445</v>
      </c>
      <c r="N10" s="1360">
        <v>210</v>
      </c>
      <c r="O10" s="1360">
        <v>0</v>
      </c>
      <c r="P10" s="1360">
        <v>0</v>
      </c>
      <c r="Q10" s="1360">
        <v>0</v>
      </c>
      <c r="R10" s="1360">
        <v>237874</v>
      </c>
      <c r="S10" s="1360">
        <v>321613</v>
      </c>
    </row>
    <row r="11" spans="1:19">
      <c r="A11" s="1357" t="s">
        <v>846</v>
      </c>
      <c r="B11" s="1358">
        <v>2528327</v>
      </c>
      <c r="C11" s="1358">
        <v>71002</v>
      </c>
      <c r="D11" s="1358">
        <v>119475</v>
      </c>
      <c r="E11" s="1358">
        <v>99915</v>
      </c>
      <c r="F11" s="1358">
        <f t="shared" si="1"/>
        <v>19560</v>
      </c>
      <c r="G11" s="1358">
        <v>54037</v>
      </c>
      <c r="H11" s="1358">
        <v>1367015</v>
      </c>
      <c r="I11" s="1358">
        <v>707679</v>
      </c>
      <c r="J11" s="1358">
        <v>107</v>
      </c>
      <c r="K11" s="1358">
        <v>0</v>
      </c>
      <c r="L11" s="1358">
        <f t="shared" si="2"/>
        <v>2074801</v>
      </c>
      <c r="M11" s="1358">
        <v>7454</v>
      </c>
      <c r="N11" s="1358">
        <v>1045</v>
      </c>
      <c r="O11" s="1358">
        <v>0</v>
      </c>
      <c r="P11" s="1358">
        <v>0</v>
      </c>
      <c r="Q11" s="1358">
        <v>0</v>
      </c>
      <c r="R11" s="1358">
        <v>285181</v>
      </c>
      <c r="S11" s="1358">
        <v>304445</v>
      </c>
    </row>
    <row r="12" spans="1:19">
      <c r="A12" s="1359" t="s">
        <v>839</v>
      </c>
      <c r="B12" s="1360">
        <v>2534979</v>
      </c>
      <c r="C12" s="1360">
        <v>65381</v>
      </c>
      <c r="D12" s="1360">
        <v>118166</v>
      </c>
      <c r="E12" s="1360">
        <v>101875</v>
      </c>
      <c r="F12" s="1360">
        <f t="shared" si="1"/>
        <v>16291</v>
      </c>
      <c r="G12" s="1360">
        <v>55362</v>
      </c>
      <c r="H12" s="1360">
        <v>1391509</v>
      </c>
      <c r="I12" s="1360">
        <v>762873</v>
      </c>
      <c r="J12" s="1360">
        <v>100</v>
      </c>
      <c r="K12" s="1360">
        <v>0</v>
      </c>
      <c r="L12" s="1360">
        <f t="shared" si="2"/>
        <v>2154482</v>
      </c>
      <c r="M12" s="1360">
        <v>7889</v>
      </c>
      <c r="N12" s="1360">
        <v>0</v>
      </c>
      <c r="O12" s="1360">
        <v>0</v>
      </c>
      <c r="P12" s="1360">
        <v>0</v>
      </c>
      <c r="Q12" s="1360">
        <v>0</v>
      </c>
      <c r="R12" s="1360">
        <v>301325</v>
      </c>
      <c r="S12" s="1360">
        <v>208317</v>
      </c>
    </row>
    <row r="13" spans="1:19">
      <c r="A13" s="1357" t="s">
        <v>847</v>
      </c>
      <c r="B13" s="1358">
        <v>2535619</v>
      </c>
      <c r="C13" s="1358">
        <v>66721</v>
      </c>
      <c r="D13" s="1358">
        <v>116387</v>
      </c>
      <c r="E13" s="1358">
        <v>116526</v>
      </c>
      <c r="F13" s="1358">
        <f t="shared" si="1"/>
        <v>-139</v>
      </c>
      <c r="G13" s="1358">
        <v>55465</v>
      </c>
      <c r="H13" s="1358">
        <v>1387593</v>
      </c>
      <c r="I13" s="1358">
        <v>700158</v>
      </c>
      <c r="J13" s="1358">
        <v>134</v>
      </c>
      <c r="K13" s="1358">
        <v>0</v>
      </c>
      <c r="L13" s="1358">
        <f t="shared" si="2"/>
        <v>2087885</v>
      </c>
      <c r="M13" s="1358">
        <v>8246</v>
      </c>
      <c r="N13" s="1358">
        <v>310</v>
      </c>
      <c r="O13" s="1358">
        <v>0</v>
      </c>
      <c r="P13" s="1358">
        <v>0</v>
      </c>
      <c r="Q13" s="1358">
        <v>0</v>
      </c>
      <c r="R13" s="1358">
        <v>326295</v>
      </c>
      <c r="S13" s="1358">
        <v>234930</v>
      </c>
    </row>
    <row r="14" spans="1:19">
      <c r="A14" s="1359" t="s">
        <v>848</v>
      </c>
      <c r="B14" s="1360">
        <v>2535729</v>
      </c>
      <c r="C14" s="1360">
        <v>66250</v>
      </c>
      <c r="D14" s="1360">
        <v>101602</v>
      </c>
      <c r="E14" s="1360">
        <v>108066</v>
      </c>
      <c r="F14" s="1360">
        <f t="shared" si="1"/>
        <v>-6464</v>
      </c>
      <c r="G14" s="1360">
        <v>55076</v>
      </c>
      <c r="H14" s="1360">
        <v>1395923</v>
      </c>
      <c r="I14" s="1360">
        <v>694206</v>
      </c>
      <c r="J14" s="1360">
        <v>74</v>
      </c>
      <c r="K14" s="1360">
        <v>0</v>
      </c>
      <c r="L14" s="1360">
        <f t="shared" si="2"/>
        <v>2090203</v>
      </c>
      <c r="M14" s="1360">
        <v>9394</v>
      </c>
      <c r="N14" s="1360">
        <v>2487</v>
      </c>
      <c r="O14" s="1360">
        <v>0</v>
      </c>
      <c r="P14" s="1360">
        <v>0</v>
      </c>
      <c r="Q14" s="1360">
        <v>0</v>
      </c>
      <c r="R14" s="1360">
        <v>323192</v>
      </c>
      <c r="S14" s="1360">
        <v>225315</v>
      </c>
    </row>
    <row r="15" spans="1:19">
      <c r="A15" s="1357" t="s">
        <v>840</v>
      </c>
      <c r="B15" s="1358">
        <v>2529084</v>
      </c>
      <c r="C15" s="1358">
        <v>66613</v>
      </c>
      <c r="D15" s="1358">
        <v>103248</v>
      </c>
      <c r="E15" s="1358">
        <v>84994</v>
      </c>
      <c r="F15" s="1358">
        <f t="shared" si="1"/>
        <v>18254</v>
      </c>
      <c r="G15" s="1358">
        <v>55835</v>
      </c>
      <c r="H15" s="1358">
        <v>1386485</v>
      </c>
      <c r="I15" s="1358">
        <v>720718</v>
      </c>
      <c r="J15" s="1358">
        <v>27</v>
      </c>
      <c r="K15" s="1358">
        <v>0</v>
      </c>
      <c r="L15" s="1358">
        <f t="shared" si="2"/>
        <v>2107230</v>
      </c>
      <c r="M15" s="1358">
        <v>4735</v>
      </c>
      <c r="N15" s="1358">
        <v>2777</v>
      </c>
      <c r="O15" s="1358">
        <v>0</v>
      </c>
      <c r="P15" s="1358">
        <v>0</v>
      </c>
      <c r="Q15" s="1358">
        <v>0</v>
      </c>
      <c r="R15" s="1358">
        <v>327366</v>
      </c>
      <c r="S15" s="1358">
        <v>227678</v>
      </c>
    </row>
    <row r="16" spans="1:19">
      <c r="A16" s="1359" t="s">
        <v>849</v>
      </c>
      <c r="B16" s="1360">
        <v>2513204</v>
      </c>
      <c r="C16" s="1360">
        <v>73619</v>
      </c>
      <c r="D16" s="1360">
        <v>111367</v>
      </c>
      <c r="E16" s="1360">
        <v>90221</v>
      </c>
      <c r="F16" s="1360">
        <f t="shared" si="1"/>
        <v>21146</v>
      </c>
      <c r="G16" s="1360">
        <v>56122</v>
      </c>
      <c r="H16" s="1360">
        <v>1393703</v>
      </c>
      <c r="I16" s="1360">
        <v>714719</v>
      </c>
      <c r="J16" s="1360">
        <v>121</v>
      </c>
      <c r="K16" s="1360">
        <v>0</v>
      </c>
      <c r="L16" s="1360">
        <f t="shared" si="2"/>
        <v>2108543</v>
      </c>
      <c r="M16" s="1360">
        <v>5301</v>
      </c>
      <c r="N16" s="1360">
        <v>2338</v>
      </c>
      <c r="O16" s="1360">
        <v>0</v>
      </c>
      <c r="P16" s="1360">
        <v>0</v>
      </c>
      <c r="Q16" s="1360">
        <v>0</v>
      </c>
      <c r="R16" s="1360">
        <v>325957</v>
      </c>
      <c r="S16" s="1360">
        <v>221952</v>
      </c>
    </row>
    <row r="17" spans="1:19">
      <c r="A17" s="1357" t="s">
        <v>850</v>
      </c>
      <c r="B17" s="1358">
        <v>2523794</v>
      </c>
      <c r="C17" s="1358">
        <v>72723</v>
      </c>
      <c r="D17" s="1358">
        <v>103640</v>
      </c>
      <c r="E17" s="1358">
        <v>84336</v>
      </c>
      <c r="F17" s="1358">
        <f t="shared" si="1"/>
        <v>19304</v>
      </c>
      <c r="G17" s="1358">
        <v>56488</v>
      </c>
      <c r="H17" s="1358">
        <v>1450992</v>
      </c>
      <c r="I17" s="1358">
        <v>644076</v>
      </c>
      <c r="J17" s="1358">
        <v>64</v>
      </c>
      <c r="K17" s="1358">
        <v>0</v>
      </c>
      <c r="L17" s="1358">
        <f t="shared" si="2"/>
        <v>2095132</v>
      </c>
      <c r="M17" s="1358">
        <v>4089</v>
      </c>
      <c r="N17" s="1358">
        <v>0</v>
      </c>
      <c r="O17" s="1358">
        <v>0</v>
      </c>
      <c r="P17" s="1358">
        <v>0</v>
      </c>
      <c r="Q17" s="1358">
        <v>0</v>
      </c>
      <c r="R17" s="1358">
        <v>331477</v>
      </c>
      <c r="S17" s="1358">
        <v>241611</v>
      </c>
    </row>
    <row r="18" spans="1:19" s="1448" customFormat="1" ht="12">
      <c r="A18" s="1452" t="s">
        <v>841</v>
      </c>
      <c r="B18" s="1453">
        <v>2535100</v>
      </c>
      <c r="C18" s="1453">
        <v>73472</v>
      </c>
      <c r="D18" s="1453">
        <v>223759</v>
      </c>
      <c r="E18" s="1453">
        <v>97067</v>
      </c>
      <c r="F18" s="1453">
        <f t="shared" si="1"/>
        <v>126692</v>
      </c>
      <c r="G18" s="1453">
        <v>57565</v>
      </c>
      <c r="H18" s="1453">
        <v>1534112</v>
      </c>
      <c r="I18" s="1453">
        <v>787992</v>
      </c>
      <c r="J18" s="1453">
        <v>33</v>
      </c>
      <c r="K18" s="1453">
        <v>0</v>
      </c>
      <c r="L18" s="1453">
        <f t="shared" si="2"/>
        <v>2322137</v>
      </c>
      <c r="M18" s="1453">
        <v>3455</v>
      </c>
      <c r="N18" s="1453">
        <v>0</v>
      </c>
      <c r="O18" s="1453">
        <v>0</v>
      </c>
      <c r="P18" s="1453">
        <v>0</v>
      </c>
      <c r="Q18" s="1453">
        <v>0</v>
      </c>
      <c r="R18" s="1453">
        <v>303085</v>
      </c>
      <c r="S18" s="1453">
        <v>164152</v>
      </c>
    </row>
    <row r="19" spans="1:19" s="1448" customFormat="1" ht="14.25">
      <c r="A19" s="1455" t="s">
        <v>2586</v>
      </c>
      <c r="B19" s="1358"/>
      <c r="C19" s="1358"/>
      <c r="D19" s="1358"/>
      <c r="E19" s="1358"/>
      <c r="F19" s="1358"/>
      <c r="G19" s="1358"/>
      <c r="H19" s="1358"/>
      <c r="I19" s="1358"/>
      <c r="J19" s="1358"/>
      <c r="K19" s="1358"/>
      <c r="L19" s="1358"/>
      <c r="M19" s="1358"/>
      <c r="N19" s="1358"/>
      <c r="O19" s="1358"/>
      <c r="P19" s="1358"/>
      <c r="Q19" s="1358"/>
      <c r="R19" s="1358"/>
      <c r="S19" s="1358"/>
    </row>
    <row r="20" spans="1:19" s="1448" customFormat="1" ht="12">
      <c r="A20" s="1359" t="s">
        <v>843</v>
      </c>
      <c r="B20" s="1453">
        <v>2519743</v>
      </c>
      <c r="C20" s="1453">
        <v>67439</v>
      </c>
      <c r="D20" s="1453">
        <v>153452</v>
      </c>
      <c r="E20" s="1453">
        <v>132478</v>
      </c>
      <c r="F20" s="1453">
        <f t="shared" si="1"/>
        <v>20974</v>
      </c>
      <c r="G20" s="1453">
        <v>57153</v>
      </c>
      <c r="H20" s="1453">
        <v>1494928</v>
      </c>
      <c r="I20" s="1453">
        <v>702360</v>
      </c>
      <c r="J20" s="1453">
        <v>121</v>
      </c>
      <c r="K20" s="1453">
        <v>0</v>
      </c>
      <c r="L20" s="1453">
        <f t="shared" si="2"/>
        <v>2197409</v>
      </c>
      <c r="M20" s="1453">
        <v>3724</v>
      </c>
      <c r="N20" s="1453">
        <v>0</v>
      </c>
      <c r="O20" s="1453">
        <v>0</v>
      </c>
      <c r="P20" s="1453">
        <v>0</v>
      </c>
      <c r="Q20" s="1453">
        <v>0</v>
      </c>
      <c r="R20" s="1453">
        <v>305789</v>
      </c>
      <c r="S20" s="1453">
        <v>158387</v>
      </c>
    </row>
    <row r="21" spans="1:19" s="1448" customFormat="1" ht="12">
      <c r="A21" s="1357" t="s">
        <v>844</v>
      </c>
      <c r="B21" s="1358">
        <v>2546772</v>
      </c>
      <c r="C21" s="1358">
        <v>66792</v>
      </c>
      <c r="D21" s="1358">
        <v>193758</v>
      </c>
      <c r="E21" s="1358">
        <v>123476</v>
      </c>
      <c r="F21" s="1358">
        <f t="shared" si="1"/>
        <v>70282</v>
      </c>
      <c r="G21" s="1358">
        <v>57011</v>
      </c>
      <c r="H21" s="1358">
        <v>1660591</v>
      </c>
      <c r="I21" s="1358">
        <v>667771</v>
      </c>
      <c r="J21" s="1358">
        <v>70</v>
      </c>
      <c r="K21" s="1358">
        <v>0</v>
      </c>
      <c r="L21" s="1358">
        <f t="shared" si="2"/>
        <v>2328432</v>
      </c>
      <c r="M21" s="1358">
        <v>4038</v>
      </c>
      <c r="N21" s="1358">
        <v>0</v>
      </c>
      <c r="O21" s="1358">
        <v>0</v>
      </c>
      <c r="P21" s="1358">
        <v>0</v>
      </c>
      <c r="Q21" s="1358">
        <v>0</v>
      </c>
      <c r="R21" s="1358">
        <v>308350</v>
      </c>
      <c r="S21" s="1358">
        <v>100037</v>
      </c>
    </row>
    <row r="22" spans="1:19" s="1448" customFormat="1" ht="12">
      <c r="A22" s="1359" t="s">
        <v>838</v>
      </c>
      <c r="B22" s="1360">
        <v>2517324</v>
      </c>
      <c r="C22" s="1360">
        <v>67296</v>
      </c>
      <c r="D22" s="1360">
        <v>148759</v>
      </c>
      <c r="E22" s="1360">
        <v>143554</v>
      </c>
      <c r="F22" s="1360">
        <f t="shared" si="1"/>
        <v>5205</v>
      </c>
      <c r="G22" s="1360">
        <v>56564</v>
      </c>
      <c r="H22" s="1360">
        <v>1539960</v>
      </c>
      <c r="I22" s="1360">
        <v>729547</v>
      </c>
      <c r="J22" s="1360">
        <v>111</v>
      </c>
      <c r="K22" s="1360">
        <v>0</v>
      </c>
      <c r="L22" s="1360">
        <f t="shared" si="2"/>
        <v>2269618</v>
      </c>
      <c r="M22" s="1360">
        <v>5911</v>
      </c>
      <c r="N22" s="1360">
        <v>0</v>
      </c>
      <c r="O22" s="1360">
        <v>0</v>
      </c>
      <c r="P22" s="1360">
        <v>0</v>
      </c>
      <c r="Q22" s="1360">
        <v>0</v>
      </c>
      <c r="R22" s="1360">
        <v>309555</v>
      </c>
      <c r="S22" s="1360">
        <v>61305</v>
      </c>
    </row>
    <row r="23" spans="1:19" s="1448" customFormat="1" ht="12">
      <c r="A23" s="1357" t="s">
        <v>845</v>
      </c>
      <c r="B23" s="1358">
        <v>2481543</v>
      </c>
      <c r="C23" s="1358">
        <v>67032</v>
      </c>
      <c r="D23" s="1358">
        <v>166447</v>
      </c>
      <c r="E23" s="1358">
        <v>123970</v>
      </c>
      <c r="F23" s="1358">
        <f t="shared" si="1"/>
        <v>42477</v>
      </c>
      <c r="G23" s="1358">
        <v>56280</v>
      </c>
      <c r="H23" s="1358">
        <v>1509006</v>
      </c>
      <c r="I23" s="1358">
        <v>756847</v>
      </c>
      <c r="J23" s="1358">
        <v>93</v>
      </c>
      <c r="K23" s="1358">
        <v>0</v>
      </c>
      <c r="L23" s="1358">
        <f t="shared" si="2"/>
        <v>2265946</v>
      </c>
      <c r="M23" s="1358">
        <v>7601</v>
      </c>
      <c r="N23" s="1358">
        <v>0</v>
      </c>
      <c r="O23" s="1358">
        <v>0</v>
      </c>
      <c r="P23" s="1358">
        <v>0</v>
      </c>
      <c r="Q23" s="1358">
        <v>0</v>
      </c>
      <c r="R23" s="1358">
        <v>309760</v>
      </c>
      <c r="S23" s="1358">
        <v>64025</v>
      </c>
    </row>
    <row r="24" spans="1:19" s="1448" customFormat="1" ht="12.75" thickBot="1">
      <c r="A24" s="1454" t="s">
        <v>846</v>
      </c>
      <c r="B24" s="1456">
        <v>2453091</v>
      </c>
      <c r="C24" s="1456">
        <v>69091</v>
      </c>
      <c r="D24" s="1456">
        <v>184323</v>
      </c>
      <c r="E24" s="1456">
        <v>134044</v>
      </c>
      <c r="F24" s="1456">
        <f t="shared" si="1"/>
        <v>50279</v>
      </c>
      <c r="G24" s="1456">
        <v>56129</v>
      </c>
      <c r="H24" s="1456">
        <v>1507507</v>
      </c>
      <c r="I24" s="1456">
        <v>730455</v>
      </c>
      <c r="J24" s="1456">
        <v>101</v>
      </c>
      <c r="K24" s="1456">
        <v>0</v>
      </c>
      <c r="L24" s="1456">
        <f t="shared" si="2"/>
        <v>2238063</v>
      </c>
      <c r="M24" s="1456">
        <v>5774</v>
      </c>
      <c r="N24" s="1456">
        <v>0</v>
      </c>
      <c r="O24" s="1456">
        <v>0</v>
      </c>
      <c r="P24" s="1456">
        <v>0</v>
      </c>
      <c r="Q24" s="1456">
        <v>0</v>
      </c>
      <c r="R24" s="1456">
        <v>316466</v>
      </c>
      <c r="S24" s="1456">
        <v>68287</v>
      </c>
    </row>
    <row r="25" spans="1:19" s="1448" customFormat="1" ht="12">
      <c r="A25" s="1359"/>
      <c r="B25" s="1453"/>
      <c r="C25" s="1453"/>
      <c r="D25" s="1453"/>
      <c r="E25" s="1453"/>
      <c r="F25" s="1453"/>
      <c r="G25" s="1453"/>
      <c r="H25" s="1453"/>
      <c r="I25" s="1453"/>
      <c r="J25" s="1453"/>
      <c r="K25" s="1453"/>
      <c r="L25" s="1453"/>
      <c r="M25" s="1453"/>
      <c r="N25" s="1453"/>
      <c r="O25" s="1453"/>
      <c r="P25" s="1453"/>
      <c r="Q25" s="1453"/>
      <c r="R25" s="1453"/>
      <c r="S25" s="1453"/>
    </row>
    <row r="26" spans="1:19">
      <c r="A26" s="1362" t="s">
        <v>32</v>
      </c>
      <c r="B26" s="1363" t="s">
        <v>2171</v>
      </c>
      <c r="C26" s="1363"/>
      <c r="I26" s="1377" t="s">
        <v>2307</v>
      </c>
    </row>
  </sheetData>
  <mergeCells count="15">
    <mergeCell ref="A3:A5"/>
    <mergeCell ref="M3:M4"/>
    <mergeCell ref="N3:N4"/>
    <mergeCell ref="O3:O4"/>
    <mergeCell ref="S3:S4"/>
    <mergeCell ref="R1:S1"/>
    <mergeCell ref="R2:S2"/>
    <mergeCell ref="B3:B4"/>
    <mergeCell ref="C3:C4"/>
    <mergeCell ref="D3:F3"/>
    <mergeCell ref="P3:P4"/>
    <mergeCell ref="Q3:Q4"/>
    <mergeCell ref="R3:R4"/>
    <mergeCell ref="H3:L3"/>
    <mergeCell ref="G3:G4"/>
  </mergeCells>
  <pageMargins left="0.45" right="0.45" top="0.75" bottom="0.75" header="0.3" footer="0.3"/>
  <pageSetup paperSize="141" firstPageNumber="104" orientation="portrait" useFirstPageNumber="1" r:id="rId1"/>
  <headerFooter>
    <oddFooter>&amp;C&amp;"Times New Roman,Regular"&amp;8&amp;P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8"/>
  <dimension ref="A1:Q28"/>
  <sheetViews>
    <sheetView topLeftCell="A31" zoomScale="130" zoomScaleNormal="130" workbookViewId="0">
      <selection activeCell="Q24" sqref="Q24"/>
    </sheetView>
  </sheetViews>
  <sheetFormatPr defaultColWidth="8.85546875" defaultRowHeight="15"/>
  <cols>
    <col min="1" max="1" width="8.7109375" style="1353" customWidth="1"/>
    <col min="2" max="2" width="9.28515625" style="1353" customWidth="1"/>
    <col min="3" max="3" width="8.85546875" style="1353"/>
    <col min="4" max="4" width="8" style="1353" customWidth="1"/>
    <col min="5" max="5" width="9" style="1353" bestFit="1" customWidth="1"/>
    <col min="6" max="6" width="8.85546875" style="1353"/>
    <col min="7" max="7" width="7.85546875" style="1353" customWidth="1"/>
    <col min="8" max="8" width="9.28515625" style="1353" customWidth="1"/>
    <col min="9" max="9" width="8.85546875" style="1353"/>
    <col min="10" max="10" width="10" style="1353" customWidth="1"/>
    <col min="11" max="11" width="8" style="1353" customWidth="1"/>
    <col min="12" max="12" width="8.85546875" style="1353"/>
    <col min="13" max="13" width="6.28515625" style="1353" customWidth="1"/>
    <col min="14" max="14" width="8.28515625" style="1353" customWidth="1"/>
    <col min="15" max="15" width="7.7109375" style="1353" customWidth="1"/>
    <col min="16" max="16" width="8.85546875" style="1353"/>
    <col min="17" max="17" width="10.28515625" style="1353" customWidth="1"/>
    <col min="18" max="16384" width="8.85546875" style="1353"/>
  </cols>
  <sheetData>
    <row r="1" spans="1:17" s="1351" customFormat="1" ht="17.45" customHeight="1">
      <c r="A1" s="1350"/>
      <c r="D1" s="1364"/>
      <c r="E1" s="1364"/>
      <c r="F1" s="1364"/>
      <c r="G1" s="1364"/>
      <c r="H1" s="1368" t="s">
        <v>2556</v>
      </c>
      <c r="I1" s="1352"/>
      <c r="J1" s="1445" t="s">
        <v>2557</v>
      </c>
      <c r="K1" s="1445"/>
      <c r="L1" s="1445"/>
      <c r="M1" s="1352"/>
      <c r="P1" s="2208" t="s">
        <v>2461</v>
      </c>
      <c r="Q1" s="2208"/>
    </row>
    <row r="2" spans="1:17">
      <c r="P2" s="2219" t="s">
        <v>2452</v>
      </c>
      <c r="Q2" s="2219"/>
    </row>
    <row r="3" spans="1:17" ht="13.9" customHeight="1">
      <c r="A3" s="2218" t="s">
        <v>758</v>
      </c>
      <c r="B3" s="2210" t="s">
        <v>765</v>
      </c>
      <c r="C3" s="2220" t="s">
        <v>2462</v>
      </c>
      <c r="D3" s="2220"/>
      <c r="E3" s="2220"/>
      <c r="F3" s="2220" t="s">
        <v>2465</v>
      </c>
      <c r="G3" s="2220"/>
      <c r="H3" s="2220"/>
      <c r="I3" s="2220"/>
      <c r="J3" s="2220"/>
      <c r="K3" s="2210" t="s">
        <v>2577</v>
      </c>
      <c r="L3" s="2214" t="s">
        <v>2578</v>
      </c>
      <c r="M3" s="2214" t="s">
        <v>2456</v>
      </c>
      <c r="N3" s="2213" t="s">
        <v>2457</v>
      </c>
      <c r="O3" s="2214" t="s">
        <v>2482</v>
      </c>
      <c r="P3" s="2214" t="s">
        <v>2459</v>
      </c>
      <c r="Q3" s="2214" t="s">
        <v>2468</v>
      </c>
    </row>
    <row r="4" spans="1:17" ht="77.25" customHeight="1">
      <c r="A4" s="2218"/>
      <c r="B4" s="2211"/>
      <c r="C4" s="1374" t="s">
        <v>2463</v>
      </c>
      <c r="D4" s="1355" t="s">
        <v>2464</v>
      </c>
      <c r="E4" s="1355" t="s">
        <v>2476</v>
      </c>
      <c r="F4" s="1437" t="s">
        <v>2466</v>
      </c>
      <c r="G4" s="1447" t="s">
        <v>2575</v>
      </c>
      <c r="H4" s="1437" t="s">
        <v>2467</v>
      </c>
      <c r="I4" s="1447" t="s">
        <v>2576</v>
      </c>
      <c r="J4" s="1437" t="s">
        <v>2475</v>
      </c>
      <c r="K4" s="2211"/>
      <c r="L4" s="2214"/>
      <c r="M4" s="2214"/>
      <c r="N4" s="2213"/>
      <c r="O4" s="2214"/>
      <c r="P4" s="2214"/>
      <c r="Q4" s="2214"/>
    </row>
    <row r="5" spans="1:17" s="1356" customFormat="1" ht="22.9" customHeight="1">
      <c r="A5" s="2218"/>
      <c r="B5" s="1373">
        <v>1</v>
      </c>
      <c r="C5" s="1366">
        <v>2</v>
      </c>
      <c r="D5" s="1366">
        <v>3</v>
      </c>
      <c r="E5" s="1366">
        <v>4</v>
      </c>
      <c r="F5" s="1366">
        <v>5</v>
      </c>
      <c r="G5" s="1366">
        <v>6</v>
      </c>
      <c r="H5" s="1366">
        <v>7</v>
      </c>
      <c r="I5" s="1366">
        <v>8</v>
      </c>
      <c r="J5" s="1366">
        <v>9</v>
      </c>
      <c r="K5" s="1366">
        <v>10</v>
      </c>
      <c r="L5" s="1366">
        <v>11</v>
      </c>
      <c r="M5" s="1366">
        <v>12</v>
      </c>
      <c r="N5" s="1366">
        <v>13</v>
      </c>
      <c r="O5" s="1366">
        <v>14</v>
      </c>
      <c r="P5" s="1366">
        <v>15</v>
      </c>
      <c r="Q5" s="1366">
        <v>16</v>
      </c>
    </row>
    <row r="6" spans="1:17" s="1389" customFormat="1">
      <c r="A6" s="1464" t="s">
        <v>2320</v>
      </c>
      <c r="B6" s="1465">
        <f>B18</f>
        <v>2198393</v>
      </c>
      <c r="C6" s="1465">
        <f t="shared" ref="C6:Q6" si="0">C18</f>
        <v>3173751</v>
      </c>
      <c r="D6" s="1465">
        <f t="shared" si="0"/>
        <v>10384053</v>
      </c>
      <c r="E6" s="1465">
        <f t="shared" si="0"/>
        <v>13557804</v>
      </c>
      <c r="F6" s="1465">
        <f t="shared" si="0"/>
        <v>1393830</v>
      </c>
      <c r="G6" s="1465">
        <f t="shared" si="0"/>
        <v>1135894</v>
      </c>
      <c r="H6" s="1465">
        <f t="shared" si="0"/>
        <v>8942922</v>
      </c>
      <c r="I6" s="1465">
        <f t="shared" si="0"/>
        <v>2263285</v>
      </c>
      <c r="J6" s="1465">
        <f t="shared" si="0"/>
        <v>13735931</v>
      </c>
      <c r="K6" s="1465">
        <f t="shared" si="0"/>
        <v>4668</v>
      </c>
      <c r="L6" s="1465">
        <f t="shared" si="0"/>
        <v>17080</v>
      </c>
      <c r="M6" s="1465">
        <f t="shared" si="0"/>
        <v>1622</v>
      </c>
      <c r="N6" s="1465">
        <f t="shared" si="0"/>
        <v>0</v>
      </c>
      <c r="O6" s="1465">
        <f t="shared" si="0"/>
        <v>0</v>
      </c>
      <c r="P6" s="1465">
        <f t="shared" si="0"/>
        <v>1490636</v>
      </c>
      <c r="Q6" s="1465">
        <f t="shared" si="0"/>
        <v>506260</v>
      </c>
    </row>
    <row r="7" spans="1:17">
      <c r="A7" s="1357" t="s">
        <v>843</v>
      </c>
      <c r="B7" s="1358">
        <v>2360589</v>
      </c>
      <c r="C7" s="1358">
        <v>2778726</v>
      </c>
      <c r="D7" s="1358">
        <v>8894817</v>
      </c>
      <c r="E7" s="1358">
        <f>C7+D7</f>
        <v>11673543</v>
      </c>
      <c r="F7" s="1358">
        <v>1247121</v>
      </c>
      <c r="G7" s="1358">
        <v>999629</v>
      </c>
      <c r="H7" s="1358">
        <v>8212851</v>
      </c>
      <c r="I7" s="1358">
        <v>1865916</v>
      </c>
      <c r="J7" s="1358">
        <f>F7+G7+H7+I7</f>
        <v>12325517</v>
      </c>
      <c r="K7" s="1358">
        <v>9285</v>
      </c>
      <c r="L7" s="1358">
        <v>19745</v>
      </c>
      <c r="M7" s="1358">
        <v>4802</v>
      </c>
      <c r="N7" s="1358">
        <v>0</v>
      </c>
      <c r="O7" s="1358">
        <v>0</v>
      </c>
      <c r="P7" s="1358">
        <v>1374975</v>
      </c>
      <c r="Q7" s="1358">
        <v>299808</v>
      </c>
    </row>
    <row r="8" spans="1:17" s="1361" customFormat="1">
      <c r="A8" s="1359" t="s">
        <v>844</v>
      </c>
      <c r="B8" s="1360">
        <v>2317212</v>
      </c>
      <c r="C8" s="1360">
        <v>2884509</v>
      </c>
      <c r="D8" s="1360">
        <v>9078326</v>
      </c>
      <c r="E8" s="1360">
        <f t="shared" ref="E8:E23" si="1">C8+D8</f>
        <v>11962835</v>
      </c>
      <c r="F8" s="1360">
        <v>1462749</v>
      </c>
      <c r="G8" s="1360">
        <v>955154</v>
      </c>
      <c r="H8" s="1360">
        <v>8245481</v>
      </c>
      <c r="I8" s="1360">
        <v>1903654</v>
      </c>
      <c r="J8" s="1360">
        <f t="shared" ref="J8:J23" si="2">F8+G8+H8+I8</f>
        <v>12567038</v>
      </c>
      <c r="K8" s="1360">
        <v>10180</v>
      </c>
      <c r="L8" s="1360">
        <v>20145</v>
      </c>
      <c r="M8" s="1360">
        <v>4836</v>
      </c>
      <c r="N8" s="1360">
        <v>0</v>
      </c>
      <c r="O8" s="1360">
        <v>0</v>
      </c>
      <c r="P8" s="1360">
        <v>1381320</v>
      </c>
      <c r="Q8" s="1360">
        <v>296528</v>
      </c>
    </row>
    <row r="9" spans="1:17">
      <c r="A9" s="1357" t="s">
        <v>838</v>
      </c>
      <c r="B9" s="1358">
        <v>2278149</v>
      </c>
      <c r="C9" s="1358">
        <v>2855089</v>
      </c>
      <c r="D9" s="1358">
        <v>9181871</v>
      </c>
      <c r="E9" s="1358">
        <f t="shared" si="1"/>
        <v>12036960</v>
      </c>
      <c r="F9" s="1358">
        <v>1312735</v>
      </c>
      <c r="G9" s="1358">
        <v>984463</v>
      </c>
      <c r="H9" s="1358">
        <v>8337010</v>
      </c>
      <c r="I9" s="1358">
        <v>1938554</v>
      </c>
      <c r="J9" s="1358">
        <f t="shared" si="2"/>
        <v>12572762</v>
      </c>
      <c r="K9" s="1358">
        <v>11160</v>
      </c>
      <c r="L9" s="1358">
        <v>17931</v>
      </c>
      <c r="M9" s="1358">
        <v>4147</v>
      </c>
      <c r="N9" s="1358">
        <v>0</v>
      </c>
      <c r="O9" s="1358">
        <v>0</v>
      </c>
      <c r="P9" s="1358">
        <v>1426822</v>
      </c>
      <c r="Q9" s="1358">
        <v>282287</v>
      </c>
    </row>
    <row r="10" spans="1:17" s="1361" customFormat="1">
      <c r="A10" s="1359" t="s">
        <v>845</v>
      </c>
      <c r="B10" s="1360">
        <v>2256442</v>
      </c>
      <c r="C10" s="1360">
        <v>2879294</v>
      </c>
      <c r="D10" s="1360">
        <v>9314419</v>
      </c>
      <c r="E10" s="1360">
        <f t="shared" si="1"/>
        <v>12193713</v>
      </c>
      <c r="F10" s="1360">
        <v>1252172</v>
      </c>
      <c r="G10" s="1360">
        <v>998240</v>
      </c>
      <c r="H10" s="1360">
        <v>8424669</v>
      </c>
      <c r="I10" s="1360">
        <v>1983427</v>
      </c>
      <c r="J10" s="1360">
        <f t="shared" si="2"/>
        <v>12658508</v>
      </c>
      <c r="K10" s="1360">
        <v>10994</v>
      </c>
      <c r="L10" s="1360">
        <v>18229</v>
      </c>
      <c r="M10" s="1360">
        <v>3811</v>
      </c>
      <c r="N10" s="1360">
        <v>0</v>
      </c>
      <c r="O10" s="1360">
        <v>0</v>
      </c>
      <c r="P10" s="1360">
        <v>1444339</v>
      </c>
      <c r="Q10" s="1360">
        <v>314274</v>
      </c>
    </row>
    <row r="11" spans="1:17" s="1361" customFormat="1">
      <c r="A11" s="1357" t="s">
        <v>846</v>
      </c>
      <c r="B11" s="1358">
        <v>2239213</v>
      </c>
      <c r="C11" s="1358">
        <v>2921573</v>
      </c>
      <c r="D11" s="1358">
        <v>9481552</v>
      </c>
      <c r="E11" s="1358">
        <f t="shared" si="1"/>
        <v>12403125</v>
      </c>
      <c r="F11" s="1358">
        <v>1253388</v>
      </c>
      <c r="G11" s="1358">
        <v>1002058</v>
      </c>
      <c r="H11" s="1358">
        <v>8494533</v>
      </c>
      <c r="I11" s="1358">
        <v>2020215</v>
      </c>
      <c r="J11" s="1358">
        <f t="shared" si="2"/>
        <v>12770194</v>
      </c>
      <c r="K11" s="1358">
        <v>8830</v>
      </c>
      <c r="L11" s="1358">
        <v>18601</v>
      </c>
      <c r="M11" s="1358">
        <v>4567</v>
      </c>
      <c r="N11" s="1358">
        <v>0</v>
      </c>
      <c r="O11" s="1358">
        <v>0</v>
      </c>
      <c r="P11" s="1358">
        <v>1510500</v>
      </c>
      <c r="Q11" s="1358">
        <v>329646</v>
      </c>
    </row>
    <row r="12" spans="1:17" s="1361" customFormat="1">
      <c r="A12" s="1359" t="s">
        <v>839</v>
      </c>
      <c r="B12" s="1360">
        <v>2253419</v>
      </c>
      <c r="C12" s="1360">
        <v>2890628</v>
      </c>
      <c r="D12" s="1360">
        <v>9689251</v>
      </c>
      <c r="E12" s="1360">
        <f t="shared" si="1"/>
        <v>12579879</v>
      </c>
      <c r="F12" s="1360">
        <v>1276080</v>
      </c>
      <c r="G12" s="1360">
        <v>1043619</v>
      </c>
      <c r="H12" s="1360">
        <v>8597602</v>
      </c>
      <c r="I12" s="1360">
        <v>2045703</v>
      </c>
      <c r="J12" s="1360">
        <f t="shared" si="2"/>
        <v>12963004</v>
      </c>
      <c r="K12" s="1360">
        <v>9109</v>
      </c>
      <c r="L12" s="1360">
        <v>18269</v>
      </c>
      <c r="M12" s="1360">
        <v>4969</v>
      </c>
      <c r="N12" s="1360">
        <v>0</v>
      </c>
      <c r="O12" s="1360">
        <v>0</v>
      </c>
      <c r="P12" s="1360">
        <v>1555791</v>
      </c>
      <c r="Q12" s="1360">
        <v>282156</v>
      </c>
    </row>
    <row r="13" spans="1:17">
      <c r="A13" s="1357" t="s">
        <v>847</v>
      </c>
      <c r="B13" s="1358">
        <v>2214052</v>
      </c>
      <c r="C13" s="1358">
        <v>2882997</v>
      </c>
      <c r="D13" s="1358">
        <v>9764938</v>
      </c>
      <c r="E13" s="1358">
        <f t="shared" si="1"/>
        <v>12647935</v>
      </c>
      <c r="F13" s="1358">
        <v>1267080</v>
      </c>
      <c r="G13" s="1358">
        <v>980150</v>
      </c>
      <c r="H13" s="1358">
        <v>8588428</v>
      </c>
      <c r="I13" s="1358">
        <v>2093598</v>
      </c>
      <c r="J13" s="1358">
        <f t="shared" si="2"/>
        <v>12929256</v>
      </c>
      <c r="K13" s="1358">
        <v>9488</v>
      </c>
      <c r="L13" s="1358">
        <v>16974</v>
      </c>
      <c r="M13" s="1358">
        <v>5286</v>
      </c>
      <c r="N13" s="1358">
        <v>0</v>
      </c>
      <c r="O13" s="1358">
        <v>0</v>
      </c>
      <c r="P13" s="1358">
        <v>1443860</v>
      </c>
      <c r="Q13" s="1358">
        <v>457123</v>
      </c>
    </row>
    <row r="14" spans="1:17">
      <c r="A14" s="1359" t="s">
        <v>848</v>
      </c>
      <c r="B14" s="1360">
        <v>2197552</v>
      </c>
      <c r="C14" s="1360">
        <v>2861309</v>
      </c>
      <c r="D14" s="1360">
        <v>9891771</v>
      </c>
      <c r="E14" s="1360">
        <f t="shared" si="1"/>
        <v>12753080</v>
      </c>
      <c r="F14" s="1360">
        <v>1267621</v>
      </c>
      <c r="G14" s="1360">
        <v>979380</v>
      </c>
      <c r="H14" s="1360">
        <v>8618372</v>
      </c>
      <c r="I14" s="1360">
        <v>2133363</v>
      </c>
      <c r="J14" s="1360">
        <f t="shared" si="2"/>
        <v>12998736</v>
      </c>
      <c r="K14" s="1360">
        <v>10653</v>
      </c>
      <c r="L14" s="1360">
        <v>19668</v>
      </c>
      <c r="M14" s="1360">
        <v>7934</v>
      </c>
      <c r="N14" s="1360">
        <v>0</v>
      </c>
      <c r="O14" s="1360">
        <v>0</v>
      </c>
      <c r="P14" s="1360">
        <v>1449544</v>
      </c>
      <c r="Q14" s="1360">
        <v>464097</v>
      </c>
    </row>
    <row r="15" spans="1:17">
      <c r="A15" s="1357" t="s">
        <v>840</v>
      </c>
      <c r="B15" s="1358">
        <v>2202492</v>
      </c>
      <c r="C15" s="1358">
        <v>2887262</v>
      </c>
      <c r="D15" s="1358">
        <v>9989702</v>
      </c>
      <c r="E15" s="1358">
        <f t="shared" si="1"/>
        <v>12876964</v>
      </c>
      <c r="F15" s="1358">
        <v>1265988</v>
      </c>
      <c r="G15" s="1358">
        <v>970707</v>
      </c>
      <c r="H15" s="1358">
        <v>8676906</v>
      </c>
      <c r="I15" s="1358">
        <v>2168746</v>
      </c>
      <c r="J15" s="1358">
        <f t="shared" si="2"/>
        <v>13082347</v>
      </c>
      <c r="K15" s="1358">
        <v>5994</v>
      </c>
      <c r="L15" s="1358">
        <v>19839</v>
      </c>
      <c r="M15" s="1358">
        <v>4896</v>
      </c>
      <c r="N15" s="1358">
        <v>0</v>
      </c>
      <c r="O15" s="1358">
        <v>0</v>
      </c>
      <c r="P15" s="1358">
        <v>1469779</v>
      </c>
      <c r="Q15" s="1358">
        <v>496601</v>
      </c>
    </row>
    <row r="16" spans="1:17" s="1361" customFormat="1">
      <c r="A16" s="1359" t="s">
        <v>849</v>
      </c>
      <c r="B16" s="1360">
        <v>2156282</v>
      </c>
      <c r="C16" s="1360">
        <v>2891119</v>
      </c>
      <c r="D16" s="1360">
        <v>10099375</v>
      </c>
      <c r="E16" s="1360">
        <f t="shared" si="1"/>
        <v>12990494</v>
      </c>
      <c r="F16" s="1360">
        <v>1268102</v>
      </c>
      <c r="G16" s="1360">
        <v>984899</v>
      </c>
      <c r="H16" s="1360">
        <v>8714195</v>
      </c>
      <c r="I16" s="1360">
        <v>2200865</v>
      </c>
      <c r="J16" s="1360">
        <f t="shared" si="2"/>
        <v>13168061</v>
      </c>
      <c r="K16" s="1360">
        <v>6534</v>
      </c>
      <c r="L16" s="1360">
        <v>19412</v>
      </c>
      <c r="M16" s="1360">
        <v>1482</v>
      </c>
      <c r="N16" s="1360">
        <v>0</v>
      </c>
      <c r="O16" s="1360">
        <v>0</v>
      </c>
      <c r="P16" s="1360">
        <v>1484725</v>
      </c>
      <c r="Q16" s="1360">
        <v>466562</v>
      </c>
    </row>
    <row r="17" spans="1:17" s="1361" customFormat="1">
      <c r="A17" s="1357" t="s">
        <v>850</v>
      </c>
      <c r="B17" s="1358">
        <v>2161373</v>
      </c>
      <c r="C17" s="1358">
        <v>2962285</v>
      </c>
      <c r="D17" s="1358">
        <v>10234635</v>
      </c>
      <c r="E17" s="1358">
        <f t="shared" si="1"/>
        <v>13196920</v>
      </c>
      <c r="F17" s="1358">
        <v>1319098</v>
      </c>
      <c r="G17" s="1358">
        <v>1002552</v>
      </c>
      <c r="H17" s="1358">
        <v>8840055</v>
      </c>
      <c r="I17" s="1358">
        <v>2232495</v>
      </c>
      <c r="J17" s="1358">
        <f t="shared" si="2"/>
        <v>13394200</v>
      </c>
      <c r="K17" s="1358">
        <v>5318</v>
      </c>
      <c r="L17" s="1358">
        <v>16916</v>
      </c>
      <c r="M17" s="1358">
        <v>2452</v>
      </c>
      <c r="N17" s="1358">
        <v>0</v>
      </c>
      <c r="O17" s="1358">
        <v>0</v>
      </c>
      <c r="P17" s="1358">
        <v>1503149</v>
      </c>
      <c r="Q17" s="1358">
        <v>436258</v>
      </c>
    </row>
    <row r="18" spans="1:17" s="1361" customFormat="1">
      <c r="A18" s="1359" t="s">
        <v>841</v>
      </c>
      <c r="B18" s="1360">
        <v>2198393</v>
      </c>
      <c r="C18" s="1360">
        <v>3173751</v>
      </c>
      <c r="D18" s="1360">
        <v>10384053</v>
      </c>
      <c r="E18" s="1360">
        <f t="shared" si="1"/>
        <v>13557804</v>
      </c>
      <c r="F18" s="1360">
        <v>1393830</v>
      </c>
      <c r="G18" s="1360">
        <v>1135894</v>
      </c>
      <c r="H18" s="1360">
        <v>8942922</v>
      </c>
      <c r="I18" s="1360">
        <v>2263285</v>
      </c>
      <c r="J18" s="1360">
        <f t="shared" si="2"/>
        <v>13735931</v>
      </c>
      <c r="K18" s="1360">
        <v>4668</v>
      </c>
      <c r="L18" s="1360">
        <v>17080</v>
      </c>
      <c r="M18" s="1360">
        <v>1622</v>
      </c>
      <c r="N18" s="1360">
        <v>0</v>
      </c>
      <c r="O18" s="1360">
        <v>0</v>
      </c>
      <c r="P18" s="1360">
        <v>1490636</v>
      </c>
      <c r="Q18" s="1360">
        <v>506260</v>
      </c>
    </row>
    <row r="19" spans="1:17" s="1361" customFormat="1">
      <c r="A19" s="1455" t="s">
        <v>2586</v>
      </c>
      <c r="B19" s="1358"/>
      <c r="C19" s="1358"/>
      <c r="D19" s="1358"/>
      <c r="E19" s="1358"/>
      <c r="F19" s="1358"/>
      <c r="G19" s="1358"/>
      <c r="H19" s="1358"/>
      <c r="I19" s="1358"/>
      <c r="J19" s="1358"/>
      <c r="K19" s="1358"/>
      <c r="L19" s="1358"/>
      <c r="M19" s="1358"/>
      <c r="N19" s="1358"/>
      <c r="O19" s="1358"/>
      <c r="P19" s="1358"/>
      <c r="Q19" s="1358"/>
    </row>
    <row r="20" spans="1:17" s="1361" customFormat="1">
      <c r="A20" s="1359" t="s">
        <v>843</v>
      </c>
      <c r="B20" s="1360">
        <v>2183749</v>
      </c>
      <c r="C20" s="1360">
        <v>3246226</v>
      </c>
      <c r="D20" s="1360">
        <v>10323050</v>
      </c>
      <c r="E20" s="1360">
        <f t="shared" si="1"/>
        <v>13569276</v>
      </c>
      <c r="F20" s="1360">
        <v>1361691</v>
      </c>
      <c r="G20" s="1360">
        <v>1076629</v>
      </c>
      <c r="H20" s="1360">
        <v>8997518</v>
      </c>
      <c r="I20" s="1360">
        <v>2311773</v>
      </c>
      <c r="J20" s="1360">
        <f t="shared" si="2"/>
        <v>13747611</v>
      </c>
      <c r="K20" s="1360">
        <v>4933</v>
      </c>
      <c r="L20" s="1360">
        <v>16848</v>
      </c>
      <c r="M20" s="1360">
        <v>1620</v>
      </c>
      <c r="N20" s="1360">
        <v>0</v>
      </c>
      <c r="O20" s="1360">
        <v>0</v>
      </c>
      <c r="P20" s="1360">
        <v>1522055</v>
      </c>
      <c r="Q20" s="1360">
        <v>459958</v>
      </c>
    </row>
    <row r="21" spans="1:17" s="1361" customFormat="1" ht="12.75" customHeight="1">
      <c r="A21" s="1357" t="s">
        <v>844</v>
      </c>
      <c r="B21" s="1358">
        <v>2227007</v>
      </c>
      <c r="C21" s="1358">
        <v>3329853</v>
      </c>
      <c r="D21" s="1358">
        <v>10416887</v>
      </c>
      <c r="E21" s="1358">
        <f t="shared" si="1"/>
        <v>13746740</v>
      </c>
      <c r="F21" s="1358">
        <v>1518517</v>
      </c>
      <c r="G21" s="1358">
        <v>1036595</v>
      </c>
      <c r="H21" s="1358">
        <v>9062669</v>
      </c>
      <c r="I21" s="1358">
        <v>2351098</v>
      </c>
      <c r="J21" s="1358">
        <f t="shared" si="2"/>
        <v>13968879</v>
      </c>
      <c r="K21" s="1358">
        <v>5293</v>
      </c>
      <c r="L21" s="1358">
        <v>18017</v>
      </c>
      <c r="M21" s="1358">
        <v>1342</v>
      </c>
      <c r="N21" s="1358">
        <v>0</v>
      </c>
      <c r="O21" s="1358">
        <v>0</v>
      </c>
      <c r="P21" s="1358">
        <v>1549845</v>
      </c>
      <c r="Q21" s="1358">
        <v>430371</v>
      </c>
    </row>
    <row r="22" spans="1:17" s="1361" customFormat="1" ht="12.75" customHeight="1">
      <c r="A22" s="1359" t="s">
        <v>838</v>
      </c>
      <c r="B22" s="1360">
        <v>2206712</v>
      </c>
      <c r="C22" s="1360">
        <v>3314238</v>
      </c>
      <c r="D22" s="1360">
        <v>10505532</v>
      </c>
      <c r="E22" s="1360">
        <f t="shared" si="1"/>
        <v>13819770</v>
      </c>
      <c r="F22" s="1360">
        <v>1394865</v>
      </c>
      <c r="G22" s="1360">
        <v>1039992</v>
      </c>
      <c r="H22" s="1360">
        <v>9141082</v>
      </c>
      <c r="I22" s="1360">
        <v>2393694</v>
      </c>
      <c r="J22" s="1360">
        <f t="shared" si="2"/>
        <v>13969633</v>
      </c>
      <c r="K22" s="1360">
        <v>7293</v>
      </c>
      <c r="L22" s="1360">
        <v>17926</v>
      </c>
      <c r="M22" s="1360">
        <v>1420</v>
      </c>
      <c r="N22" s="1360">
        <v>0</v>
      </c>
      <c r="O22" s="1360">
        <v>0</v>
      </c>
      <c r="P22" s="1360">
        <v>1535919</v>
      </c>
      <c r="Q22" s="1360">
        <v>494291</v>
      </c>
    </row>
    <row r="23" spans="1:17" s="1361" customFormat="1" ht="12.75" customHeight="1" thickBot="1">
      <c r="A23" s="1488" t="s">
        <v>845</v>
      </c>
      <c r="B23" s="1489">
        <v>2134210</v>
      </c>
      <c r="C23" s="1489">
        <v>3359739</v>
      </c>
      <c r="D23" s="1489">
        <v>10655080</v>
      </c>
      <c r="E23" s="1489">
        <f t="shared" si="1"/>
        <v>14014819</v>
      </c>
      <c r="F23" s="1489">
        <v>1375482</v>
      </c>
      <c r="G23" s="1489">
        <v>1055825</v>
      </c>
      <c r="H23" s="1489">
        <v>9210843</v>
      </c>
      <c r="I23" s="1489">
        <v>2436837</v>
      </c>
      <c r="J23" s="1489">
        <f t="shared" si="2"/>
        <v>14078987</v>
      </c>
      <c r="K23" s="1489">
        <v>8778</v>
      </c>
      <c r="L23" s="1489">
        <v>17501</v>
      </c>
      <c r="M23" s="1489">
        <v>1434</v>
      </c>
      <c r="N23" s="1489">
        <v>0</v>
      </c>
      <c r="O23" s="1489">
        <v>0</v>
      </c>
      <c r="P23" s="1489">
        <v>1557906</v>
      </c>
      <c r="Q23" s="1489">
        <v>484423</v>
      </c>
    </row>
    <row r="24" spans="1:17" ht="12.75" customHeight="1">
      <c r="A24" s="1359"/>
      <c r="B24" s="1389"/>
      <c r="C24" s="1389"/>
      <c r="D24" s="1389"/>
      <c r="E24" s="1389"/>
      <c r="F24" s="1389"/>
      <c r="G24" s="1389"/>
      <c r="H24" s="1389"/>
      <c r="I24" s="1389"/>
      <c r="J24" s="1389"/>
      <c r="K24" s="1389"/>
      <c r="L24" s="1389"/>
      <c r="M24" s="1389"/>
      <c r="N24" s="1389"/>
      <c r="O24" s="1389"/>
      <c r="P24" s="1389"/>
      <c r="Q24" s="1389"/>
    </row>
    <row r="25" spans="1:17" ht="11.25" customHeight="1">
      <c r="A25" s="1362" t="s">
        <v>2380</v>
      </c>
      <c r="B25" s="1363" t="s">
        <v>2171</v>
      </c>
      <c r="G25" s="1377" t="s">
        <v>2307</v>
      </c>
    </row>
    <row r="26" spans="1:17">
      <c r="E26" s="1377"/>
      <c r="G26" s="1378"/>
      <c r="H26" s="1378"/>
      <c r="I26" s="1378"/>
      <c r="J26" s="1378"/>
    </row>
    <row r="27" spans="1:17">
      <c r="E27" s="1377"/>
      <c r="G27" s="1378"/>
      <c r="H27" s="1378"/>
      <c r="I27" s="1378"/>
      <c r="J27" s="1378"/>
    </row>
    <row r="28" spans="1:17">
      <c r="E28" s="1377"/>
      <c r="G28" s="1378"/>
      <c r="H28" s="1378"/>
      <c r="I28" s="1378"/>
      <c r="J28" s="1378"/>
    </row>
  </sheetData>
  <mergeCells count="13">
    <mergeCell ref="M3:M4"/>
    <mergeCell ref="N3:N4"/>
    <mergeCell ref="A3:A5"/>
    <mergeCell ref="B3:B4"/>
    <mergeCell ref="C3:E3"/>
    <mergeCell ref="F3:J3"/>
    <mergeCell ref="K3:K4"/>
    <mergeCell ref="L3:L4"/>
    <mergeCell ref="O3:O4"/>
    <mergeCell ref="P3:P4"/>
    <mergeCell ref="Q3:Q4"/>
    <mergeCell ref="P1:Q1"/>
    <mergeCell ref="P2:Q2"/>
  </mergeCells>
  <pageMargins left="0.75" right="0.45" top="0.75" bottom="0.75" header="0.3" footer="0.3"/>
  <pageSetup paperSize="141" firstPageNumber="106" orientation="portrait" useFirstPageNumber="1" r:id="rId1"/>
  <headerFooter>
    <oddFooter>&amp;C&amp;"Times New Roman,Regular"&amp;8&amp;P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0" zoomScale="140" zoomScaleNormal="140" workbookViewId="0">
      <selection activeCell="H53" sqref="H53"/>
    </sheetView>
  </sheetViews>
  <sheetFormatPr defaultRowHeight="12.75"/>
  <cols>
    <col min="1" max="1" width="5.140625" customWidth="1"/>
    <col min="2" max="2" width="7.7109375" customWidth="1"/>
    <col min="3" max="3" width="8.7109375" style="1500" customWidth="1"/>
    <col min="4" max="4" width="9.7109375" style="1500" customWidth="1"/>
    <col min="5" max="5" width="9.140625" style="1500" customWidth="1"/>
    <col min="6" max="6" width="8.42578125" style="1500" customWidth="1"/>
    <col min="7" max="7" width="10.140625" style="1500" customWidth="1"/>
  </cols>
  <sheetData>
    <row r="1" spans="1:19" ht="21">
      <c r="A1" s="2221" t="s">
        <v>2637</v>
      </c>
      <c r="B1" s="2221"/>
      <c r="C1" s="2221"/>
      <c r="D1" s="2221"/>
      <c r="E1" s="2221"/>
      <c r="F1" s="2221"/>
      <c r="G1" s="2221"/>
      <c r="H1" s="2221"/>
      <c r="I1" s="1515" t="s">
        <v>2638</v>
      </c>
    </row>
    <row r="2" spans="1:19">
      <c r="A2" s="1377"/>
      <c r="B2" s="1377"/>
      <c r="C2" s="1501"/>
      <c r="D2" s="1501"/>
      <c r="E2" s="1501"/>
      <c r="F2" s="1501"/>
      <c r="H2" s="1501" t="s">
        <v>2639</v>
      </c>
    </row>
    <row r="3" spans="1:19" ht="33.75" customHeight="1">
      <c r="A3" s="2228" t="s">
        <v>2681</v>
      </c>
      <c r="B3" s="2229"/>
      <c r="C3" s="1497" t="s">
        <v>2658</v>
      </c>
      <c r="D3" s="1498" t="s">
        <v>2640</v>
      </c>
      <c r="E3" s="1499" t="s">
        <v>2641</v>
      </c>
      <c r="F3" s="1499" t="s">
        <v>2642</v>
      </c>
      <c r="G3" s="1499" t="s">
        <v>2657</v>
      </c>
      <c r="H3" s="1499" t="s">
        <v>2660</v>
      </c>
      <c r="I3" s="1499" t="s">
        <v>2661</v>
      </c>
    </row>
    <row r="4" spans="1:19" ht="11.85" customHeight="1">
      <c r="A4" s="2230" t="s">
        <v>2092</v>
      </c>
      <c r="B4" s="2231"/>
      <c r="C4" s="1492">
        <f>SUM(C5:C32)</f>
        <v>66083.482729679992</v>
      </c>
      <c r="D4" s="1492">
        <f t="shared" ref="D4:I4" si="0">SUM(D5:D32)</f>
        <v>560934.07137000002</v>
      </c>
      <c r="E4" s="1492">
        <f t="shared" si="0"/>
        <v>25349.930000000008</v>
      </c>
      <c r="F4" s="1492">
        <f t="shared" si="0"/>
        <v>54610.69</v>
      </c>
      <c r="G4" s="1503">
        <f t="shared" si="0"/>
        <v>3827.6000000000004</v>
      </c>
      <c r="H4" s="1503">
        <f t="shared" si="0"/>
        <v>10612.977739999998</v>
      </c>
      <c r="I4" s="1492">
        <f t="shared" si="0"/>
        <v>28.653200000000002</v>
      </c>
      <c r="O4" s="1520"/>
      <c r="P4" s="1520"/>
      <c r="Q4" s="1520"/>
      <c r="R4" s="1520"/>
      <c r="S4" s="1520"/>
    </row>
    <row r="5" spans="1:19" ht="11.85" customHeight="1">
      <c r="A5" s="2223" t="s">
        <v>2643</v>
      </c>
      <c r="B5" s="1493" t="s">
        <v>2644</v>
      </c>
      <c r="C5" s="1537">
        <v>102.70400000000001</v>
      </c>
      <c r="D5" s="1537">
        <v>52.770510000000002</v>
      </c>
      <c r="E5" s="1537">
        <v>6.87</v>
      </c>
      <c r="F5" s="1537">
        <v>29.99</v>
      </c>
      <c r="G5" s="1505">
        <v>11.8</v>
      </c>
      <c r="H5" s="171">
        <v>0</v>
      </c>
      <c r="I5" s="171">
        <v>0</v>
      </c>
      <c r="O5" s="1520"/>
      <c r="P5" s="1520"/>
      <c r="Q5" s="1520"/>
      <c r="R5" s="1520"/>
      <c r="S5" s="1520"/>
    </row>
    <row r="6" spans="1:19" ht="11.85" customHeight="1">
      <c r="A6" s="2226"/>
      <c r="B6" s="1494" t="s">
        <v>2645</v>
      </c>
      <c r="C6" s="1538">
        <v>41.552000000000007</v>
      </c>
      <c r="D6" s="1538">
        <v>631.13774999999998</v>
      </c>
      <c r="E6" s="1539">
        <v>15.22</v>
      </c>
      <c r="F6" s="1539">
        <v>86.95</v>
      </c>
      <c r="G6" s="1506">
        <v>0.8</v>
      </c>
      <c r="H6" s="1504">
        <v>0</v>
      </c>
      <c r="I6" s="1504">
        <v>0</v>
      </c>
      <c r="O6" s="1520"/>
      <c r="P6" s="1520"/>
      <c r="Q6" s="1520"/>
      <c r="R6" s="1520"/>
      <c r="S6" s="1520"/>
    </row>
    <row r="7" spans="1:19" ht="11.85" customHeight="1">
      <c r="A7" s="2226"/>
      <c r="B7" s="1493" t="s">
        <v>2646</v>
      </c>
      <c r="C7" s="1540">
        <v>12043.808000000001</v>
      </c>
      <c r="D7" s="1540">
        <v>95641.319969999997</v>
      </c>
      <c r="E7" s="1540">
        <v>5298.25</v>
      </c>
      <c r="F7" s="1540">
        <v>11431.83</v>
      </c>
      <c r="G7" s="1507">
        <v>64.3</v>
      </c>
      <c r="H7" s="171">
        <v>1713.0400000000002</v>
      </c>
      <c r="I7" s="171">
        <v>0</v>
      </c>
      <c r="O7" s="1520"/>
      <c r="P7" s="1520"/>
      <c r="Q7" s="1520"/>
      <c r="R7" s="1520"/>
      <c r="S7" s="1520"/>
    </row>
    <row r="8" spans="1:19" ht="11.85" customHeight="1">
      <c r="A8" s="2226"/>
      <c r="B8" s="1494" t="s">
        <v>2647</v>
      </c>
      <c r="C8" s="1538">
        <v>57.231999999999999</v>
      </c>
      <c r="D8" s="1538">
        <v>10.763629999999999</v>
      </c>
      <c r="E8" s="1539">
        <v>13.77</v>
      </c>
      <c r="F8" s="1539">
        <v>105.32</v>
      </c>
      <c r="G8" s="1506">
        <v>976.9</v>
      </c>
      <c r="H8" s="1504">
        <v>0</v>
      </c>
      <c r="I8" s="1504">
        <v>0</v>
      </c>
      <c r="O8" s="1520"/>
      <c r="P8" s="1520"/>
      <c r="Q8" s="1520"/>
      <c r="R8" s="1520"/>
      <c r="S8" s="1520"/>
    </row>
    <row r="9" spans="1:19" ht="11.85" customHeight="1">
      <c r="A9" s="2226"/>
      <c r="B9" s="1493" t="s">
        <v>2648</v>
      </c>
      <c r="C9" s="1540">
        <v>1624.4480000000001</v>
      </c>
      <c r="D9" s="1540">
        <v>45.255859999999998</v>
      </c>
      <c r="E9" s="1540">
        <v>144.96</v>
      </c>
      <c r="F9" s="1540">
        <v>73.459999999999994</v>
      </c>
      <c r="G9" s="1507">
        <v>38.4</v>
      </c>
      <c r="H9" s="171">
        <v>0</v>
      </c>
      <c r="I9" s="171">
        <v>0</v>
      </c>
      <c r="O9" s="1520"/>
      <c r="P9" s="1520"/>
      <c r="Q9" s="1520"/>
      <c r="R9" s="1520"/>
      <c r="S9" s="1520"/>
    </row>
    <row r="10" spans="1:19" ht="11.85" customHeight="1">
      <c r="A10" s="2226"/>
      <c r="B10" s="1494" t="s">
        <v>2649</v>
      </c>
      <c r="C10" s="1538">
        <v>808.30400000000009</v>
      </c>
      <c r="D10" s="1538">
        <v>11069.22748</v>
      </c>
      <c r="E10" s="1539">
        <v>31.15</v>
      </c>
      <c r="F10" s="1539">
        <v>262.64999999999998</v>
      </c>
      <c r="G10" s="1506">
        <v>31.4</v>
      </c>
      <c r="H10" s="1504">
        <v>235.20000000000002</v>
      </c>
      <c r="I10" s="1504">
        <v>0</v>
      </c>
      <c r="O10" s="1520"/>
      <c r="P10" s="1520"/>
      <c r="Q10" s="1520"/>
      <c r="R10" s="1520"/>
      <c r="S10" s="1520"/>
    </row>
    <row r="11" spans="1:19" ht="11.85" customHeight="1">
      <c r="A11" s="2227"/>
      <c r="B11" s="1493" t="s">
        <v>2650</v>
      </c>
      <c r="C11" s="1540">
        <v>475.10399999999998</v>
      </c>
      <c r="D11" s="1540">
        <v>1466.8455200000001</v>
      </c>
      <c r="E11" s="1540">
        <v>137.93</v>
      </c>
      <c r="F11" s="1540">
        <v>490.24</v>
      </c>
      <c r="G11" s="1507">
        <v>2.4</v>
      </c>
      <c r="H11" s="171">
        <v>-1164.24</v>
      </c>
      <c r="I11" s="171">
        <v>0</v>
      </c>
      <c r="O11" s="1520"/>
      <c r="P11" s="1520"/>
      <c r="Q11" s="1520"/>
      <c r="R11" s="1520"/>
      <c r="S11" s="1520"/>
    </row>
    <row r="12" spans="1:19" ht="11.85" customHeight="1">
      <c r="A12" s="2222" t="s">
        <v>2263</v>
      </c>
      <c r="B12" s="1493" t="s">
        <v>2644</v>
      </c>
      <c r="C12" s="1540">
        <v>100.58839551999998</v>
      </c>
      <c r="D12" s="1540">
        <v>51.29325</v>
      </c>
      <c r="E12" s="1540">
        <v>4.66</v>
      </c>
      <c r="F12" s="1540">
        <v>55.79</v>
      </c>
      <c r="G12" s="1507">
        <v>14.1</v>
      </c>
      <c r="H12" s="171">
        <v>0</v>
      </c>
      <c r="I12" s="171">
        <v>0</v>
      </c>
      <c r="O12" s="1520"/>
      <c r="P12" s="1520"/>
      <c r="Q12" s="1520"/>
      <c r="R12" s="1520"/>
      <c r="S12" s="1520"/>
    </row>
    <row r="13" spans="1:19" ht="11.85" customHeight="1">
      <c r="A13" s="2222" t="s">
        <v>2263</v>
      </c>
      <c r="B13" s="1494" t="s">
        <v>2645</v>
      </c>
      <c r="C13" s="1538">
        <v>73.869602959999995</v>
      </c>
      <c r="D13" s="1538">
        <v>799.14314999999999</v>
      </c>
      <c r="E13" s="1539">
        <v>10.62</v>
      </c>
      <c r="F13" s="1539">
        <v>112.85</v>
      </c>
      <c r="G13" s="1506">
        <v>1.6</v>
      </c>
      <c r="H13" s="1504">
        <v>0</v>
      </c>
      <c r="I13" s="1504">
        <v>0</v>
      </c>
      <c r="O13" s="1520"/>
      <c r="P13" s="1520"/>
      <c r="Q13" s="1520"/>
      <c r="R13" s="1520"/>
      <c r="S13" s="1520"/>
    </row>
    <row r="14" spans="1:19" ht="11.85" customHeight="1">
      <c r="A14" s="2222" t="s">
        <v>2263</v>
      </c>
      <c r="B14" s="1493" t="s">
        <v>2646</v>
      </c>
      <c r="C14" s="1540">
        <v>14760.561195719998</v>
      </c>
      <c r="D14" s="1540">
        <v>117988.04439</v>
      </c>
      <c r="E14" s="1540">
        <v>6198.64</v>
      </c>
      <c r="F14" s="1540">
        <v>12269.11</v>
      </c>
      <c r="G14" s="1507">
        <v>81</v>
      </c>
      <c r="H14" s="1534">
        <v>1726.4025999999999</v>
      </c>
      <c r="I14" s="171">
        <v>7.84</v>
      </c>
      <c r="O14" s="1520"/>
      <c r="P14" s="1520"/>
      <c r="Q14" s="1520"/>
      <c r="R14" s="1520"/>
      <c r="S14" s="1520"/>
    </row>
    <row r="15" spans="1:19" ht="11.85" customHeight="1">
      <c r="A15" s="2222" t="s">
        <v>2263</v>
      </c>
      <c r="B15" s="1494" t="s">
        <v>2647</v>
      </c>
      <c r="C15" s="1538">
        <v>65.225287719999997</v>
      </c>
      <c r="D15" s="1538">
        <v>6.9604099999999995</v>
      </c>
      <c r="E15" s="1539">
        <v>9.75</v>
      </c>
      <c r="F15" s="1539">
        <v>78.739999999999995</v>
      </c>
      <c r="G15" s="1506">
        <v>790.3</v>
      </c>
      <c r="H15" s="1535">
        <v>-2.3573999999999997</v>
      </c>
      <c r="I15" s="1504">
        <v>0</v>
      </c>
      <c r="O15" s="1520"/>
      <c r="P15" s="1520"/>
      <c r="Q15" s="1520"/>
      <c r="R15" s="1520"/>
      <c r="S15" s="1520"/>
    </row>
    <row r="16" spans="1:19" ht="11.85" customHeight="1">
      <c r="A16" s="2222" t="s">
        <v>2263</v>
      </c>
      <c r="B16" s="1493" t="s">
        <v>2648</v>
      </c>
      <c r="C16" s="1540">
        <v>543.80601328000012</v>
      </c>
      <c r="D16" s="1540">
        <v>158.45222000000001</v>
      </c>
      <c r="E16" s="1540">
        <v>186.12</v>
      </c>
      <c r="F16" s="1540">
        <v>75.349999999999994</v>
      </c>
      <c r="G16" s="1507">
        <v>40.9</v>
      </c>
      <c r="H16" s="171">
        <v>0</v>
      </c>
      <c r="I16" s="171">
        <v>0</v>
      </c>
      <c r="O16" s="1520"/>
      <c r="P16" s="1520"/>
      <c r="Q16" s="1520"/>
      <c r="R16" s="1520"/>
      <c r="S16" s="1520"/>
    </row>
    <row r="17" spans="1:19" ht="11.85" customHeight="1">
      <c r="A17" s="2222" t="s">
        <v>2263</v>
      </c>
      <c r="B17" s="1494" t="s">
        <v>2649</v>
      </c>
      <c r="C17" s="1538">
        <v>1653.4217513599999</v>
      </c>
      <c r="D17" s="1538">
        <v>12744.875410000001</v>
      </c>
      <c r="E17" s="1539">
        <v>46.75</v>
      </c>
      <c r="F17" s="1539">
        <v>320.31</v>
      </c>
      <c r="G17" s="1506">
        <v>25.9</v>
      </c>
      <c r="H17" s="1535">
        <v>272.67259999999999</v>
      </c>
      <c r="I17" s="1504">
        <v>0</v>
      </c>
      <c r="J17" s="281"/>
      <c r="O17" s="1520"/>
      <c r="P17" s="1520"/>
      <c r="Q17" s="1520"/>
      <c r="R17" s="1520"/>
      <c r="S17" s="1520"/>
    </row>
    <row r="18" spans="1:19" ht="11.85" customHeight="1">
      <c r="A18" s="2222" t="s">
        <v>2263</v>
      </c>
      <c r="B18" s="1493" t="s">
        <v>2650</v>
      </c>
      <c r="C18" s="1540">
        <v>1673.06792236</v>
      </c>
      <c r="D18" s="1540">
        <v>2631.9030899999998</v>
      </c>
      <c r="E18" s="1540">
        <v>187.36</v>
      </c>
      <c r="F18" s="1540">
        <v>912.54</v>
      </c>
      <c r="G18" s="1507">
        <v>14.2</v>
      </c>
      <c r="H18" s="1534">
        <v>963.39080000000001</v>
      </c>
      <c r="I18" s="171">
        <v>0</v>
      </c>
      <c r="O18" s="1520"/>
      <c r="P18" s="1520"/>
      <c r="Q18" s="1520"/>
      <c r="R18" s="1520"/>
      <c r="S18" s="1520"/>
    </row>
    <row r="19" spans="1:19" ht="11.85" customHeight="1">
      <c r="A19" s="2222" t="s">
        <v>2035</v>
      </c>
      <c r="B19" s="1493" t="s">
        <v>2644</v>
      </c>
      <c r="C19" s="1540">
        <v>73.669436640000015</v>
      </c>
      <c r="D19" s="1540">
        <v>161.81447</v>
      </c>
      <c r="E19" s="1540">
        <v>16.71</v>
      </c>
      <c r="F19" s="1540">
        <v>15.96</v>
      </c>
      <c r="G19" s="1507">
        <v>16.600000000000001</v>
      </c>
      <c r="H19" s="171">
        <v>0</v>
      </c>
      <c r="I19" s="171">
        <v>0</v>
      </c>
      <c r="O19" s="1520"/>
      <c r="P19" s="1520"/>
      <c r="Q19" s="1520"/>
      <c r="R19" s="1520"/>
      <c r="S19" s="1520"/>
    </row>
    <row r="20" spans="1:19" ht="11.85" customHeight="1">
      <c r="A20" s="2222" t="s">
        <v>2035</v>
      </c>
      <c r="B20" s="1494" t="s">
        <v>2645</v>
      </c>
      <c r="C20" s="1538">
        <v>62.579413919999986</v>
      </c>
      <c r="D20" s="1538">
        <v>1127.1567299999999</v>
      </c>
      <c r="E20" s="1539">
        <v>12.26</v>
      </c>
      <c r="F20" s="1539">
        <v>200.86</v>
      </c>
      <c r="G20" s="1506">
        <v>2.4</v>
      </c>
      <c r="H20" s="1504">
        <v>0</v>
      </c>
      <c r="I20" s="1504">
        <v>0</v>
      </c>
      <c r="O20" s="1520"/>
      <c r="P20" s="1520"/>
      <c r="Q20" s="1520"/>
      <c r="R20" s="1520"/>
      <c r="S20" s="1520"/>
    </row>
    <row r="21" spans="1:19" ht="11.85" customHeight="1">
      <c r="A21" s="2222" t="s">
        <v>2035</v>
      </c>
      <c r="B21" s="1493" t="s">
        <v>2646</v>
      </c>
      <c r="C21" s="1540">
        <v>14368.708722720005</v>
      </c>
      <c r="D21" s="1540">
        <v>152829.80942999999</v>
      </c>
      <c r="E21" s="1540">
        <v>5540.04</v>
      </c>
      <c r="F21" s="1540">
        <v>11948.78</v>
      </c>
      <c r="G21" s="1507">
        <v>76.8</v>
      </c>
      <c r="H21" s="1534">
        <v>2256.0147200000001</v>
      </c>
      <c r="I21" s="1534">
        <v>3.1432000000000002</v>
      </c>
      <c r="O21" s="1520"/>
      <c r="P21" s="1520"/>
      <c r="Q21" s="1520"/>
      <c r="R21" s="1520"/>
      <c r="S21" s="1520"/>
    </row>
    <row r="22" spans="1:19" ht="11.85" customHeight="1">
      <c r="A22" s="2222" t="s">
        <v>2035</v>
      </c>
      <c r="B22" s="1494" t="s">
        <v>2647</v>
      </c>
      <c r="C22" s="1538">
        <v>49.112957760000015</v>
      </c>
      <c r="D22" s="1538">
        <v>248.09217999999998</v>
      </c>
      <c r="E22" s="1539">
        <v>61.72</v>
      </c>
      <c r="F22" s="1539">
        <v>43.08</v>
      </c>
      <c r="G22" s="1506">
        <v>659.8</v>
      </c>
      <c r="H22" s="1535">
        <v>14.258519999999999</v>
      </c>
      <c r="I22" s="1504">
        <v>0</v>
      </c>
      <c r="O22" s="1520"/>
      <c r="P22" s="1520"/>
      <c r="Q22" s="1520"/>
      <c r="R22" s="1520"/>
      <c r="S22" s="1520"/>
    </row>
    <row r="23" spans="1:19" ht="11.85" customHeight="1">
      <c r="A23" s="2222" t="s">
        <v>2035</v>
      </c>
      <c r="B23" s="1493" t="s">
        <v>2648</v>
      </c>
      <c r="C23" s="1540">
        <v>705.00858719999997</v>
      </c>
      <c r="D23" s="1540">
        <v>126.39297000000001</v>
      </c>
      <c r="E23" s="1540">
        <v>394.48</v>
      </c>
      <c r="F23" s="1540">
        <v>71.849999999999994</v>
      </c>
      <c r="G23" s="1507">
        <v>35.6</v>
      </c>
      <c r="H23" s="171">
        <v>0</v>
      </c>
      <c r="I23" s="171">
        <v>0</v>
      </c>
      <c r="O23" s="1520"/>
      <c r="P23" s="1520"/>
      <c r="Q23" s="1520"/>
      <c r="R23" s="1520"/>
      <c r="S23" s="1520"/>
    </row>
    <row r="24" spans="1:19" ht="11.85" customHeight="1">
      <c r="A24" s="2222" t="s">
        <v>2035</v>
      </c>
      <c r="B24" s="1494" t="s">
        <v>2649</v>
      </c>
      <c r="C24" s="1538">
        <v>1549.4346028799996</v>
      </c>
      <c r="D24" s="1538">
        <v>11379.92382</v>
      </c>
      <c r="E24" s="1539">
        <v>55.99</v>
      </c>
      <c r="F24" s="1539">
        <v>268.82</v>
      </c>
      <c r="G24" s="1506">
        <v>28.5</v>
      </c>
      <c r="H24" s="1535">
        <v>244.77125999999998</v>
      </c>
      <c r="I24" s="1504">
        <v>0</v>
      </c>
      <c r="O24" s="1520"/>
      <c r="P24" s="1520"/>
      <c r="Q24" s="1520"/>
      <c r="R24" s="1520"/>
      <c r="S24" s="1520"/>
    </row>
    <row r="25" spans="1:19" ht="11.85" customHeight="1">
      <c r="A25" s="2222" t="s">
        <v>2035</v>
      </c>
      <c r="B25" s="1493" t="s">
        <v>2650</v>
      </c>
      <c r="C25" s="1540">
        <v>552.91684703999977</v>
      </c>
      <c r="D25" s="1540">
        <v>1532.9633899999999</v>
      </c>
      <c r="E25" s="1540">
        <v>107.46</v>
      </c>
      <c r="F25" s="1540">
        <v>551.70000000000005</v>
      </c>
      <c r="G25" s="1507">
        <v>7.9</v>
      </c>
      <c r="H25" s="1534">
        <v>622.62203999999997</v>
      </c>
      <c r="I25" s="171">
        <v>0</v>
      </c>
      <c r="O25" s="1520"/>
      <c r="P25" s="1520"/>
      <c r="Q25" s="1520"/>
      <c r="R25" s="1520"/>
      <c r="S25" s="1520"/>
    </row>
    <row r="26" spans="1:19" ht="11.85" customHeight="1">
      <c r="A26" s="2222" t="s">
        <v>2651</v>
      </c>
      <c r="B26" s="1493" t="s">
        <v>2644</v>
      </c>
      <c r="C26" s="1540">
        <v>118.05589110000001</v>
      </c>
      <c r="D26" s="1540">
        <v>191.58622</v>
      </c>
      <c r="E26" s="1540">
        <v>6.67</v>
      </c>
      <c r="F26" s="1540">
        <v>59.98</v>
      </c>
      <c r="G26" s="1507">
        <v>12.1</v>
      </c>
      <c r="H26" s="171">
        <v>0</v>
      </c>
      <c r="I26" s="171">
        <v>0</v>
      </c>
      <c r="O26" s="1520"/>
      <c r="P26" s="1520"/>
      <c r="Q26" s="1520"/>
      <c r="R26" s="1520"/>
      <c r="S26" s="1520"/>
    </row>
    <row r="27" spans="1:19" ht="11.85" customHeight="1">
      <c r="A27" s="2222" t="s">
        <v>2651</v>
      </c>
      <c r="B27" s="1494" t="s">
        <v>2645</v>
      </c>
      <c r="C27" s="1538">
        <v>76.294623500000014</v>
      </c>
      <c r="D27" s="1538">
        <v>534.72648000000004</v>
      </c>
      <c r="E27" s="1539">
        <v>33.15</v>
      </c>
      <c r="F27" s="1539">
        <v>210.36</v>
      </c>
      <c r="G27" s="1506">
        <v>0</v>
      </c>
      <c r="H27" s="1504">
        <v>0</v>
      </c>
      <c r="I27" s="1504">
        <v>0</v>
      </c>
      <c r="O27" s="1520"/>
      <c r="P27" s="1520"/>
      <c r="Q27" s="1520"/>
      <c r="R27" s="1520"/>
      <c r="S27" s="1520"/>
    </row>
    <row r="28" spans="1:19" ht="11.85" customHeight="1">
      <c r="A28" s="2222" t="s">
        <v>2651</v>
      </c>
      <c r="B28" s="1493" t="s">
        <v>2646</v>
      </c>
      <c r="C28" s="1540">
        <v>12011.183042799996</v>
      </c>
      <c r="D28" s="1540">
        <v>135268.45793999999</v>
      </c>
      <c r="E28" s="1540">
        <v>6439.49</v>
      </c>
      <c r="F28" s="1540">
        <v>13945.43</v>
      </c>
      <c r="G28" s="1507">
        <v>75.5</v>
      </c>
      <c r="H28" s="1534">
        <v>1855.9640999999999</v>
      </c>
      <c r="I28" s="171">
        <v>0</v>
      </c>
      <c r="O28" s="1520"/>
      <c r="P28" s="1520"/>
      <c r="Q28" s="1520"/>
      <c r="R28" s="1520"/>
      <c r="S28" s="1520"/>
    </row>
    <row r="29" spans="1:19" ht="11.85" customHeight="1">
      <c r="A29" s="2222" t="s">
        <v>2651</v>
      </c>
      <c r="B29" s="1494" t="s">
        <v>2647</v>
      </c>
      <c r="C29" s="1538">
        <v>63.445002700000003</v>
      </c>
      <c r="D29" s="1538">
        <v>101.60606</v>
      </c>
      <c r="E29" s="1539">
        <v>34.33</v>
      </c>
      <c r="F29" s="1539">
        <v>65.540000000000006</v>
      </c>
      <c r="G29" s="1506">
        <v>759</v>
      </c>
      <c r="H29" s="1535">
        <v>-4.8186</v>
      </c>
      <c r="I29" s="1504">
        <v>0</v>
      </c>
      <c r="O29" s="1520"/>
      <c r="P29" s="1520"/>
      <c r="Q29" s="1520"/>
      <c r="R29" s="1520"/>
      <c r="S29" s="1520"/>
    </row>
    <row r="30" spans="1:19" ht="11.85" customHeight="1">
      <c r="A30" s="2222" t="s">
        <v>2651</v>
      </c>
      <c r="B30" s="1493" t="s">
        <v>2648</v>
      </c>
      <c r="C30" s="1540">
        <v>872.16801179999993</v>
      </c>
      <c r="D30" s="1540">
        <v>243.39204999999998</v>
      </c>
      <c r="E30" s="1540">
        <v>160.27000000000001</v>
      </c>
      <c r="F30" s="1540">
        <v>76.599999999999994</v>
      </c>
      <c r="G30" s="1507">
        <v>20</v>
      </c>
      <c r="H30" s="171">
        <v>0</v>
      </c>
      <c r="I30" s="171">
        <v>0</v>
      </c>
      <c r="O30" s="1520"/>
      <c r="P30" s="1520"/>
      <c r="Q30" s="1520"/>
      <c r="R30" s="1520"/>
      <c r="S30" s="1520"/>
    </row>
    <row r="31" spans="1:19" ht="11.85" customHeight="1">
      <c r="A31" s="2222" t="s">
        <v>2651</v>
      </c>
      <c r="B31" s="1494" t="s">
        <v>2649</v>
      </c>
      <c r="C31" s="1538">
        <v>921.15719110000055</v>
      </c>
      <c r="D31" s="1538">
        <v>12249.45386</v>
      </c>
      <c r="E31" s="1539">
        <v>59.61</v>
      </c>
      <c r="F31" s="1539">
        <v>274.77</v>
      </c>
      <c r="G31" s="1506">
        <v>26.5</v>
      </c>
      <c r="H31" s="1535">
        <v>307.58730000000003</v>
      </c>
      <c r="I31" s="1504">
        <v>17.670000000000002</v>
      </c>
      <c r="O31" s="1520"/>
      <c r="P31" s="1520"/>
      <c r="Q31" s="1520"/>
      <c r="R31" s="1520"/>
      <c r="S31" s="1520"/>
    </row>
    <row r="32" spans="1:19" ht="11.85" customHeight="1">
      <c r="A32" s="2223" t="s">
        <v>2651</v>
      </c>
      <c r="B32" s="1495" t="s">
        <v>2650</v>
      </c>
      <c r="C32" s="1541">
        <v>636.05622960000017</v>
      </c>
      <c r="D32" s="1541">
        <v>1640.7031299999999</v>
      </c>
      <c r="E32" s="1542">
        <v>135.69999999999999</v>
      </c>
      <c r="F32" s="1542">
        <v>571.83000000000004</v>
      </c>
      <c r="G32" s="1508">
        <v>12.9</v>
      </c>
      <c r="H32" s="1536">
        <v>1572.4697999999999</v>
      </c>
      <c r="I32" s="1529">
        <v>0</v>
      </c>
      <c r="J32" s="281"/>
      <c r="O32" s="1520"/>
      <c r="P32" s="1520"/>
      <c r="Q32" s="1520"/>
      <c r="R32" s="1520"/>
      <c r="S32" s="1520"/>
    </row>
    <row r="33" spans="1:19" ht="11.85" customHeight="1">
      <c r="A33" s="2224" t="s">
        <v>2659</v>
      </c>
      <c r="B33" s="2224"/>
      <c r="C33" s="1543"/>
      <c r="D33" s="1544"/>
      <c r="E33" s="1531"/>
      <c r="F33" s="1531"/>
      <c r="G33" s="1531"/>
      <c r="H33" s="1532"/>
      <c r="I33" s="1532"/>
      <c r="O33" s="1520"/>
      <c r="P33" s="1520"/>
      <c r="Q33" s="1520"/>
      <c r="R33" s="1520"/>
      <c r="S33" s="1520"/>
    </row>
    <row r="34" spans="1:19" ht="11.85" customHeight="1">
      <c r="A34" s="2225" t="s">
        <v>2643</v>
      </c>
      <c r="B34" s="1496" t="s">
        <v>2644</v>
      </c>
      <c r="C34" s="1537">
        <v>171.8484</v>
      </c>
      <c r="D34" s="1537">
        <v>104.12</v>
      </c>
      <c r="E34" s="1537">
        <v>5.53</v>
      </c>
      <c r="F34" s="1537">
        <v>5.28</v>
      </c>
      <c r="G34" s="1505">
        <v>12.9</v>
      </c>
      <c r="H34" s="1530">
        <v>0</v>
      </c>
      <c r="I34" s="1530">
        <v>0</v>
      </c>
      <c r="O34" s="1520"/>
      <c r="P34" s="1520"/>
      <c r="Q34" s="1520"/>
      <c r="R34" s="1520"/>
      <c r="S34" s="1520"/>
    </row>
    <row r="35" spans="1:19" ht="11.85" customHeight="1">
      <c r="A35" s="2226"/>
      <c r="B35" s="1494" t="s">
        <v>2645</v>
      </c>
      <c r="C35" s="1538">
        <v>47.601199999999999</v>
      </c>
      <c r="D35" s="1538">
        <v>758.27</v>
      </c>
      <c r="E35" s="1538">
        <v>30.81</v>
      </c>
      <c r="F35" s="1538">
        <v>173.48</v>
      </c>
      <c r="G35" s="1509">
        <v>0</v>
      </c>
      <c r="H35" s="1504">
        <v>0</v>
      </c>
      <c r="I35" s="1504">
        <v>0</v>
      </c>
      <c r="O35" s="1520"/>
      <c r="P35" s="1520"/>
      <c r="Q35" s="1520"/>
      <c r="R35" s="1520"/>
      <c r="S35" s="1520"/>
    </row>
    <row r="36" spans="1:19" ht="11.85" customHeight="1">
      <c r="A36" s="2226"/>
      <c r="B36" s="1493" t="s">
        <v>2646</v>
      </c>
      <c r="C36" s="1540">
        <v>12495.718400000002</v>
      </c>
      <c r="D36" s="1540">
        <v>150381.62</v>
      </c>
      <c r="E36" s="1540">
        <v>5984.07</v>
      </c>
      <c r="F36" s="1540">
        <v>15395.18</v>
      </c>
      <c r="G36" s="1507">
        <v>82.3</v>
      </c>
      <c r="H36" s="1534">
        <v>1478.1418720000001</v>
      </c>
      <c r="I36" s="171">
        <v>0</v>
      </c>
      <c r="O36" s="1520"/>
      <c r="P36" s="1520"/>
      <c r="Q36" s="1520"/>
      <c r="R36" s="1520"/>
      <c r="S36" s="1520"/>
    </row>
    <row r="37" spans="1:19" ht="11.85" customHeight="1">
      <c r="A37" s="2226"/>
      <c r="B37" s="1494" t="s">
        <v>2647</v>
      </c>
      <c r="C37" s="1538">
        <v>70.191600000000008</v>
      </c>
      <c r="D37" s="1538">
        <v>111.46</v>
      </c>
      <c r="E37" s="1538">
        <v>49.22</v>
      </c>
      <c r="F37" s="1538">
        <v>106.02</v>
      </c>
      <c r="G37" s="1509">
        <v>401.8</v>
      </c>
      <c r="H37" s="1535">
        <v>-5.6479220000000003</v>
      </c>
      <c r="I37" s="1504">
        <v>0</v>
      </c>
      <c r="O37" s="1520"/>
      <c r="P37" s="1520"/>
      <c r="Q37" s="1520"/>
      <c r="R37" s="1520"/>
      <c r="S37" s="1520"/>
    </row>
    <row r="38" spans="1:19" ht="11.85" customHeight="1">
      <c r="A38" s="2226"/>
      <c r="B38" s="1493" t="s">
        <v>2648</v>
      </c>
      <c r="C38" s="1540">
        <v>768.88040000000001</v>
      </c>
      <c r="D38" s="1540">
        <v>237.24</v>
      </c>
      <c r="E38" s="1540">
        <v>149.99</v>
      </c>
      <c r="F38" s="1540">
        <v>90.22</v>
      </c>
      <c r="G38" s="1507">
        <v>12.9</v>
      </c>
      <c r="H38" s="171">
        <v>0</v>
      </c>
      <c r="I38" s="171">
        <v>0</v>
      </c>
      <c r="O38" s="1520"/>
      <c r="P38" s="1520"/>
      <c r="Q38" s="1520"/>
      <c r="R38" s="1520"/>
      <c r="S38" s="1520"/>
    </row>
    <row r="39" spans="1:19" ht="11.85" customHeight="1">
      <c r="A39" s="2226"/>
      <c r="B39" s="1494" t="s">
        <v>2649</v>
      </c>
      <c r="C39" s="1538">
        <v>1129.52</v>
      </c>
      <c r="D39" s="1538">
        <v>11318.24</v>
      </c>
      <c r="E39" s="1538">
        <v>69.48</v>
      </c>
      <c r="F39" s="1538">
        <v>272.24</v>
      </c>
      <c r="G39" s="1509">
        <v>24.2</v>
      </c>
      <c r="H39" s="1535">
        <v>185.57458</v>
      </c>
      <c r="I39" s="1504">
        <v>0</v>
      </c>
      <c r="O39" s="1520"/>
      <c r="P39" s="1520"/>
      <c r="Q39" s="1520"/>
      <c r="R39" s="1520"/>
      <c r="S39" s="1520"/>
    </row>
    <row r="40" spans="1:19" ht="11.85" customHeight="1">
      <c r="A40" s="2227"/>
      <c r="B40" s="1493" t="s">
        <v>2650</v>
      </c>
      <c r="C40" s="1540">
        <v>688.20040000000006</v>
      </c>
      <c r="D40" s="1540">
        <v>1694.85</v>
      </c>
      <c r="E40" s="1540">
        <v>99.78</v>
      </c>
      <c r="F40" s="1540">
        <v>591.08000000000004</v>
      </c>
      <c r="G40" s="1507">
        <v>8.9</v>
      </c>
      <c r="H40" s="1534">
        <v>2805.4035420000005</v>
      </c>
      <c r="I40" s="171">
        <v>0</v>
      </c>
      <c r="O40" s="1520"/>
      <c r="P40" s="1520"/>
      <c r="Q40" s="1520"/>
      <c r="R40" s="1520"/>
      <c r="S40" s="1520"/>
    </row>
    <row r="41" spans="1:19" ht="11.85" customHeight="1">
      <c r="A41" s="2222" t="s">
        <v>2263</v>
      </c>
      <c r="B41" s="1493" t="s">
        <v>2644</v>
      </c>
      <c r="C41" s="1540">
        <v>135.32320000000001</v>
      </c>
      <c r="D41" s="1540">
        <v>74.540000000000006</v>
      </c>
      <c r="E41" s="1540">
        <v>13.41</v>
      </c>
      <c r="F41" s="1540">
        <v>8.23</v>
      </c>
      <c r="G41" s="1507">
        <v>15.5</v>
      </c>
      <c r="H41" s="171">
        <v>0</v>
      </c>
      <c r="I41" s="171">
        <v>0</v>
      </c>
      <c r="O41" s="1520"/>
      <c r="P41" s="1520"/>
      <c r="Q41" s="1520"/>
      <c r="R41" s="1520"/>
      <c r="S41" s="1520"/>
    </row>
    <row r="42" spans="1:19" ht="11.85" customHeight="1">
      <c r="A42" s="2222" t="s">
        <v>2263</v>
      </c>
      <c r="B42" s="1494" t="s">
        <v>2645</v>
      </c>
      <c r="C42" s="1538">
        <v>117.38879999999999</v>
      </c>
      <c r="D42" s="1538">
        <v>1008.89</v>
      </c>
      <c r="E42" s="1538">
        <v>17.57</v>
      </c>
      <c r="F42" s="1538">
        <v>272.93</v>
      </c>
      <c r="G42" s="1509">
        <v>0.8</v>
      </c>
      <c r="H42" s="1504">
        <v>0</v>
      </c>
      <c r="I42" s="1504">
        <v>0</v>
      </c>
      <c r="O42" s="1520"/>
      <c r="P42" s="1520"/>
      <c r="Q42" s="1520"/>
      <c r="R42" s="1520"/>
      <c r="S42" s="1520"/>
    </row>
    <row r="43" spans="1:19" ht="11.85" customHeight="1">
      <c r="A43" s="2222" t="s">
        <v>2263</v>
      </c>
      <c r="B43" s="1493" t="s">
        <v>2646</v>
      </c>
      <c r="C43" s="1540">
        <v>16877.085600000002</v>
      </c>
      <c r="D43" s="1540">
        <v>186728.95</v>
      </c>
      <c r="E43" s="1540">
        <v>6806.6</v>
      </c>
      <c r="F43" s="1540">
        <v>15406.45</v>
      </c>
      <c r="G43" s="1507">
        <v>138.1</v>
      </c>
      <c r="H43" s="1534">
        <v>3647.2137480000001</v>
      </c>
      <c r="I43" s="1534">
        <v>8.9672219999999996</v>
      </c>
      <c r="O43" s="1520"/>
      <c r="P43" s="1520"/>
      <c r="Q43" s="1520"/>
      <c r="R43" s="1520"/>
      <c r="S43" s="1520"/>
    </row>
    <row r="44" spans="1:19" ht="11.85" customHeight="1">
      <c r="A44" s="2222" t="s">
        <v>2263</v>
      </c>
      <c r="B44" s="1494" t="s">
        <v>2647</v>
      </c>
      <c r="C44" s="1538">
        <v>169.5616</v>
      </c>
      <c r="D44" s="1538">
        <v>147.09</v>
      </c>
      <c r="E44" s="1538">
        <v>59.24</v>
      </c>
      <c r="F44" s="1538">
        <v>70.64</v>
      </c>
      <c r="G44" s="1509">
        <v>469.4</v>
      </c>
      <c r="H44" s="1535">
        <v>4.0760100000000001</v>
      </c>
      <c r="I44" s="1504">
        <v>0</v>
      </c>
      <c r="O44" s="1520"/>
      <c r="P44" s="1520"/>
      <c r="Q44" s="1520"/>
      <c r="R44" s="1520"/>
      <c r="S44" s="1520"/>
    </row>
    <row r="45" spans="1:19" ht="11.85" customHeight="1">
      <c r="A45" s="2222" t="s">
        <v>2263</v>
      </c>
      <c r="B45" s="1493" t="s">
        <v>2648</v>
      </c>
      <c r="C45" s="1540">
        <v>874.70960000000014</v>
      </c>
      <c r="D45" s="1540">
        <v>161.9</v>
      </c>
      <c r="E45" s="1540">
        <v>205.86</v>
      </c>
      <c r="F45" s="1540">
        <v>115.45</v>
      </c>
      <c r="G45" s="1507">
        <v>12.2</v>
      </c>
      <c r="H45" s="171">
        <v>0</v>
      </c>
      <c r="I45" s="171">
        <v>0</v>
      </c>
      <c r="O45" s="1520"/>
      <c r="P45" s="1520"/>
      <c r="Q45" s="1520"/>
      <c r="R45" s="1520"/>
      <c r="S45" s="1520"/>
    </row>
    <row r="46" spans="1:19" ht="11.85" customHeight="1">
      <c r="A46" s="2222" t="s">
        <v>2263</v>
      </c>
      <c r="B46" s="1494" t="s">
        <v>2649</v>
      </c>
      <c r="C46" s="1538">
        <v>2005.3920000000001</v>
      </c>
      <c r="D46" s="1538">
        <v>15650.35</v>
      </c>
      <c r="E46" s="1538">
        <v>100.58</v>
      </c>
      <c r="F46" s="1538">
        <v>302.39</v>
      </c>
      <c r="G46" s="1509">
        <v>26.1</v>
      </c>
      <c r="H46" s="1535">
        <v>165.486006</v>
      </c>
      <c r="I46" s="1504">
        <v>0</v>
      </c>
      <c r="O46" s="1520"/>
      <c r="P46" s="1520"/>
      <c r="Q46" s="1520"/>
      <c r="R46" s="1520"/>
      <c r="S46" s="1520"/>
    </row>
    <row r="47" spans="1:19" ht="11.85" customHeight="1">
      <c r="A47" s="2222" t="s">
        <v>2263</v>
      </c>
      <c r="B47" s="1493" t="s">
        <v>2650</v>
      </c>
      <c r="C47" s="1540">
        <v>701.07199999999989</v>
      </c>
      <c r="D47" s="1540">
        <v>1626.45</v>
      </c>
      <c r="E47" s="1540">
        <v>262.72000000000003</v>
      </c>
      <c r="F47" s="1540">
        <v>536.79999999999995</v>
      </c>
      <c r="G47" s="1507">
        <v>22.9</v>
      </c>
      <c r="H47" s="1534">
        <v>1454.3203680000001</v>
      </c>
      <c r="I47" s="171">
        <v>0</v>
      </c>
      <c r="O47" s="1520"/>
      <c r="P47" s="1520"/>
      <c r="Q47" s="1520"/>
      <c r="R47" s="1520"/>
      <c r="S47" s="1520"/>
    </row>
    <row r="48" spans="1:19">
      <c r="A48" s="1377" t="s">
        <v>1916</v>
      </c>
      <c r="B48" s="1377" t="s">
        <v>2652</v>
      </c>
      <c r="C48" s="1502"/>
      <c r="D48" s="1502"/>
      <c r="E48" s="1502"/>
      <c r="F48" s="1502"/>
      <c r="G48" s="1502"/>
      <c r="H48" s="1"/>
      <c r="I48" s="4"/>
    </row>
    <row r="49" spans="1:9">
      <c r="A49" s="1"/>
      <c r="B49" s="1377" t="s">
        <v>2653</v>
      </c>
      <c r="C49" s="1502"/>
      <c r="D49" s="1502"/>
      <c r="G49" s="1501" t="s">
        <v>2654</v>
      </c>
      <c r="H49" s="1"/>
      <c r="I49" s="4"/>
    </row>
    <row r="50" spans="1:9" ht="13.5" customHeight="1">
      <c r="A50" s="1516" t="s">
        <v>465</v>
      </c>
      <c r="B50" s="1517" t="s">
        <v>2655</v>
      </c>
      <c r="C50" s="1501"/>
      <c r="D50" s="1501"/>
      <c r="E50" s="1501"/>
      <c r="F50" s="1501"/>
      <c r="G50" s="1501"/>
      <c r="H50" s="1"/>
      <c r="I50" s="4"/>
    </row>
    <row r="51" spans="1:9">
      <c r="A51" s="1377"/>
      <c r="B51" s="1517" t="s">
        <v>2656</v>
      </c>
      <c r="C51" s="1501"/>
      <c r="D51" s="1501"/>
      <c r="E51" s="1501"/>
      <c r="F51" s="1501"/>
      <c r="G51" s="1501"/>
      <c r="H51" s="1"/>
      <c r="I51" s="4"/>
    </row>
  </sheetData>
  <mergeCells count="10">
    <mergeCell ref="A1:H1"/>
    <mergeCell ref="A26:A32"/>
    <mergeCell ref="A33:B33"/>
    <mergeCell ref="A34:A40"/>
    <mergeCell ref="A41:A47"/>
    <mergeCell ref="A3:B3"/>
    <mergeCell ref="A4:B4"/>
    <mergeCell ref="A5:A11"/>
    <mergeCell ref="A12:A18"/>
    <mergeCell ref="A19:A25"/>
  </mergeCells>
  <pageMargins left="0.45" right="0" top="0.5" bottom="0.25" header="0.3" footer="0.3"/>
  <pageSetup paperSize="141" firstPageNumber="108" orientation="portrait" useFirstPageNumber="1" r:id="rId1"/>
  <headerFooter alignWithMargins="0">
    <oddFooter>&amp;C&amp;"Times New Roman,Regular"&amp;8&amp;P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rgb="FFFFFF00"/>
  </sheetPr>
  <dimension ref="A1:J39"/>
  <sheetViews>
    <sheetView topLeftCell="A31" zoomScale="140" zoomScaleNormal="140" workbookViewId="0">
      <selection activeCell="K49" sqref="K49"/>
    </sheetView>
  </sheetViews>
  <sheetFormatPr defaultRowHeight="12.75"/>
  <cols>
    <col min="1" max="1" width="4.28515625" customWidth="1"/>
    <col min="2" max="2" width="7.5703125" customWidth="1"/>
  </cols>
  <sheetData>
    <row r="1" spans="1:9">
      <c r="A1" s="2232" t="s">
        <v>2682</v>
      </c>
      <c r="B1" s="2232"/>
      <c r="C1" s="2232"/>
      <c r="D1" s="2232"/>
      <c r="E1" s="2232"/>
      <c r="F1" s="2232"/>
      <c r="G1" s="2232"/>
      <c r="H1" s="1526"/>
      <c r="I1" s="16" t="s">
        <v>2680</v>
      </c>
    </row>
    <row r="2" spans="1:9" ht="15.75">
      <c r="A2" s="1510"/>
      <c r="B2" s="1510"/>
      <c r="C2" s="1511"/>
      <c r="D2" s="1511"/>
      <c r="E2" s="1511"/>
      <c r="F2" s="1511"/>
      <c r="G2" s="2234" t="s">
        <v>2679</v>
      </c>
      <c r="H2" s="2234"/>
      <c r="I2" s="2234"/>
    </row>
    <row r="3" spans="1:9" ht="45">
      <c r="A3" s="2236" t="s">
        <v>2674</v>
      </c>
      <c r="B3" s="2237"/>
      <c r="C3" s="1514" t="s">
        <v>2662</v>
      </c>
      <c r="D3" s="1514" t="s">
        <v>2663</v>
      </c>
      <c r="E3" s="1514" t="s">
        <v>2664</v>
      </c>
      <c r="F3" s="1514" t="s">
        <v>2665</v>
      </c>
      <c r="G3" s="1527" t="s">
        <v>2666</v>
      </c>
      <c r="H3" s="1527" t="s">
        <v>2667</v>
      </c>
      <c r="I3" s="1527" t="s">
        <v>2668</v>
      </c>
    </row>
    <row r="4" spans="1:9">
      <c r="A4" s="1512" t="s">
        <v>2092</v>
      </c>
      <c r="B4" s="1512"/>
      <c r="C4" s="1513"/>
      <c r="D4" s="1513"/>
      <c r="E4" s="1513"/>
      <c r="F4" s="1513"/>
      <c r="G4" s="2235"/>
      <c r="H4" s="2235"/>
      <c r="I4" s="1513"/>
    </row>
    <row r="5" spans="1:9">
      <c r="A5" s="2233" t="s">
        <v>2037</v>
      </c>
      <c r="B5" s="1521" t="s">
        <v>2669</v>
      </c>
      <c r="C5" s="1524">
        <v>172.5</v>
      </c>
      <c r="D5" s="1524">
        <v>1498.89</v>
      </c>
      <c r="E5" s="1524" t="s">
        <v>2670</v>
      </c>
      <c r="F5" s="1524">
        <v>-28.03</v>
      </c>
      <c r="G5" s="1528" t="s">
        <v>2673</v>
      </c>
      <c r="H5" s="1528" t="s">
        <v>2673</v>
      </c>
      <c r="I5" s="1528" t="s">
        <v>2670</v>
      </c>
    </row>
    <row r="6" spans="1:9">
      <c r="A6" s="2233"/>
      <c r="B6" s="1522" t="s">
        <v>2671</v>
      </c>
      <c r="C6" s="1523">
        <v>7938</v>
      </c>
      <c r="D6" s="1523">
        <v>9502</v>
      </c>
      <c r="E6" s="1523">
        <v>75862.28</v>
      </c>
      <c r="F6" s="1523">
        <v>613.99</v>
      </c>
      <c r="G6" s="1547">
        <v>31385.87</v>
      </c>
      <c r="H6" s="1523">
        <v>5.71</v>
      </c>
      <c r="I6" s="1523">
        <v>78.400000000000006</v>
      </c>
    </row>
    <row r="7" spans="1:9">
      <c r="A7" s="2233"/>
      <c r="B7" s="1521" t="s">
        <v>2645</v>
      </c>
      <c r="C7" s="1524">
        <v>12065.47</v>
      </c>
      <c r="D7" s="1524">
        <v>15622.78</v>
      </c>
      <c r="E7" s="1524" t="s">
        <v>2673</v>
      </c>
      <c r="F7" s="1524">
        <v>-904.07</v>
      </c>
      <c r="G7" s="1524">
        <v>108846.7</v>
      </c>
      <c r="H7" s="1524" t="s">
        <v>2673</v>
      </c>
      <c r="I7" s="1524">
        <v>66.66</v>
      </c>
    </row>
    <row r="8" spans="1:9">
      <c r="A8" s="2233"/>
      <c r="B8" s="1522" t="s">
        <v>2646</v>
      </c>
      <c r="C8" s="1523">
        <v>66058.427886000005</v>
      </c>
      <c r="D8" s="1523">
        <v>90448.928625</v>
      </c>
      <c r="E8" s="1523">
        <v>397865.12370300002</v>
      </c>
      <c r="F8" s="1523">
        <v>16999.259515000002</v>
      </c>
      <c r="G8" s="1523">
        <v>371990.3</v>
      </c>
      <c r="H8" s="1523">
        <v>5.1673340000000003</v>
      </c>
      <c r="I8" s="1523">
        <v>66.961304999999996</v>
      </c>
    </row>
    <row r="9" spans="1:9">
      <c r="A9" s="2233"/>
      <c r="B9" s="1521" t="s">
        <v>2647</v>
      </c>
      <c r="C9" s="1524">
        <v>37.619999999999997</v>
      </c>
      <c r="D9" s="1524">
        <v>500.44</v>
      </c>
      <c r="E9" s="1524" t="s">
        <v>2673</v>
      </c>
      <c r="F9" s="1524" t="s">
        <v>2673</v>
      </c>
      <c r="G9" s="1524">
        <v>541.37</v>
      </c>
      <c r="H9" s="1524">
        <v>-0.41</v>
      </c>
      <c r="I9" s="1524">
        <v>15.37</v>
      </c>
    </row>
    <row r="10" spans="1:9">
      <c r="A10" s="2233"/>
      <c r="B10" s="1522" t="s">
        <v>2648</v>
      </c>
      <c r="C10" s="1523">
        <v>177</v>
      </c>
      <c r="D10" s="1523">
        <v>2062.8000000000002</v>
      </c>
      <c r="E10" s="1523">
        <v>3237.3</v>
      </c>
      <c r="F10" s="1523" t="s">
        <v>2673</v>
      </c>
      <c r="G10" s="1523">
        <v>10127.4</v>
      </c>
      <c r="H10" s="1523" t="s">
        <v>2673</v>
      </c>
      <c r="I10" s="1523">
        <v>107</v>
      </c>
    </row>
    <row r="11" spans="1:9">
      <c r="A11" s="2233"/>
      <c r="B11" s="1521" t="s">
        <v>2649</v>
      </c>
      <c r="C11" s="1524" t="s">
        <v>2670</v>
      </c>
      <c r="D11" s="1524" t="s">
        <v>2670</v>
      </c>
      <c r="E11" s="1524" t="s">
        <v>2670</v>
      </c>
      <c r="F11" s="1524" t="s">
        <v>2670</v>
      </c>
      <c r="G11" s="1524" t="s">
        <v>2670</v>
      </c>
      <c r="H11" s="1524">
        <v>3.4089960000000001</v>
      </c>
      <c r="I11" s="1524" t="s">
        <v>2670</v>
      </c>
    </row>
    <row r="12" spans="1:9">
      <c r="A12" s="2233"/>
      <c r="B12" s="1522" t="s">
        <v>2650</v>
      </c>
      <c r="C12" s="1523">
        <v>2655.73</v>
      </c>
      <c r="D12" s="1523">
        <v>4590.1499999999996</v>
      </c>
      <c r="E12" s="1523" t="s">
        <v>2673</v>
      </c>
      <c r="F12" s="1523">
        <v>-29.05</v>
      </c>
      <c r="G12" s="1523">
        <v>6455.72</v>
      </c>
      <c r="H12" s="1523">
        <v>3.9</v>
      </c>
      <c r="I12" s="1523">
        <v>145.6</v>
      </c>
    </row>
    <row r="13" spans="1:9">
      <c r="A13" s="2233" t="s">
        <v>2263</v>
      </c>
      <c r="B13" s="1521" t="s">
        <v>2669</v>
      </c>
      <c r="C13" s="1524">
        <v>195.71</v>
      </c>
      <c r="D13" s="1524">
        <v>1869.52</v>
      </c>
      <c r="E13" s="1524" t="s">
        <v>2670</v>
      </c>
      <c r="F13" s="1524">
        <v>-34.54</v>
      </c>
      <c r="G13" s="1524" t="s">
        <v>2673</v>
      </c>
      <c r="H13" s="1524" t="s">
        <v>2673</v>
      </c>
      <c r="I13" s="1524" t="s">
        <v>2670</v>
      </c>
    </row>
    <row r="14" spans="1:9">
      <c r="A14" s="2233"/>
      <c r="B14" s="1522" t="s">
        <v>2671</v>
      </c>
      <c r="C14" s="1523">
        <v>8501</v>
      </c>
      <c r="D14" s="1523">
        <v>11418</v>
      </c>
      <c r="E14" s="1523">
        <v>80594.490000000005</v>
      </c>
      <c r="F14" s="1523">
        <v>853.73</v>
      </c>
      <c r="G14" s="1547">
        <v>32092.19</v>
      </c>
      <c r="H14" s="1523">
        <v>5.51</v>
      </c>
      <c r="I14" s="1523">
        <v>78.58</v>
      </c>
    </row>
    <row r="15" spans="1:9">
      <c r="A15" s="2233"/>
      <c r="B15" s="1521" t="s">
        <v>2645</v>
      </c>
      <c r="C15" s="1524">
        <v>9311.75</v>
      </c>
      <c r="D15" s="1524">
        <v>16310.45</v>
      </c>
      <c r="E15" s="1524" t="s">
        <v>2673</v>
      </c>
      <c r="F15" s="1524">
        <v>567.01</v>
      </c>
      <c r="G15" s="1524">
        <v>97302.57</v>
      </c>
      <c r="H15" s="1524" t="s">
        <v>2673</v>
      </c>
      <c r="I15" s="1524">
        <v>67.95</v>
      </c>
    </row>
    <row r="16" spans="1:9">
      <c r="A16" s="2233"/>
      <c r="B16" s="1522" t="s">
        <v>2646</v>
      </c>
      <c r="C16" s="1523">
        <v>67483.349984</v>
      </c>
      <c r="D16" s="1523">
        <v>102559.42714</v>
      </c>
      <c r="E16" s="1523">
        <v>379535.77898200002</v>
      </c>
      <c r="F16" s="1523">
        <v>9734.7670780000008</v>
      </c>
      <c r="G16" s="1523">
        <v>358898</v>
      </c>
      <c r="H16" s="1523">
        <v>3.7488320000000002</v>
      </c>
      <c r="I16" s="1523">
        <v>67.458439999999996</v>
      </c>
    </row>
    <row r="17" spans="1:9">
      <c r="A17" s="2233"/>
      <c r="B17" s="1521" t="s">
        <v>2647</v>
      </c>
      <c r="C17" s="1524">
        <v>108.99</v>
      </c>
      <c r="D17" s="1524">
        <v>572.83000000000004</v>
      </c>
      <c r="E17" s="1524" t="s">
        <v>2673</v>
      </c>
      <c r="F17" s="1524" t="s">
        <v>2673</v>
      </c>
      <c r="G17" s="1524">
        <v>467.12</v>
      </c>
      <c r="H17" s="1524">
        <v>1.84</v>
      </c>
      <c r="I17" s="1524">
        <v>15.35</v>
      </c>
    </row>
    <row r="18" spans="1:9">
      <c r="A18" s="2233"/>
      <c r="B18" s="1522" t="s">
        <v>2648</v>
      </c>
      <c r="C18" s="1523">
        <v>161</v>
      </c>
      <c r="D18" s="1523">
        <v>2264.9</v>
      </c>
      <c r="E18" s="1523">
        <v>3334</v>
      </c>
      <c r="F18" s="1523" t="s">
        <v>2673</v>
      </c>
      <c r="G18" s="1523">
        <v>10253.4</v>
      </c>
      <c r="H18" s="1523" t="s">
        <v>2673</v>
      </c>
      <c r="I18" s="1523">
        <v>108.18</v>
      </c>
    </row>
    <row r="19" spans="1:9">
      <c r="A19" s="2233"/>
      <c r="B19" s="1521" t="s">
        <v>2649</v>
      </c>
      <c r="C19" s="1524" t="s">
        <v>2670</v>
      </c>
      <c r="D19" s="1524" t="s">
        <v>2670</v>
      </c>
      <c r="E19" s="1524" t="s">
        <v>2670</v>
      </c>
      <c r="F19" s="1524" t="s">
        <v>2670</v>
      </c>
      <c r="G19" s="1524" t="s">
        <v>2670</v>
      </c>
      <c r="H19" s="1524">
        <v>3.7590729999999999</v>
      </c>
      <c r="I19" s="1524" t="s">
        <v>2670</v>
      </c>
    </row>
    <row r="20" spans="1:9">
      <c r="A20" s="2233"/>
      <c r="B20" s="1522" t="s">
        <v>2650</v>
      </c>
      <c r="C20" s="1523">
        <v>2523.73</v>
      </c>
      <c r="D20" s="1523">
        <v>5271.7</v>
      </c>
      <c r="E20" s="1523" t="s">
        <v>2673</v>
      </c>
      <c r="F20" s="1523">
        <v>-576.16</v>
      </c>
      <c r="G20" s="1523">
        <v>6019.04</v>
      </c>
      <c r="H20" s="1523">
        <v>4</v>
      </c>
      <c r="I20" s="1523">
        <v>147.81</v>
      </c>
    </row>
    <row r="21" spans="1:9">
      <c r="A21" s="2233" t="s">
        <v>2035</v>
      </c>
      <c r="B21" s="1521" t="s">
        <v>2669</v>
      </c>
      <c r="C21" s="1524">
        <v>117.13</v>
      </c>
      <c r="D21" s="1524">
        <v>1590.4</v>
      </c>
      <c r="E21" s="1524" t="s">
        <v>2670</v>
      </c>
      <c r="F21" s="1524">
        <v>-12.97</v>
      </c>
      <c r="G21" s="1524" t="s">
        <v>2673</v>
      </c>
      <c r="H21" s="1524" t="s">
        <v>2673</v>
      </c>
      <c r="I21" s="1524" t="s">
        <v>2670</v>
      </c>
    </row>
    <row r="22" spans="1:9">
      <c r="A22" s="2233"/>
      <c r="B22" s="1522" t="s">
        <v>2671</v>
      </c>
      <c r="C22" s="1523">
        <v>8920</v>
      </c>
      <c r="D22" s="1523">
        <v>11448</v>
      </c>
      <c r="E22" s="1523">
        <v>81514.679999999993</v>
      </c>
      <c r="F22" s="1523">
        <v>495.84</v>
      </c>
      <c r="G22" s="1547">
        <v>32215.19</v>
      </c>
      <c r="H22" s="1523">
        <v>5.39</v>
      </c>
      <c r="I22" s="1523">
        <v>79.540000000000006</v>
      </c>
    </row>
    <row r="23" spans="1:9">
      <c r="A23" s="2233"/>
      <c r="B23" s="1521" t="s">
        <v>2645</v>
      </c>
      <c r="C23" s="1524">
        <v>6856.85</v>
      </c>
      <c r="D23" s="1524">
        <v>16888.400000000001</v>
      </c>
      <c r="E23" s="1524" t="s">
        <v>2673</v>
      </c>
      <c r="F23" s="1524">
        <v>231.1</v>
      </c>
      <c r="G23" s="1524">
        <v>97612.33</v>
      </c>
      <c r="H23" s="1524" t="s">
        <v>2673</v>
      </c>
      <c r="I23" s="1524">
        <v>64.930000000000007</v>
      </c>
    </row>
    <row r="24" spans="1:9">
      <c r="A24" s="2233"/>
      <c r="B24" s="1522" t="s">
        <v>2646</v>
      </c>
      <c r="C24" s="1523">
        <v>76384.570458999995</v>
      </c>
      <c r="D24" s="1523">
        <v>106456.248511</v>
      </c>
      <c r="E24" s="1523">
        <v>413308.276243</v>
      </c>
      <c r="F24" s="1523">
        <v>4996.3951109999998</v>
      </c>
      <c r="G24" s="1523">
        <v>369954.7</v>
      </c>
      <c r="H24" s="1523">
        <v>3.5689150000000001</v>
      </c>
      <c r="I24" s="1523">
        <v>67.007593</v>
      </c>
    </row>
    <row r="25" spans="1:9">
      <c r="A25" s="2233"/>
      <c r="B25" s="1521" t="s">
        <v>2647</v>
      </c>
      <c r="C25" s="1524">
        <v>85.53</v>
      </c>
      <c r="D25" s="1524">
        <v>569.49</v>
      </c>
      <c r="E25" s="1524" t="s">
        <v>2673</v>
      </c>
      <c r="F25" s="1524" t="s">
        <v>2673</v>
      </c>
      <c r="G25" s="1524">
        <v>501.18</v>
      </c>
      <c r="H25" s="1524">
        <v>3.41</v>
      </c>
      <c r="I25" s="1524">
        <v>15.39</v>
      </c>
    </row>
    <row r="26" spans="1:9">
      <c r="A26" s="2233"/>
      <c r="B26" s="1522" t="s">
        <v>2648</v>
      </c>
      <c r="C26" s="1523">
        <v>177.4</v>
      </c>
      <c r="D26" s="1523">
        <v>2452</v>
      </c>
      <c r="E26" s="1523">
        <v>3581.7</v>
      </c>
      <c r="F26" s="1523" t="s">
        <v>2673</v>
      </c>
      <c r="G26" s="1523">
        <v>10152.4</v>
      </c>
      <c r="H26" s="1523" t="s">
        <v>2673</v>
      </c>
      <c r="I26" s="1523">
        <v>106.6</v>
      </c>
    </row>
    <row r="27" spans="1:9">
      <c r="A27" s="2233"/>
      <c r="B27" s="1521" t="s">
        <v>2649</v>
      </c>
      <c r="C27" s="1524" t="s">
        <v>2670</v>
      </c>
      <c r="D27" s="1524" t="s">
        <v>2670</v>
      </c>
      <c r="E27" s="1524" t="s">
        <v>2670</v>
      </c>
      <c r="F27" s="1524" t="s">
        <v>2670</v>
      </c>
      <c r="G27" s="1524" t="s">
        <v>2670</v>
      </c>
      <c r="H27" s="1524">
        <v>3.8877109999999999</v>
      </c>
      <c r="I27" s="1524" t="s">
        <v>2670</v>
      </c>
    </row>
    <row r="28" spans="1:9">
      <c r="A28" s="2233"/>
      <c r="B28" s="1522" t="s">
        <v>2650</v>
      </c>
      <c r="C28" s="1523">
        <v>2774.34</v>
      </c>
      <c r="D28" s="1523">
        <v>5279.43</v>
      </c>
      <c r="E28" s="1523" t="s">
        <v>2673</v>
      </c>
      <c r="F28" s="1523">
        <v>-104.38</v>
      </c>
      <c r="G28" s="1523">
        <v>5117.26</v>
      </c>
      <c r="H28" s="1523">
        <v>5</v>
      </c>
      <c r="I28" s="1523">
        <v>150.80000000000001</v>
      </c>
    </row>
    <row r="29" spans="1:9">
      <c r="A29" s="2233" t="s">
        <v>2036</v>
      </c>
      <c r="B29" s="1521" t="s">
        <v>2669</v>
      </c>
      <c r="C29" s="1524">
        <v>125.86</v>
      </c>
      <c r="D29" s="1524">
        <v>1944.97</v>
      </c>
      <c r="E29" s="1524" t="s">
        <v>2670</v>
      </c>
      <c r="F29" s="1524">
        <v>-20.440000000000001</v>
      </c>
      <c r="G29" s="1524" t="s">
        <v>2673</v>
      </c>
      <c r="H29" s="1524" t="s">
        <v>2673</v>
      </c>
      <c r="I29" s="1524" t="s">
        <v>2670</v>
      </c>
    </row>
    <row r="30" spans="1:9">
      <c r="A30" s="2233"/>
      <c r="B30" s="1522" t="s">
        <v>2671</v>
      </c>
      <c r="C30" s="1523">
        <v>8689</v>
      </c>
      <c r="D30" s="1523">
        <v>11123</v>
      </c>
      <c r="E30" s="1523">
        <v>84641.44</v>
      </c>
      <c r="F30" s="1523">
        <v>491.25</v>
      </c>
      <c r="G30" s="1547">
        <v>33492.949999999997</v>
      </c>
      <c r="H30" s="1523">
        <v>5.44</v>
      </c>
      <c r="I30" s="1523">
        <v>80.59</v>
      </c>
    </row>
    <row r="31" spans="1:9">
      <c r="A31" s="2233"/>
      <c r="B31" s="1521" t="s">
        <v>2645</v>
      </c>
      <c r="C31" s="1524">
        <v>8637.9500000000007</v>
      </c>
      <c r="D31" s="1524">
        <v>19186.75</v>
      </c>
      <c r="E31" s="1524" t="s">
        <v>2673</v>
      </c>
      <c r="F31" s="1524">
        <v>60.12</v>
      </c>
      <c r="G31" s="1524">
        <v>92253.54</v>
      </c>
      <c r="H31" s="1524" t="s">
        <v>2673</v>
      </c>
      <c r="I31" s="1524">
        <v>64.47</v>
      </c>
    </row>
    <row r="32" spans="1:9">
      <c r="A32" s="2233"/>
      <c r="B32" s="1522" t="s">
        <v>2646</v>
      </c>
      <c r="C32" s="1523">
        <v>71537.256431999995</v>
      </c>
      <c r="D32" s="1523">
        <v>114168.96984600001</v>
      </c>
      <c r="E32" s="1523">
        <v>404474.65858500003</v>
      </c>
      <c r="F32" s="1523">
        <v>7143.7982689999999</v>
      </c>
      <c r="G32" s="1523">
        <v>386539.4</v>
      </c>
      <c r="H32" s="1523">
        <v>2.207595</v>
      </c>
      <c r="I32" s="1523">
        <v>64.455866999999998</v>
      </c>
    </row>
    <row r="33" spans="1:10">
      <c r="A33" s="2233"/>
      <c r="B33" s="1521" t="s">
        <v>2647</v>
      </c>
      <c r="C33" s="1524">
        <v>85.77</v>
      </c>
      <c r="D33" s="1524">
        <v>602.95000000000005</v>
      </c>
      <c r="E33" s="1524" t="s">
        <v>2673</v>
      </c>
      <c r="F33" s="1524" t="s">
        <v>2673</v>
      </c>
      <c r="G33" s="1524">
        <v>603.39</v>
      </c>
      <c r="H33" s="1524">
        <v>4.16</v>
      </c>
      <c r="I33" s="1524">
        <v>15.38</v>
      </c>
    </row>
    <row r="34" spans="1:10">
      <c r="A34" s="2233"/>
      <c r="B34" s="1522" t="s">
        <v>2648</v>
      </c>
      <c r="C34" s="1523">
        <v>172.9</v>
      </c>
      <c r="D34" s="1523">
        <v>2557</v>
      </c>
      <c r="E34" s="1523">
        <v>3772.4</v>
      </c>
      <c r="F34" s="1523" t="s">
        <v>2673</v>
      </c>
      <c r="G34" s="1523">
        <v>10698.4</v>
      </c>
      <c r="H34" s="1523" t="s">
        <v>2673</v>
      </c>
      <c r="I34" s="1523">
        <v>103.1</v>
      </c>
    </row>
    <row r="35" spans="1:10">
      <c r="A35" s="2233"/>
      <c r="B35" s="1521" t="s">
        <v>2649</v>
      </c>
      <c r="C35" s="1524" t="s">
        <v>2670</v>
      </c>
      <c r="D35" s="1524" t="s">
        <v>2670</v>
      </c>
      <c r="E35" s="1524" t="s">
        <v>2670</v>
      </c>
      <c r="F35" s="1524" t="s">
        <v>2670</v>
      </c>
      <c r="G35" s="1524" t="s">
        <v>2670</v>
      </c>
      <c r="H35" s="1524">
        <v>4.154827</v>
      </c>
      <c r="I35" s="1524" t="s">
        <v>2670</v>
      </c>
    </row>
    <row r="36" spans="1:10">
      <c r="A36" s="2233"/>
      <c r="B36" s="1522" t="s">
        <v>2650</v>
      </c>
      <c r="C36" s="1523">
        <v>2623.21</v>
      </c>
      <c r="D36" s="1523">
        <v>4869.5600000000004</v>
      </c>
      <c r="E36" s="1523" t="s">
        <v>2673</v>
      </c>
      <c r="F36" s="1523">
        <v>-224.77</v>
      </c>
      <c r="G36" s="1523">
        <v>6959.01</v>
      </c>
      <c r="H36" s="1523">
        <v>5.5</v>
      </c>
      <c r="I36" s="1523">
        <v>152.34</v>
      </c>
    </row>
    <row r="38" spans="1:10" ht="15">
      <c r="A38" s="1525" t="s">
        <v>32</v>
      </c>
      <c r="B38" s="1525" t="s">
        <v>2171</v>
      </c>
      <c r="D38" s="398"/>
      <c r="E38" s="1525" t="s">
        <v>2307</v>
      </c>
      <c r="F38" s="398"/>
      <c r="H38" s="1353"/>
      <c r="J38" s="1353"/>
    </row>
    <row r="39" spans="1:10">
      <c r="E39" s="1525" t="s">
        <v>633</v>
      </c>
    </row>
  </sheetData>
  <mergeCells count="8">
    <mergeCell ref="A1:G1"/>
    <mergeCell ref="A29:A36"/>
    <mergeCell ref="G2:I2"/>
    <mergeCell ref="G4:H4"/>
    <mergeCell ref="A5:A12"/>
    <mergeCell ref="A13:A20"/>
    <mergeCell ref="A21:A28"/>
    <mergeCell ref="A3:B3"/>
  </mergeCells>
  <pageMargins left="0.7" right="0.7" top="0.75" bottom="0.75" header="0.3" footer="0.3"/>
  <pageSetup paperSize="141" firstPageNumber="109" orientation="portrait" useFirstPageNumber="1" r:id="rId1"/>
  <headerFooter alignWithMargins="0">
    <oddFooter>&amp;C&amp;"Times New Roman,Regular"&amp;8&amp;P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39"/>
  <dimension ref="B1:H39"/>
  <sheetViews>
    <sheetView topLeftCell="A10" workbookViewId="0">
      <selection activeCell="N31" sqref="N31"/>
    </sheetView>
  </sheetViews>
  <sheetFormatPr defaultRowHeight="12.75"/>
  <cols>
    <col min="1" max="1" width="5.140625" customWidth="1"/>
    <col min="2" max="2" width="11.85546875" customWidth="1"/>
    <col min="3" max="3" width="3.85546875" customWidth="1"/>
    <col min="4" max="4" width="15" customWidth="1"/>
    <col min="5" max="5" width="5.85546875" customWidth="1"/>
    <col min="6" max="6" width="10.42578125" customWidth="1"/>
    <col min="7" max="7" width="4" customWidth="1"/>
    <col min="8" max="8" width="19.5703125" customWidth="1"/>
  </cols>
  <sheetData>
    <row r="1" spans="2:8" ht="15.75">
      <c r="B1" s="2238" t="s">
        <v>571</v>
      </c>
      <c r="C1" s="2238"/>
      <c r="D1" s="2238"/>
      <c r="E1" s="2238"/>
      <c r="F1" s="2238"/>
      <c r="G1" s="2238"/>
      <c r="H1" s="2238"/>
    </row>
    <row r="2" spans="2:8" s="4" customFormat="1" ht="12">
      <c r="B2" s="2239" t="s">
        <v>2254</v>
      </c>
      <c r="C2" s="2239"/>
      <c r="D2" s="2239"/>
      <c r="E2" s="2239"/>
      <c r="F2" s="2239"/>
      <c r="G2" s="2239"/>
      <c r="H2" s="2239"/>
    </row>
    <row r="3" spans="2:8">
      <c r="B3" s="275"/>
      <c r="C3" s="275"/>
      <c r="D3" s="275"/>
      <c r="E3" s="275"/>
      <c r="F3" s="275"/>
      <c r="G3" s="275"/>
      <c r="H3" s="275"/>
    </row>
    <row r="4" spans="2:8">
      <c r="B4" s="276"/>
      <c r="C4" s="276"/>
      <c r="D4" s="276"/>
      <c r="E4" s="276"/>
      <c r="F4" s="276"/>
      <c r="G4" s="276"/>
      <c r="H4" s="276"/>
    </row>
    <row r="5" spans="2:8" ht="15" customHeight="1">
      <c r="B5" s="277" t="s">
        <v>656</v>
      </c>
      <c r="C5" s="278" t="s">
        <v>657</v>
      </c>
      <c r="D5" s="276" t="s">
        <v>658</v>
      </c>
      <c r="E5" s="276"/>
      <c r="F5" s="276" t="s">
        <v>659</v>
      </c>
      <c r="G5" s="276" t="s">
        <v>657</v>
      </c>
      <c r="H5" s="276" t="s">
        <v>660</v>
      </c>
    </row>
    <row r="6" spans="2:8" ht="15" customHeight="1">
      <c r="B6" s="276"/>
      <c r="C6" s="278" t="s">
        <v>657</v>
      </c>
      <c r="D6" s="278" t="s">
        <v>661</v>
      </c>
      <c r="E6" s="278"/>
      <c r="F6" s="278"/>
      <c r="G6" s="278" t="s">
        <v>657</v>
      </c>
      <c r="H6" s="278" t="s">
        <v>662</v>
      </c>
    </row>
    <row r="7" spans="2:8" ht="15" customHeight="1">
      <c r="B7" s="276"/>
      <c r="C7" s="276"/>
      <c r="D7" s="278"/>
      <c r="E7" s="278"/>
      <c r="F7" s="278"/>
      <c r="G7" s="278"/>
      <c r="H7" s="278"/>
    </row>
    <row r="8" spans="2:8" ht="15" customHeight="1">
      <c r="B8" s="278" t="s">
        <v>663</v>
      </c>
      <c r="C8" s="278" t="s">
        <v>657</v>
      </c>
      <c r="D8" s="278" t="s">
        <v>664</v>
      </c>
      <c r="E8" s="278"/>
      <c r="F8" s="278" t="s">
        <v>665</v>
      </c>
      <c r="G8" s="278" t="s">
        <v>657</v>
      </c>
      <c r="H8" s="278" t="s">
        <v>666</v>
      </c>
    </row>
    <row r="9" spans="2:8" ht="15" customHeight="1">
      <c r="B9" s="276"/>
      <c r="C9" s="278"/>
      <c r="D9" s="278"/>
      <c r="E9" s="278"/>
      <c r="F9" s="278"/>
      <c r="G9" s="278" t="s">
        <v>657</v>
      </c>
      <c r="H9" s="278" t="s">
        <v>668</v>
      </c>
    </row>
    <row r="10" spans="2:8" ht="15" customHeight="1">
      <c r="B10" s="276"/>
      <c r="C10" s="278"/>
      <c r="D10" s="278"/>
      <c r="E10" s="278"/>
      <c r="F10" s="278"/>
      <c r="G10" s="278"/>
      <c r="H10" s="278"/>
    </row>
    <row r="11" spans="2:8" ht="15" customHeight="1">
      <c r="B11" s="278" t="s">
        <v>669</v>
      </c>
      <c r="C11" s="278" t="s">
        <v>657</v>
      </c>
      <c r="D11" s="278" t="s">
        <v>670</v>
      </c>
      <c r="E11" s="278"/>
      <c r="F11" s="278" t="s">
        <v>671</v>
      </c>
      <c r="G11" s="278" t="s">
        <v>657</v>
      </c>
      <c r="H11" s="278" t="s">
        <v>672</v>
      </c>
    </row>
    <row r="12" spans="2:8" ht="15" customHeight="1">
      <c r="B12" s="278" t="s">
        <v>673</v>
      </c>
      <c r="C12" s="278" t="s">
        <v>657</v>
      </c>
      <c r="D12" s="278" t="s">
        <v>674</v>
      </c>
      <c r="E12" s="278"/>
      <c r="F12" s="278"/>
      <c r="G12" s="278" t="s">
        <v>657</v>
      </c>
      <c r="H12" s="278" t="s">
        <v>675</v>
      </c>
    </row>
    <row r="13" spans="2:8" ht="15" customHeight="1">
      <c r="B13" s="278"/>
      <c r="C13" s="278"/>
      <c r="D13" s="278"/>
      <c r="E13" s="278"/>
      <c r="F13" s="278"/>
      <c r="G13" s="278"/>
      <c r="H13" s="278"/>
    </row>
    <row r="14" spans="2:8" ht="15" customHeight="1">
      <c r="B14" s="278"/>
      <c r="C14" s="278"/>
      <c r="D14" s="278"/>
      <c r="E14" s="278"/>
      <c r="F14" s="278" t="s">
        <v>676</v>
      </c>
      <c r="G14" s="278" t="s">
        <v>657</v>
      </c>
      <c r="H14" s="278" t="s">
        <v>677</v>
      </c>
    </row>
    <row r="15" spans="2:8" ht="15" customHeight="1">
      <c r="B15" s="278" t="s">
        <v>678</v>
      </c>
      <c r="C15" s="278" t="s">
        <v>657</v>
      </c>
      <c r="D15" s="278" t="s">
        <v>679</v>
      </c>
      <c r="E15" s="278"/>
      <c r="F15" s="278"/>
      <c r="G15" s="278" t="s">
        <v>657</v>
      </c>
      <c r="H15" s="278" t="s">
        <v>680</v>
      </c>
    </row>
    <row r="16" spans="2:8" ht="15" customHeight="1">
      <c r="B16" s="278"/>
      <c r="C16" s="278" t="s">
        <v>657</v>
      </c>
      <c r="D16" s="278" t="s">
        <v>681</v>
      </c>
      <c r="E16" s="278"/>
      <c r="F16" s="278"/>
      <c r="G16" s="278"/>
      <c r="H16" s="278"/>
    </row>
    <row r="17" spans="2:8" ht="15" customHeight="1">
      <c r="B17" s="278"/>
      <c r="C17" s="278"/>
      <c r="E17" s="278"/>
      <c r="F17" s="278" t="s">
        <v>682</v>
      </c>
      <c r="G17" s="278" t="s">
        <v>657</v>
      </c>
      <c r="H17" s="278" t="s">
        <v>683</v>
      </c>
    </row>
    <row r="18" spans="2:8" ht="15" customHeight="1">
      <c r="B18" s="279" t="s">
        <v>684</v>
      </c>
      <c r="C18" s="278" t="s">
        <v>657</v>
      </c>
      <c r="D18" s="278" t="s">
        <v>687</v>
      </c>
      <c r="E18" s="278"/>
      <c r="F18" s="278" t="s">
        <v>685</v>
      </c>
      <c r="G18" s="278" t="s">
        <v>657</v>
      </c>
      <c r="H18" s="278" t="s">
        <v>686</v>
      </c>
    </row>
    <row r="19" spans="2:8" ht="15" customHeight="1">
      <c r="B19" s="2"/>
      <c r="C19" s="278" t="s">
        <v>657</v>
      </c>
      <c r="D19" s="279" t="s">
        <v>2053</v>
      </c>
      <c r="E19" s="278"/>
      <c r="F19" s="278" t="s">
        <v>757</v>
      </c>
      <c r="G19" s="278" t="s">
        <v>657</v>
      </c>
      <c r="H19" s="278" t="s">
        <v>688</v>
      </c>
    </row>
    <row r="20" spans="2:8" ht="15" customHeight="1">
      <c r="B20" s="278" t="s">
        <v>689</v>
      </c>
      <c r="C20" s="278" t="s">
        <v>657</v>
      </c>
      <c r="D20" s="278" t="s">
        <v>690</v>
      </c>
      <c r="E20" s="278"/>
      <c r="F20" s="278" t="s">
        <v>691</v>
      </c>
      <c r="G20" s="278" t="s">
        <v>657</v>
      </c>
      <c r="H20" s="278" t="s">
        <v>692</v>
      </c>
    </row>
    <row r="21" spans="2:8" ht="15" customHeight="1">
      <c r="B21" s="278"/>
      <c r="C21" s="278" t="s">
        <v>657</v>
      </c>
      <c r="D21" s="278" t="s">
        <v>693</v>
      </c>
      <c r="E21" s="278"/>
      <c r="F21" s="278" t="s">
        <v>694</v>
      </c>
      <c r="G21" s="278" t="s">
        <v>657</v>
      </c>
      <c r="H21" s="278" t="s">
        <v>695</v>
      </c>
    </row>
    <row r="22" spans="2:8" ht="15" customHeight="1">
      <c r="B22" s="278"/>
      <c r="C22" s="278" t="s">
        <v>657</v>
      </c>
      <c r="D22" s="278" t="s">
        <v>696</v>
      </c>
      <c r="E22" s="278"/>
      <c r="F22" s="278"/>
      <c r="G22" s="278" t="s">
        <v>657</v>
      </c>
      <c r="H22" s="278" t="s">
        <v>699</v>
      </c>
    </row>
    <row r="23" spans="2:8" ht="15" customHeight="1">
      <c r="B23" s="278"/>
      <c r="C23" s="278" t="s">
        <v>657</v>
      </c>
      <c r="D23" s="278" t="s">
        <v>700</v>
      </c>
      <c r="E23" s="278"/>
      <c r="F23" s="278"/>
      <c r="G23" s="278"/>
      <c r="H23" s="278"/>
    </row>
    <row r="24" spans="2:8" ht="15" customHeight="1">
      <c r="B24" s="278"/>
      <c r="C24" s="278"/>
      <c r="D24" s="278"/>
      <c r="E24" s="278"/>
      <c r="F24" s="278" t="s">
        <v>755</v>
      </c>
      <c r="G24" s="278" t="s">
        <v>657</v>
      </c>
      <c r="H24" s="278" t="s">
        <v>704</v>
      </c>
    </row>
    <row r="25" spans="2:8" ht="15" customHeight="1">
      <c r="B25" s="278" t="s">
        <v>705</v>
      </c>
      <c r="C25" s="278" t="s">
        <v>657</v>
      </c>
      <c r="D25" s="278" t="s">
        <v>706</v>
      </c>
      <c r="E25" s="278"/>
      <c r="F25" s="278"/>
      <c r="G25" s="278" t="s">
        <v>657</v>
      </c>
      <c r="H25" s="278" t="s">
        <v>707</v>
      </c>
    </row>
    <row r="26" spans="2:8" ht="15" customHeight="1">
      <c r="B26" s="278"/>
      <c r="C26" s="278" t="s">
        <v>657</v>
      </c>
      <c r="D26" s="278" t="s">
        <v>708</v>
      </c>
      <c r="E26" s="278"/>
      <c r="F26" s="278"/>
      <c r="G26" s="278" t="s">
        <v>657</v>
      </c>
      <c r="H26" s="278" t="s">
        <v>709</v>
      </c>
    </row>
    <row r="27" spans="2:8" ht="15" customHeight="1">
      <c r="B27" s="278"/>
      <c r="C27" s="280" t="s">
        <v>657</v>
      </c>
      <c r="D27" s="280" t="s">
        <v>710</v>
      </c>
      <c r="E27" s="278"/>
      <c r="F27" s="278"/>
      <c r="G27" s="278"/>
      <c r="H27" s="278"/>
    </row>
    <row r="28" spans="2:8" ht="15" customHeight="1">
      <c r="B28" s="278"/>
      <c r="C28" s="278"/>
      <c r="D28" s="278"/>
      <c r="E28" s="278"/>
      <c r="F28" s="278" t="s">
        <v>711</v>
      </c>
      <c r="G28" s="278" t="s">
        <v>657</v>
      </c>
      <c r="H28" s="278" t="s">
        <v>712</v>
      </c>
    </row>
    <row r="29" spans="2:8" ht="15" customHeight="1">
      <c r="B29" s="278" t="s">
        <v>713</v>
      </c>
      <c r="C29" s="278" t="s">
        <v>657</v>
      </c>
      <c r="D29" s="278" t="s">
        <v>714</v>
      </c>
      <c r="E29" s="278"/>
      <c r="F29" s="278" t="s">
        <v>715</v>
      </c>
      <c r="G29" s="278" t="s">
        <v>657</v>
      </c>
      <c r="H29" s="278" t="s">
        <v>716</v>
      </c>
    </row>
    <row r="30" spans="2:8" ht="15" customHeight="1">
      <c r="B30" s="278"/>
      <c r="C30" s="278" t="s">
        <v>657</v>
      </c>
      <c r="D30" s="278" t="s">
        <v>717</v>
      </c>
      <c r="E30" s="278"/>
      <c r="F30" s="278"/>
      <c r="G30" s="278" t="s">
        <v>657</v>
      </c>
      <c r="H30" s="278" t="s">
        <v>718</v>
      </c>
    </row>
    <row r="31" spans="2:8" ht="15" customHeight="1">
      <c r="B31" s="278"/>
      <c r="C31" s="278"/>
      <c r="D31" s="278"/>
      <c r="E31" s="278"/>
      <c r="F31" s="278"/>
      <c r="G31" s="278" t="s">
        <v>657</v>
      </c>
      <c r="H31" s="278" t="s">
        <v>756</v>
      </c>
    </row>
    <row r="32" spans="2:8" ht="15" customHeight="1">
      <c r="B32" s="278" t="s">
        <v>719</v>
      </c>
      <c r="C32" s="278" t="s">
        <v>657</v>
      </c>
      <c r="D32" s="278" t="s">
        <v>720</v>
      </c>
      <c r="E32" s="278"/>
      <c r="F32" s="278"/>
      <c r="G32" s="278" t="s">
        <v>657</v>
      </c>
      <c r="H32" s="278" t="s">
        <v>570</v>
      </c>
    </row>
    <row r="33" spans="2:8" ht="15" customHeight="1">
      <c r="B33" s="278"/>
      <c r="C33" s="278" t="s">
        <v>657</v>
      </c>
      <c r="D33" s="278" t="s">
        <v>721</v>
      </c>
      <c r="E33" s="278"/>
    </row>
    <row r="34" spans="2:8" ht="15" customHeight="1">
      <c r="B34" s="278"/>
      <c r="C34" s="278" t="s">
        <v>657</v>
      </c>
      <c r="D34" s="278" t="s">
        <v>724</v>
      </c>
      <c r="E34" s="278"/>
      <c r="F34" s="278" t="s">
        <v>722</v>
      </c>
      <c r="G34" s="278" t="s">
        <v>657</v>
      </c>
      <c r="H34" s="278" t="s">
        <v>723</v>
      </c>
    </row>
    <row r="35" spans="2:8" ht="15" customHeight="1">
      <c r="B35" s="278"/>
      <c r="C35" s="278"/>
      <c r="D35" s="278"/>
      <c r="E35" s="278"/>
      <c r="F35" s="278" t="s">
        <v>568</v>
      </c>
      <c r="G35" s="278" t="s">
        <v>657</v>
      </c>
      <c r="H35" s="278" t="s">
        <v>569</v>
      </c>
    </row>
    <row r="36" spans="2:8" ht="15" customHeight="1">
      <c r="B36" s="278" t="s">
        <v>725</v>
      </c>
      <c r="C36" s="278" t="s">
        <v>657</v>
      </c>
      <c r="D36" s="278" t="s">
        <v>726</v>
      </c>
      <c r="E36" s="278"/>
      <c r="F36" s="278" t="s">
        <v>1172</v>
      </c>
      <c r="G36" s="278" t="s">
        <v>657</v>
      </c>
      <c r="H36" s="278" t="s">
        <v>567</v>
      </c>
    </row>
    <row r="37" spans="2:8" ht="15" customHeight="1" thickBot="1">
      <c r="B37" s="525"/>
      <c r="C37" s="525"/>
      <c r="D37" s="526"/>
      <c r="E37" s="526"/>
      <c r="F37" s="526"/>
      <c r="G37" s="526"/>
      <c r="H37" s="526"/>
    </row>
    <row r="38" spans="2:8" ht="15" customHeight="1">
      <c r="B38" s="2240" t="s">
        <v>2255</v>
      </c>
      <c r="C38" s="2240"/>
      <c r="D38" s="2240"/>
      <c r="E38" s="2240"/>
      <c r="F38" s="2240"/>
      <c r="G38" s="2240"/>
      <c r="H38" s="2240"/>
    </row>
    <row r="39" spans="2:8">
      <c r="B39" s="2"/>
      <c r="C39" s="2"/>
      <c r="D39" s="2"/>
      <c r="E39" s="2"/>
      <c r="F39" s="2"/>
      <c r="G39" s="2"/>
      <c r="H39" s="2"/>
    </row>
  </sheetData>
  <mergeCells count="3">
    <mergeCell ref="B1:H1"/>
    <mergeCell ref="B2:H2"/>
    <mergeCell ref="B38:H38"/>
  </mergeCells>
  <pageMargins left="0.70866141732283505" right="0.70866141732283505" top="0.74803149606299202" bottom="0.74803149606299202" header="0.31496062992126" footer="0.31496062992126"/>
  <pageSetup paperSize="141" firstPageNumber="111" orientation="portrait" useFirstPageNumber="1" r:id="rId1"/>
  <headerFooter>
    <oddFooter>&amp;C&amp;"Times New Roman,Regular"&amp;8&amp;P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Cover Page</vt:lpstr>
      <vt:lpstr>Contents</vt:lpstr>
      <vt:lpstr>Table IA</vt:lpstr>
      <vt:lpstr>Table IB</vt:lpstr>
      <vt:lpstr>TableIIA</vt:lpstr>
      <vt:lpstr>TableIIB</vt:lpstr>
      <vt:lpstr>TableIIC </vt:lpstr>
      <vt:lpstr>Table IID</vt:lpstr>
      <vt:lpstr>Table IIE</vt:lpstr>
      <vt:lpstr>Table IIF</vt:lpstr>
      <vt:lpstr>Table IIG</vt:lpstr>
      <vt:lpstr>Table III A</vt:lpstr>
      <vt:lpstr>Table IIIB</vt:lpstr>
      <vt:lpstr>Table IV</vt:lpstr>
      <vt:lpstr>Table V</vt:lpstr>
      <vt:lpstr>Table VI</vt:lpstr>
      <vt:lpstr>Table VII</vt:lpstr>
      <vt:lpstr>Table VIII</vt:lpstr>
      <vt:lpstr>TableIXA</vt:lpstr>
      <vt:lpstr>TableIXB</vt:lpstr>
      <vt:lpstr>TableIXC</vt:lpstr>
      <vt:lpstr>TableX</vt:lpstr>
      <vt:lpstr>TableXI</vt:lpstr>
      <vt:lpstr>Table XIIA</vt:lpstr>
      <vt:lpstr>Table XIIB</vt:lpstr>
      <vt:lpstr>TableXIII</vt:lpstr>
      <vt:lpstr>Table XIV</vt:lpstr>
      <vt:lpstr>TableXV</vt:lpstr>
      <vt:lpstr>TableXVI</vt:lpstr>
      <vt:lpstr>Table XVII</vt:lpstr>
      <vt:lpstr>Table XVIII</vt:lpstr>
      <vt:lpstr>TableXIX</vt:lpstr>
      <vt:lpstr>TableXX</vt:lpstr>
      <vt:lpstr>TableXXI</vt:lpstr>
      <vt:lpstr>Table XXII</vt:lpstr>
      <vt:lpstr>Table XXIII</vt:lpstr>
      <vt:lpstr>Table XXIV</vt:lpstr>
      <vt:lpstr>Table XXV</vt:lpstr>
      <vt:lpstr>Table XXVI</vt:lpstr>
      <vt:lpstr>Table XXVII</vt:lpstr>
      <vt:lpstr>Appendix- Weights &amp; Measures</vt:lpstr>
    </vt:vector>
  </TitlesOfParts>
  <Company>icsl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aamansur</cp:lastModifiedBy>
  <cp:lastPrinted>2018-12-24T10:51:10Z</cp:lastPrinted>
  <dcterms:created xsi:type="dcterms:W3CDTF">2007-04-10T13:42:14Z</dcterms:created>
  <dcterms:modified xsi:type="dcterms:W3CDTF">2018-12-24T10:56:46Z</dcterms:modified>
</cp:coreProperties>
</file>